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整趟總覽" sheetId="1" state="visible" r:id="rId3"/>
    <sheet name="成員名單" sheetId="2" state="visible" r:id="rId4"/>
    <sheet name="第 1 天" sheetId="3" state="visible" r:id="rId5"/>
    <sheet name="第 2 天" sheetId="4" state="visible" r:id="rId6"/>
    <sheet name="第 3 天" sheetId="5" state="visible" r:id="rId7"/>
    <sheet name="第 4 天" sheetId="6" state="visible" r:id="rId8"/>
    <sheet name="第 5 天" sheetId="7" state="visible" r:id="rId9"/>
    <sheet name="第 6 天" sheetId="8" state="visible" r:id="rId10"/>
    <sheet name="第 7 天" sheetId="9" state="visible" r:id="rId11"/>
    <sheet name="第 8 天" sheetId="10" state="visible" r:id="rId12"/>
    <sheet name="第 9 天" sheetId="11" state="visible" r:id="rId13"/>
    <sheet name="第 10 天" sheetId="12" state="visible" r:id="rId14"/>
    <sheet name="使用說明" sheetId="13" state="visible" r:id="rId15"/>
    <sheet name="_計算" sheetId="14" state="hidden" r:id="rId16"/>
    <sheet name="_旅伴設定" sheetId="15" state="hidden" r:id="rId17"/>
  </sheets>
  <definedNames>
    <definedName function="false" hidden="false" name="TravelMemberIDs" vbProcedure="false">成員名單!$A$5:$A$34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<sst xmlns="http://schemas.openxmlformats.org/spreadsheetml/2006/main" count="1993" uniqueCount="194">
  <si>
    <t xml:space="preserve">整趟費用總覽</t>
  </si>
  <si>
    <t xml:space="preserve">所有金額以元計，精確至 0.1 元；有待處理項目時請先補齊再結算。</t>
  </si>
  <si>
    <t xml:space="preserve">全部支出</t>
  </si>
  <si>
    <t xml:space="preserve">已分攤總額</t>
  </si>
  <si>
    <t xml:space="preserve">差額</t>
  </si>
  <si>
    <t xml:space="preserve">待處理費用（筆）</t>
  </si>
  <si>
    <t xml:space="preserve">未指定代墊</t>
  </si>
  <si>
    <t xml:space="preserve">待處理費用的合法金額仍列支出與已代墊，但暫不分攤。請看下方核對清單。</t>
  </si>
  <si>
    <t xml:space="preserve">固定 ID</t>
  </si>
  <si>
    <t xml:space="preserve">姓名</t>
  </si>
  <si>
    <t xml:space="preserve">餐費合計</t>
  </si>
  <si>
    <t xml:space="preserve">油錢合計</t>
  </si>
  <si>
    <t xml:space="preserve">租車費合計</t>
  </si>
  <si>
    <t xml:space="preserve">其他費用合計</t>
  </si>
  <si>
    <t xml:space="preserve">總分攤</t>
  </si>
  <si>
    <t xml:space="preserve">已代墊</t>
  </si>
  <si>
    <t xml:space="preserve">還要付</t>
  </si>
  <si>
    <t xml:space="preserve">應收回</t>
  </si>
  <si>
    <t xml:space="preserve">P001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</si>
  <si>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</si>
  <si>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</si>
  <si>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</si>
  <si>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</si>
  <si>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</si>
  <si>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</si>
  <si>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</si>
  <si>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</si>
  <si>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</si>
  <si>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</si>
  <si>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</si>
  <si>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</si>
  <si>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</si>
  <si>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</si>
  <si>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</si>
  <si>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</si>
  <si>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</si>
  <si>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</si>
  <si>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</si>
  <si>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</si>
  <si>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</si>
  <si>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</si>
  <si>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</si>
  <si>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</si>
  <si>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</si>
  <si>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</si>
  <si>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</si>
  <si>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</si>
  <si>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</si>
  <si>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合計</t>
  </si>
  <si>
    <t xml:space="preserve">費用核對清單（同筆多個提醒計為一筆待處理）</t>
  </si>
  <si>
    <t xml:space="preserve">日期</t>
  </si>
  <si>
    <t xml:space="preserve">費用</t>
  </si>
  <si>
    <t xml:space="preserve">總金額</t>
  </si>
  <si>
    <t xml:space="preserve">待處理提醒</t>
  </si>
  <si>
    <t xml:space="preserve">統一成員名單</t>
  </si>
  <si>
    <t xml:space="preserve">只修改姓名；固定 ID 請勿修改。增減成員請用「旅伴帳本」選單。</t>
  </si>
  <si>
    <t xml:space="preserve">使用說明</t>
  </si>
  <si>
    <t xml:space="preserve">空白姓名不分攤</t>
  </si>
  <si>
    <t xml:space="preserve">d_mveoqnqvyb0rn2635</t>
  </si>
  <si>
    <t xml:space="preserve">e_mveoqnqvjz2s9ftem</t>
  </si>
  <si>
    <t xml:space="preserve">e_mveoqnqvdelrgp3xm</t>
  </si>
  <si>
    <t xml:space="preserve">e_mveoqnqvfsq21n0ln</t>
  </si>
  <si>
    <t xml:space="preserve">e_mveoqnqvs3pz1ky6s</t>
  </si>
  <si>
    <t xml:space="preserve">e_mveoqnqv08ss7dizj</t>
  </si>
  <si>
    <t xml:space="preserve">e_mveoqnqvrbr1s3nzo</t>
  </si>
  <si>
    <t xml:space="preserve">e_mveoqnqvspu97fddj</t>
  </si>
  <si>
    <t xml:space="preserve">第 1 天</t>
  </si>
  <si>
    <t xml:space="preserve">全選／取消全選：選取費用欄後使用「旅伴帳本」選單。</t>
  </si>
  <si>
    <t xml:space="preserve">當日用車</t>
  </si>
  <si>
    <t xml:space="preserve">司機只免當日油錢與租車費；餐費、停車費與其他正常分攤。</t>
  </si>
  <si>
    <t xml:space="preserve">名稱</t>
  </si>
  <si>
    <t xml:space="preserve">早餐</t>
  </si>
  <si>
    <t xml:space="preserve">午餐</t>
  </si>
  <si>
    <t xml:space="preserve">晚餐</t>
  </si>
  <si>
    <t xml:space="preserve">油錢</t>
  </si>
  <si>
    <t xml:space="preserve">租車費</t>
  </si>
  <si>
    <t xml:space="preserve">停車費</t>
  </si>
  <si>
    <t xml:space="preserve">其他</t>
  </si>
  <si>
    <t xml:space="preserve">類別</t>
  </si>
  <si>
    <t xml:space="preserve">總金額（元）</t>
  </si>
  <si>
    <t xml:space="preserve">元</t>
  </si>
  <si>
    <t xml:space="preserve">代墊者 ID</t>
  </si>
  <si>
    <t xml:space="preserve">分攤人數</t>
  </si>
  <si>
    <t xml:space="preserve">人</t>
  </si>
  <si>
    <t xml:space="preserve">每人金額範圍</t>
  </si>
  <si>
    <t xml:space="preserve">當日司機</t>
  </si>
  <si>
    <t xml:space="preserve">是否參與</t>
  </si>
  <si>
    <t xml:space="preserve">分攤（元）</t>
  </si>
  <si>
    <t xml:space="preserve">已分攤合計（元）</t>
  </si>
  <si>
    <t xml:space="preserve">d_mveoqnqvknl0u8rnq</t>
  </si>
  <si>
    <t xml:space="preserve">e_mveoqnqvprlb9qdxl</t>
  </si>
  <si>
    <t xml:space="preserve">e_mveoqnqvpcg1v17dy</t>
  </si>
  <si>
    <t xml:space="preserve">e_mveoqnqvn8ozy70xt</t>
  </si>
  <si>
    <t xml:space="preserve">e_mveoqnqvon1oyxr8g</t>
  </si>
  <si>
    <t xml:space="preserve">e_mveoqnqv9jnhdtg9p</t>
  </si>
  <si>
    <t xml:space="preserve">e_mveoqnqv5gloqjee8</t>
  </si>
  <si>
    <t xml:space="preserve">e_mveoqnqvqwivafnoo</t>
  </si>
  <si>
    <t xml:space="preserve">第 2 天</t>
  </si>
  <si>
    <t xml:space="preserve">d_mveoqnqvx93a442ss</t>
  </si>
  <si>
    <t xml:space="preserve">e_mveoqnqvw4bak5h5q</t>
  </si>
  <si>
    <t xml:space="preserve">e_mveoqnqvuau5vsnus</t>
  </si>
  <si>
    <t xml:space="preserve">e_mveoqnqvyu8w4eert</t>
  </si>
  <si>
    <t xml:space="preserve">e_mveoqnqvj9qp700mc</t>
  </si>
  <si>
    <t xml:space="preserve">e_mveoqnqv8gjof0149</t>
  </si>
  <si>
    <t xml:space="preserve">e_mveoqnqvp8jafr3np</t>
  </si>
  <si>
    <t xml:space="preserve">e_mveoqnqvhr0o25zmq</t>
  </si>
  <si>
    <t xml:space="preserve">第 3 天</t>
  </si>
  <si>
    <t xml:space="preserve">d_mveoqnqv9l2z4hath</t>
  </si>
  <si>
    <t xml:space="preserve">e_mveoqnqv7jee4hwwq</t>
  </si>
  <si>
    <t xml:space="preserve">e_mveoqnqvthp6uarha</t>
  </si>
  <si>
    <t xml:space="preserve">e_mveoqnqvxoasv1il2</t>
  </si>
  <si>
    <t xml:space="preserve">e_mveoqnqvw5wkigp23</t>
  </si>
  <si>
    <t xml:space="preserve">e_mveoqnqv711uqkhej</t>
  </si>
  <si>
    <t xml:space="preserve">e_mveoqnqvxh97ei3sd</t>
  </si>
  <si>
    <t xml:space="preserve">e_mveoqnqveozad9zz4</t>
  </si>
  <si>
    <t xml:space="preserve">第 4 天</t>
  </si>
  <si>
    <t xml:space="preserve">d_mveoqnqvdt9dfrmxb</t>
  </si>
  <si>
    <t xml:space="preserve">e_mveoqnqvc52q5op98</t>
  </si>
  <si>
    <t xml:space="preserve">e_mveoqnqvoljs5j0ny</t>
  </si>
  <si>
    <t xml:space="preserve">e_mveoqnqvrscow3crr</t>
  </si>
  <si>
    <t xml:space="preserve">e_mveoqnqvs287m41iv</t>
  </si>
  <si>
    <t xml:space="preserve">e_mveoqnqvtz6n1jbs2</t>
  </si>
  <si>
    <t xml:space="preserve">e_mveoqnqvznd74bt7i</t>
  </si>
  <si>
    <t xml:space="preserve">e_mveoqnqvm2q3m2g9r</t>
  </si>
  <si>
    <t xml:space="preserve">第 5 天</t>
  </si>
  <si>
    <t xml:space="preserve">d_mveoqnqvaurjts86t</t>
  </si>
  <si>
    <t xml:space="preserve">e_mveoqnqviwbyxh24c</t>
  </si>
  <si>
    <t xml:space="preserve">e_mveoqnqvtaalih319</t>
  </si>
  <si>
    <t xml:space="preserve">e_mveoqnqvayddaa0xq</t>
  </si>
  <si>
    <t xml:space="preserve">e_mveoqnqv8uq30l5fd</t>
  </si>
  <si>
    <t xml:space="preserve">e_mveoqnqvbbd1a3eay</t>
  </si>
  <si>
    <t xml:space="preserve">e_mveoqnqwblz5tcp7y</t>
  </si>
  <si>
    <t xml:space="preserve">e_mveoqnqwlr5uw1pax</t>
  </si>
  <si>
    <t xml:space="preserve">第 6 天</t>
  </si>
  <si>
    <t xml:space="preserve">d_mveoqnqwwv9tg6nyl</t>
  </si>
  <si>
    <t xml:space="preserve">e_mveoqnqwxzzf1873u</t>
  </si>
  <si>
    <t xml:space="preserve">e_mveoqnqwyn11lqiwv</t>
  </si>
  <si>
    <t xml:space="preserve">e_mveoqnqwtepbi5rje</t>
  </si>
  <si>
    <t xml:space="preserve">e_mveoqnqw8jh8vewk3</t>
  </si>
  <si>
    <t xml:space="preserve">e_mveoqnqwpc3ap7jfy</t>
  </si>
  <si>
    <t xml:space="preserve">e_mveoqnqwcma905kb5</t>
  </si>
  <si>
    <t xml:space="preserve">e_mveoqnqw9hinccslt</t>
  </si>
  <si>
    <t xml:space="preserve">第 7 天</t>
  </si>
  <si>
    <t xml:space="preserve">d_mveoqnqwu036k37kh</t>
  </si>
  <si>
    <t xml:space="preserve">e_mveoqnqwt0oxbq0pr</t>
  </si>
  <si>
    <t xml:space="preserve">e_mveoqnqw7gl51co14</t>
  </si>
  <si>
    <t xml:space="preserve">e_mveoqnqwibigbmfpy</t>
  </si>
  <si>
    <t xml:space="preserve">e_mveoqnqwd6031nwmy</t>
  </si>
  <si>
    <t xml:space="preserve">e_mveoqnqwmxrnjo5pg</t>
  </si>
  <si>
    <t xml:space="preserve">e_mveoqnqw53plb172r</t>
  </si>
  <si>
    <t xml:space="preserve">e_mveoqnqw1tgje5dnz</t>
  </si>
  <si>
    <t xml:space="preserve">第 8 天</t>
  </si>
  <si>
    <t xml:space="preserve">d_mveoqnqwbeljshn5x</t>
  </si>
  <si>
    <t xml:space="preserve">e_mveoqnqwhwruzjj22</t>
  </si>
  <si>
    <t xml:space="preserve">e_mveoqnqw6cfg3qnu9</t>
  </si>
  <si>
    <t xml:space="preserve">e_mveoqnqw0vjtzgdng</t>
  </si>
  <si>
    <t xml:space="preserve">e_mveoqnqw7edgla292</t>
  </si>
  <si>
    <t xml:space="preserve">e_mveoqnqwnp2qhhmoq</t>
  </si>
  <si>
    <t xml:space="preserve">e_mveoqnqw3w4ibx2qg</t>
  </si>
  <si>
    <t xml:space="preserve">e_mveoqnqw8jwfzanv3</t>
  </si>
  <si>
    <t xml:space="preserve">第 9 天</t>
  </si>
  <si>
    <t xml:space="preserve">d_mveoqnqw8at703ih8</t>
  </si>
  <si>
    <t xml:space="preserve">e_mveoqnqwca0rkt1qq</t>
  </si>
  <si>
    <t xml:space="preserve">e_mveoqnqwatojmubso</t>
  </si>
  <si>
    <t xml:space="preserve">e_mveoqnqwgfw19otll</t>
  </si>
  <si>
    <t xml:space="preserve">e_mveoqnqwm8fgqnjgw</t>
  </si>
  <si>
    <t xml:space="preserve">e_mveoqnqwwn707ty0m</t>
  </si>
  <si>
    <t xml:space="preserve">e_mveoqnqw92tgd1c71</t>
  </si>
  <si>
    <t xml:space="preserve">e_mveoqnqw8qzdc451t</t>
  </si>
  <si>
    <t xml:space="preserve">第 10 天</t>
  </si>
  <si>
    <t xml:space="preserve">旅伴帳本｜Google 試算表版</t>
  </si>
  <si>
    <t xml:space="preserve">在指定 Google Drive 資料夾建立／匯入此試算表；你保留編輯權限，旅伴設為檢視者。</t>
  </si>
  <si>
    <t xml:space="preserve">原生核取方塊：擴充功能 → Apps Script，貼入 Code.gs，執行 setupTravelSheet，授權目前試算表。</t>
  </si>
  <si>
    <t xml:space="preserve">1. 在「成員名單」修改姓名；固定 ID 不要改動。空白或空格姓名不參與分攤。</t>
  </si>
  <si>
    <t xml:space="preserve">2. 每日填費用名稱、類別、金額、代墊者 ID。ID 旁會顯示姓名，改名不會破壞關聯。</t>
  </si>
  <si>
    <t xml:space="preserve">3. 每筆各自勾選參與；用車日設定當日司機，可有多人。司機只免當天油錢／租車費。</t>
  </si>
  <si>
    <t xml:space="preserve">4. 正金額無分攤者、車資無司機或未用車皆會顯示提醒，暫不分攤該筆，金額保留。</t>
  </si>
  <si>
    <t xml:space="preserve">5. 金額以 0.1 元整數計算，尾差依名單固定順序每人加 0.1 元。停車費歸入其他費用。</t>
  </si>
  <si>
    <t xml:space="preserve">6. 人數、天數、費用增減與全選，請用「旅伴帳本」選單，不要自行插刪欄列或改隱藏 ID。</t>
  </si>
  <si>
    <t xml:space="preserve">7. 結構變更前會保留上一份資料備份；亦可匯出 JSON，與原網頁的資料格式相容。</t>
  </si>
  <si>
    <t xml:space="preserve">8. 目前上限 100 名額、31 天、每天 30 筆，預設 30 名額與 10 天，沒有示例支出。</t>
  </si>
  <si>
    <t xml:space="preserve">9. Google 原生格式會自動儲存並讓檢視者看到最新內容；不是網頁的手動唯讀快照。</t>
  </si>
  <si>
    <t xml:space="preserve">請在你指定的 Google Drive 費用資料夾建立／匯入試算表。</t>
  </si>
  <si>
    <t xml:space="preserve">這份檔案不會自動上傳；需由你在帳戶內建立／匯入。核取方塊啟用前 TRUE/FALSE 只是布林值。</t>
  </si>
  <si>
    <t xml:space="preserve">日期 ID</t>
  </si>
  <si>
    <t xml:space="preserve">成員 ID</t>
  </si>
  <si>
    <t xml:space="preserve">餐費整數</t>
  </si>
  <si>
    <t xml:space="preserve">油錢整數</t>
  </si>
  <si>
    <t xml:space="preserve">租車整數</t>
  </si>
  <si>
    <t xml:space="preserve">其他整數</t>
  </si>
  <si>
    <t xml:space="preserve">總分攤整數</t>
  </si>
  <si>
    <t xml:space="preserve">代墊整數</t>
  </si>
  <si>
    <t xml:space="preserve">TRAVEL_SHEETS_V1</t>
  </si>
  <si>
    <t xml:space="preserve">{"schema":1,"model":{"version":1,"members":[{"id":"P001","name":""},{"id":"P002","name":""},{"id":"P003","name":""},{"id":"P004","name":""},{"id":"P005","name":""},{"id":"P006","name":""},{"id":"P007","name":""},{"id":"P008","name":""},{"id":"P009","name":""},{"id":"P010","name":""},{"id":"P011","name":""},{"id":"P012","name":""},{"id":"P013","name":""},{"id":"P014","name":""},{"id":"P015","name":""},{"id":"P016","name":""},{"id":"P017","name":""},{"id":"P018","name":""},{"id":"P019","name":""},{"id":"P020","name":""},{"id":"P021","name":""},{"id":"P022","name":""},{"id":"P023","name":""},{"id":"P024","name":""},{"id":"P025","name":""},{"id":"P026","name":""},{"id":"P027","name":""},{"id":"P028","name":""},{"id":"P029","name":""},{"id":"P030","name":""}],"days":[{"id":"d_mveoqnqvyb0rn2635","name":"第 1 天","useCar":false,"drivers":[],"expenses":[{"id":"e_mveoqnqvjz2s9ftem","name":"早餐","category":"breakfast","amount":"","payerId":null,"participantIds":[]},{"id":"e_mveoqnqvdelrgp3xm","name":"午餐","category":"lunch","amount":"","payerId":null,"participantIds":[]},{"id":"e_mveoqnqvfsq21n0ln","name":"晚餐","category":"dinner","amount":"","payerId":null,"participantIds":[]},{"id":"e_mveoqnqvs3pz1ky6s","name":"油錢","category":"fuel","amount":"","payerId":null,"participantIds":[]},{"id":"e_mveoqnqv08ss7dizj","name":"租車費","category":"rental","amount":"","payerId":null,"participantIds":[]},{"id":"e_mveoqnqvrbr1s3nzo","name":"停車費","category":"parking","amount":"","payerId":null,"participantIds":[]},{"id":"e_mveoqnqvspu97fddj","name":"其他","category":"other","amount":"","payerId":null,"participantIds":[]}]},{"id":"d_mveoqnqvknl0u8rnq","name":"第 2 天","useCar":false,"drivers":[],"expenses":[{"id":"e_mveoqnqvprlb9qdxl","name":"早餐","category":"breakfast","amount":"","payerId":null,"participantIds":[]},{"id":"e_mveoqnqvpcg1v17dy","name":"午餐","category":"lunch","amount":"","payerId":null,"participantIds":[]},{"id":"e_mveoqnqvn8ozy70xt","name":"晚餐","category":"dinner","amount":"","payerId":null,"participantIds":[]},{"id":"e_mveoqnqvon1oyxr8g","name":"油錢","category":"fuel","amount":"","payerId":null,"participantIds":[]},{"id":"e_mveoqnqv9jnhdtg9p","name":"租車費","category":"rental","amount":"","payerId":null,"participantIds":[]},{"id":"e_mveoqnqv5gloqjee8","name":"停車費","category":"parking","amount":"","payerId":null,"participantIds":[]},{"id":"e_mveoqnqvqwivafnoo","name":"其他","category":"other","amount":"","payerId":null,"participantIds":[]}]},{"id":"d_mveoqnqvx93a442ss","name":"第 3 天","useCar":false,"drivers":[],"expenses":[{"id":"e_mveoqnqvw4bak5h5q","name":"早餐","category":"breakfast","amount":"","payerId":null,"participantIds":[]},{"id":"e_mveoqnqvuau5vsnus","name":"午餐","category":"lunch","amount":"","payerId":null,"participantIds":[]},{"id":"e_mveoqnqvyu8w4eert","name":"晚餐","category":"dinner","amount":"","payerId":null,"participantIds":[]},{"id":"e_mveoqnqvj9qp700mc","name":"油錢","category":"fuel","amount":"","payerId":null,"participantIds":[]},{"id":"e_mveoqnqv8gjof0149","name":"租車費","category":"rental","amount":"","payerId":null,"participantIds":[]},{"id":"e_mveoqnqvp8jafr3np","name":"停車費","category":"parking","amount":"","payerId":null,"participantIds":[]},{"id":"e_mveoqnqvhr0o25zmq","name":"其他","category":"other","amount":"","payerId":null,"participantIds":[]}]},{"id":"d_mveoqnqv9l2z4hath","name":"第 4 天","useCar":false,"drivers":[],"expenses":[{"id":"e_mveoqnqv7jee4hwwq","name":"早餐","category":"breakfast","amount":"","payerId":null,"participantIds":[]},{"id":"e_mveoqnqvthp6uarha","name":"午餐","category":"lunch","amount":"","payerId":null,"participantIds":[]},{"id":"e_mveoqnqvxoasv1il2","name":"晚餐","category":"dinner","amount":"","payerId":null,"participantIds":[]},{"id":"e_mveoqnqvw5wkigp23","name":"油錢","category":"fuel","amount":"","payerId":null,"participantIds":[]},{"id":"e_mveoqnqv711uqkhej","name":"租車費","category":"rental","amount":"","payerId":null,"participantIds":[]},{"id":"e_mveoqnqvxh97ei3sd","name":"停車費","category":"parking","amount":"","payerId":null,"participantIds":[]},{"id":"e_mveoqnqveozad9zz4","name":"其他","category":"other","amount":"","payerId":null,"participantIds":[]}]},{"id":"d_mveoqnqvdt9dfrmxb","name":"第 5 天","useCar":false,"drivers":[],"expenses":[{"id":"e_mveoqnqvc52q5op98","name":"早餐","category":"breakfast","amount":"","payerId":null,"participantIds":[]},{"id":"e_mveoqnqvoljs5j0ny","name":"午餐","category":"lunch","amount":"","payerId":null,"participantIds":[]},{"id":"e_mveoqnqvrscow3crr","name":"晚餐","category":"dinner","amount":"","payerId":null,"participantIds":[]},{"id":"e_mveoqnqvs287m41iv","name":"油錢","category":"fuel","amount":"","payerId":null,"participantIds":[]},{"id":"e_mveoqnqvtz6n1jbs2","name":"租車費","category":"rental","amount":"","payerId":null,"participantIds":[]},{"id":"e_mveoqnqvznd74bt7i","name":"停車費","category":"parking","amount":"","payerId":null,"participantIds":[]},{"id":"e_mveoqnqvm2q3m2g9r","name":"其他","category":"other","amount":"","payerId":null,"participantIds":[]}]},{"id":"d_mveoqnqvaurjts86t","name":"第 6 天","useCar":false,"drivers":[],"expenses":[{"id":"e_mveoqnqviwbyxh24c","name":"早餐","category":"breakfast","amount":"","payerId":null,"participantIds":[]},{"id":"e_mveoqnqvtaalih319","name":"午餐","category":"lunch","amount":"","payerId":null,"participantIds":[]},{"id":"e_mveoqnqvayddaa0xq","name":"晚餐","category":"dinner","amount":"","payerId":null,"participantIds":[]},{"id":"e_mveoqnqv8uq30l5fd","name":"油錢","category":"fuel","amount":"","payerId":null,"participantIds":[]},{"id":"e_mveoqnqvbbd1a3eay","name":"租車費","category":"rental","amount":"","payerId":null,"participantIds":[]},{"id":"e_mveoqnqwblz5tcp7y","name":"停車費","category":"parking","amount":"","payerId":null,"participantIds":[]},{"id":"e_mveoqnqwlr5uw1pax","name":"其他","category":"other","amount":"","payerId":null,"participantIds":[]}]},{"id":"d_mveoqnqwwv9tg6nyl","name":"第 7 天","useCar":false,"drivers":[],"expenses":[{"id":"e_mveoqnqwxzzf1873u","name":"早餐","category":"breakfast","amount":"","payerId":null,"participantIds":[]},{"id":"e_mveoqnqwyn11lqiwv","name":"午餐","category":"lunch","amount":"","payerId":null,"participantIds":[]},{"id":"e_mveoqnqwtepbi5rje","name":"晚餐","category":"dinner","amount":"","payerId":null,"participantIds":[]},{"id":"e_mveoqnqw8jh8vewk3","name":"油錢","category":"fuel","amount":"","payerId":null,"participantIds":[]},{"id":"e_mveoqnqwpc3ap7jfy","name":"租車費","category":"rental","amount":"","payerId":null,"participantIds":[]},{"id":"e_mveoqnqwcma905kb5","name":"停車費","category":"parking","amount":"","payerId":null,"participantIds":[]},{"id":"e_mveoqnqw9hinccslt","name":"其他","category":"other","amount":"","payerId":null,"participantIds":[]}]},{"id":"d_mveoqnqwu036k37kh","name":"第 8 天","useCar":false,"drivers":[],"expenses":[{"id":"e_mveoqnqwt0oxbq0pr","name":"早餐","category":"breakfast","amount":"","payerId":null,"participantIds":[]},{"id":"e_mveoqnqw7gl51co14","name":"午餐","category":"lunch","amount":"","payerId":null,"participantIds":[]},{"id":"e_mveoqnqwibigbmfpy","name":"晚餐","category":"dinner","amount":"","payerId":null,"participantIds":[]},{"id":"e_mveoqnqwd6031nwmy","name":"油錢","category":"fuel","amount":"","payerId":null,"participantIds":[]},{"id":"e_mveoqnqwmxrnjo5pg","name":"租車費","category":"rental","amount":"","payerId":null,"participantIds":[]},{"id":"e_mveoqnqw53plb172r","name":"停車費","category":"parking","amount":"","payerId":null,"participantIds":[]},{"id":"e_mveoqnqw1tgje5dnz","name":"其他","category":"other","amount":"","payerId":null,"participantIds":[]}]},{"id":"d_mveoqnqwbeljshn5x","name":"第 9 天","useCar":false,"drivers":[],"expenses":[{"id":"e_mveoqnqwhwruzjj22","name":"早餐","category":"breakfast","amount":"","payerId":null,"participantIds":[]},{"id":"e_mveoqnqw6cfg3qnu9","name":"午餐","category":"lunch","amount":"","payerId":null,"participantIds":[]},{"id":"e_mveoqnqw0vjtzgdng","name":"晚餐","category":"dinner","amount":"","payerId":null,"participantIds":[]},{"id":"e_mveoqnqw7edgla292","name":"油錢","category":"fuel","amount":"","payerId":null,"participantIds":[]},{"id":"e_mveoqnqwnp2qhhmoq","name":"租車費","category":"rental","amount":"","payerId":null,"participantIds":[]},{"id":"e_mveoqnqw3w4ibx2qg","name":"停車費","category":"parking","amount":"","payerId":null,"participantIds":[]},{"id":"e_mveoqnqw8jwfzanv3","name":"其他","category":"other","amount":"","payerId":null,"participantIds":[]}]},{"id":"d_mveoqnqw8at703ih8","name":"第 10 天","useCar":false,"drivers":[],"expenses":[{"id":"e_mveoqnqwca0rkt1qq","name":"早餐","category":"breakfast","amount":"","payerId":null,"participantIds":[]},{"id":"e_mveoqnqwatojmubso","name":"午餐","category":"lunch","amount":"","payerId":null,"participantIds":[]},{"id":"e_mveoqnqwgfw19otll","name":"晚餐","category":"dinner","amount":"","payerId":null,"participantIds":[]},{"id":"e_mveoqnqwm8fgqnjgw","name":"油錢","category":"fuel","amount":"","payerId":null,"participantIds":[]},{"id":"e_mveoqnqwwn707ty0m","name":"租車費","category":"rental","amount":"","payerId":null,"participantIds":[]},{"id":"e_mveoqnqw92tgd1c71","name":"停車費","category":"parking","amount":"","payerId":null,"participantIds":[]},{"id":"e_mveoqnqw8qzdc451t","name":"其他","category":"other","amount":"","payerId":null,"participantIds":[]}]}]},"daySheets":[{"dayId":"d_mveoqnqvyb0rn2635","name":"第 1 天"},{"dayId":"d_mveoqnqvknl0u8rnq","name":"第 2 天"},{"dayId":"d_mveoqnqvx93a442ss","name":"第 3 天"},{"dayId":"d_mveoqnqv9l2z4hath","name":"第 4 天"},{"dayId":"d_mveoqnqvdt9dfrmxb","name":"第 5 天"},{"dayId":"d_mveoqnqvaurjts86t","name":"第 6 天"},{"dayId":"d_mveoqnqwwv9tg6nyl","name":"第 7 天"},{"dayId":"d_mveoqnqwu036k37kh","name":"第 8 天"},{"dayId":"d_mveoqnqwbeljshn5x","name":"第 9 天"},{"dayId":"d_mveoqnqw8at703ih8","name":"第 10 天"}]}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</si>
</sst>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33D37"/>
      <name val="Noto Sans CJK TC"/>
      <family val="0"/>
      <charset val="1"/>
    </font>
    <font>
      <b val="true"/>
      <sz val="14"/>
      <color rgb="FF176253"/>
      <name val="Noto Sans CJK TC"/>
      <family val="0"/>
      <charset val="1"/>
    </font>
    <font>
      <b val="true"/>
      <sz val="11"/>
      <color rgb="FFFFFFFF"/>
      <name val="Noto Sans CJK TC"/>
      <family val="0"/>
      <charset val="1"/>
    </font>
    <font>
      <sz val="10"/>
      <color rgb="FFA82F33"/>
      <name val="Noto Sans CJK T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6253"/>
        <bgColor rgb="FF008080"/>
      </patternFill>
    </fill>
    <fill>
      <patternFill patternType="solid">
        <fgColor rgb="FFEDF4ED"/>
        <bgColor rgb="FFFFF8D9"/>
      </patternFill>
    </fill>
    <fill>
      <patternFill patternType="solid">
        <fgColor rgb="FFFFF8D9"/>
        <bgColor rgb="FFEDF4E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BE4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8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6253"/>
      <rgbColor rgb="FFC0C0C0"/>
      <rgbColor rgb="FF808080"/>
      <rgbColor rgb="FF9999FF"/>
      <rgbColor rgb="FFA82F33"/>
      <rgbColor rgb="FFFFF8D9"/>
      <rgbColor rgb="FFEDF4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BE4DB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3D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40"/>
    <col collapsed="false" customWidth="true" hidden="false" outlineLevel="0" max="2" min="2" style="0" width="22.86"/>
    <col collapsed="false" customWidth="true" hidden="false" outlineLevel="0" max="5" min="3" style="0" width="17.86"/>
    <col collapsed="false" customWidth="true" hidden="false" outlineLevel="0" max="6" min="6" style="0" width="20.71"/>
    <col collapsed="false" customWidth="true" hidden="false" outlineLevel="0" max="10" min="7" style="0" width="17.86"/>
  </cols>
  <sheetData>
    <row r="1" customFormat="false" ht="30" hidden="false" customHeight="true" outlineLevel="0" collapsed="false">
      <c r="B1" s="1" t="s">
        <v>0</v>
      </c>
    </row>
    <row r="2" customFormat="false" ht="30" hidden="false" customHeight="true" outlineLevel="0" collapsed="false">
      <c r="B2" s="1" t="s">
        <v>1</v>
      </c>
    </row>
    <row r="3" customFormat="false" ht="30" hidden="false" customHeight="true" outlineLevel="0" collapsed="false">
      <c r="B3" s="1" t="s">
        <v>2</v>
      </c>
      <c r="C3" s="2" t="n">
        <f aca="false">SUM('第 1 天'!D46,'第 1 天'!F46,'第 1 天'!H46,'第 1 天'!J46,'第 1 天'!L46,'第 1 天'!N46,'第 1 天'!P46,'第 2 天'!D46,'第 2 天'!F46,'第 2 天'!H46,'第 2 天'!J46,'第 2 天'!L46,'第 2 天'!N46,'第 2 天'!P46,'第 3 天'!D46,'第 3 天'!F46,'第 3 天'!H46,'第 3 天'!J46,'第 3 天'!L46,'第 3 天'!N46,'第 3 天'!P46,'第 4 天'!D46,'第 4 天'!F46,'第 4 天'!H46,'第 4 天'!J46,'第 4 天'!L46,'第 4 天'!N46,'第 4 天'!P46,'第 5 天'!D46,'第 5 天'!F46,'第 5 天'!H46,'第 5 天'!J46,'第 5 天'!L46,'第 5 天'!N46,'第 5 天'!P46,'第 6 天'!D46,'第 6 天'!F46,'第 6 天'!H46,'第 6 天'!J46,'第 6 天'!L46,'第 6 天'!N46,'第 6 天'!P46,'第 7 天'!D46,'第 7 天'!F46,'第 7 天'!H46,'第 7 天'!J46,'第 7 天'!L46,'第 7 天'!N46,'第 7 天'!P46,'第 8 天'!D46,'第 8 天'!F46,'第 8 天'!H46,'第 8 天'!J46,'第 8 天'!L46,'第 8 天'!N46,'第 8 天'!P46,'第 9 天'!D46,'第 9 天'!F46,'第 9 天'!H46,'第 9 天'!J46,'第 9 天'!L46,'第 9 天'!N46,'第 9 天'!P46,'第 10 天'!D46,'第 10 天'!F46,'第 10 天'!H46,'第 10 天'!J46,'第 10 天'!L46,'第 10 天'!N46,'第 10 天'!P46)/10</f>
        <v>0</v>
      </c>
      <c r="E3" s="1" t="s">
        <v>3</v>
      </c>
      <c r="F3" s="2" t="n">
        <f aca="false">SUM('第 1 天'!D51,'第 1 天'!F51,'第 1 天'!H51,'第 1 天'!J51,'第 1 天'!L51,'第 1 天'!N51,'第 1 天'!P51,'第 2 天'!D51,'第 2 天'!F51,'第 2 天'!H51,'第 2 天'!J51,'第 2 天'!L51,'第 2 天'!N51,'第 2 天'!P51,'第 3 天'!D51,'第 3 天'!F51,'第 3 天'!H51,'第 3 天'!J51,'第 3 天'!L51,'第 3 天'!N51,'第 3 天'!P51,'第 4 天'!D51,'第 4 天'!F51,'第 4 天'!H51,'第 4 天'!J51,'第 4 天'!L51,'第 4 天'!N51,'第 4 天'!P51,'第 5 天'!D51,'第 5 天'!F51,'第 5 天'!H51,'第 5 天'!J51,'第 5 天'!L51,'第 5 天'!N51,'第 5 天'!P51,'第 6 天'!D51,'第 6 天'!F51,'第 6 天'!H51,'第 6 天'!J51,'第 6 天'!L51,'第 6 天'!N51,'第 6 天'!P51,'第 7 天'!D51,'第 7 天'!F51,'第 7 天'!H51,'第 7 天'!J51,'第 7 天'!L51,'第 7 天'!N51,'第 7 天'!P51,'第 8 天'!D51,'第 8 天'!F51,'第 8 天'!H51,'第 8 天'!J51,'第 8 天'!L51,'第 8 天'!N51,'第 8 天'!P51,'第 9 天'!D51,'第 9 天'!F51,'第 9 天'!H51,'第 9 天'!J51,'第 9 天'!L51,'第 9 天'!N51,'第 9 天'!P51,'第 10 天'!D51,'第 10 天'!F51,'第 10 天'!H51,'第 10 天'!J51,'第 10 天'!L51,'第 10 天'!N51,'第 10 天'!P51)/10</f>
        <v>0</v>
      </c>
      <c r="H3" s="1" t="s">
        <v>4</v>
      </c>
      <c r="I3" s="2" t="n">
        <f aca="false">(SUM('第 1 天'!D46,'第 1 天'!F46,'第 1 天'!H46,'第 1 天'!J46,'第 1 天'!L46,'第 1 天'!N46,'第 1 天'!P46,'第 2 天'!D46,'第 2 天'!F46,'第 2 天'!H46,'第 2 天'!J46,'第 2 天'!L46,'第 2 天'!N46,'第 2 天'!P46,'第 3 天'!D46,'第 3 天'!F46,'第 3 天'!H46,'第 3 天'!J46,'第 3 天'!L46,'第 3 天'!N46,'第 3 天'!P46,'第 4 天'!D46,'第 4 天'!F46,'第 4 天'!H46,'第 4 天'!J46,'第 4 天'!L46,'第 4 天'!N46,'第 4 天'!P46,'第 5 天'!D46,'第 5 天'!F46,'第 5 天'!H46,'第 5 天'!J46,'第 5 天'!L46,'第 5 天'!N46,'第 5 天'!P46,'第 6 天'!D46,'第 6 天'!F46,'第 6 天'!H46,'第 6 天'!J46,'第 6 天'!L46,'第 6 天'!N46,'第 6 天'!P46,'第 7 天'!D46,'第 7 天'!F46,'第 7 天'!H46,'第 7 天'!J46,'第 7 天'!L46,'第 7 天'!N46,'第 7 天'!P46,'第 8 天'!D46,'第 8 天'!F46,'第 8 天'!H46,'第 8 天'!J46,'第 8 天'!L46,'第 8 天'!N46,'第 8 天'!P46,'第 9 天'!D46,'第 9 天'!F46,'第 9 天'!H46,'第 9 天'!J46,'第 9 天'!L46,'第 9 天'!N46,'第 9 天'!P46,'第 10 天'!D46,'第 10 天'!F46,'第 10 天'!H46,'第 10 天'!J46,'第 10 天'!L46,'第 10 天'!N46,'第 10 天'!P46)-SUM('第 1 天'!D51,'第 1 天'!F51,'第 1 天'!H51,'第 1 天'!J51,'第 1 天'!L51,'第 1 天'!N51,'第 1 天'!P51,'第 2 天'!D51,'第 2 天'!F51,'第 2 天'!H51,'第 2 天'!J51,'第 2 天'!L51,'第 2 天'!N51,'第 2 天'!P51,'第 3 天'!D51,'第 3 天'!F51,'第 3 天'!H51,'第 3 天'!J51,'第 3 天'!L51,'第 3 天'!N51,'第 3 天'!P51,'第 4 天'!D51,'第 4 天'!F51,'第 4 天'!H51,'第 4 天'!J51,'第 4 天'!L51,'第 4 天'!N51,'第 4 天'!P51,'第 5 天'!D51,'第 5 天'!F51,'第 5 天'!H51,'第 5 天'!J51,'第 5 天'!L51,'第 5 天'!N51,'第 5 天'!P51,'第 6 天'!D51,'第 6 天'!F51,'第 6 天'!H51,'第 6 天'!J51,'第 6 天'!L51,'第 6 天'!N51,'第 6 天'!P51,'第 7 天'!D51,'第 7 天'!F51,'第 7 天'!H51,'第 7 天'!J51,'第 7 天'!L51,'第 7 天'!N51,'第 7 天'!P51,'第 8 天'!D51,'第 8 天'!F51,'第 8 天'!H51,'第 8 天'!J51,'第 8 天'!L51,'第 8 天'!N51,'第 8 天'!P51,'第 9 天'!D51,'第 9 天'!F51,'第 9 天'!H51,'第 9 天'!J51,'第 9 天'!L51,'第 9 天'!N51,'第 9 天'!P51,'第 10 天'!D51,'第 10 天'!F51,'第 10 天'!H51,'第 10 天'!J51,'第 10 天'!L51,'第 10 天'!N51,'第 10 天'!P51))/10</f>
        <v>0</v>
      </c>
    </row>
    <row r="4" customFormat="false" ht="30" hidden="false" customHeight="true" outlineLevel="0" collapsed="false">
      <c r="B4" s="1" t="s">
        <v>5</v>
      </c>
      <c r="C4" s="2" t="n">
        <f aca="false">SUM(IF(LEN('第 1 天'!D10)&gt;0,1,0),IF(LEN('第 1 天'!F10)&gt;0,1,0),IF(LEN('第 1 天'!H10)&gt;0,1,0),IF(LEN('第 1 天'!J10)&gt;0,1,0),IF(LEN('第 1 天'!L10)&gt;0,1,0),IF(LEN('第 1 天'!N10)&gt;0,1,0),IF(LEN('第 1 天'!P10)&gt;0,1,0),IF(LEN('第 2 天'!D10)&gt;0,1,0),IF(LEN('第 2 天'!F10)&gt;0,1,0),IF(LEN('第 2 天'!H10)&gt;0,1,0),IF(LEN('第 2 天'!J10)&gt;0,1,0),IF(LEN('第 2 天'!L10)&gt;0,1,0),IF(LEN('第 2 天'!N10)&gt;0,1,0),IF(LEN('第 2 天'!P10)&gt;0,1,0),IF(LEN('第 3 天'!D10)&gt;0,1,0),IF(LEN('第 3 天'!F10)&gt;0,1,0),IF(LEN('第 3 天'!H10)&gt;0,1,0),IF(LEN('第 3 天'!J10)&gt;0,1,0),IF(LEN('第 3 天'!L10)&gt;0,1,0),IF(LEN('第 3 天'!N10)&gt;0,1,0),IF(LEN('第 3 天'!P10)&gt;0,1,0),IF(LEN('第 4 天'!D10)&gt;0,1,0),IF(LEN('第 4 天'!F10)&gt;0,1,0),IF(LEN('第 4 天'!H10)&gt;0,1,0),IF(LEN('第 4 天'!J10)&gt;0,1,0),IF(LEN('第 4 天'!L10)&gt;0,1,0),IF(LEN('第 4 天'!N10)&gt;0,1,0),IF(LEN('第 4 天'!P10)&gt;0,1,0),IF(LEN('第 5 天'!D10)&gt;0,1,0),IF(LEN('第 5 天'!F10)&gt;0,1,0),IF(LEN('第 5 天'!H10)&gt;0,1,0),IF(LEN('第 5 天'!J10)&gt;0,1,0),IF(LEN('第 5 天'!L10)&gt;0,1,0),IF(LEN('第 5 天'!N10)&gt;0,1,0),IF(LEN('第 5 天'!P10)&gt;0,1,0),IF(LEN('第 6 天'!D10)&gt;0,1,0),IF(LEN('第 6 天'!F10)&gt;0,1,0),IF(LEN('第 6 天'!H10)&gt;0,1,0),IF(LEN('第 6 天'!J10)&gt;0,1,0),IF(LEN('第 6 天'!L10)&gt;0,1,0),IF(LEN('第 6 天'!N10)&gt;0,1,0),IF(LEN('第 6 天'!P10)&gt;0,1,0),IF(LEN('第 7 天'!D10)&gt;0,1,0),IF(LEN('第 7 天'!F10)&gt;0,1,0),IF(LEN('第 7 天'!H10)&gt;0,1,0),IF(LEN('第 7 天'!J10)&gt;0,1,0),IF(LEN('第 7 天'!L10)&gt;0,1,0),IF(LEN('第 7 天'!N10)&gt;0,1,0),IF(LEN('第 7 天'!P10)&gt;0,1,0),IF(LEN('第 8 天'!D10)&gt;0,1,0),IF(LEN('第 8 天'!F10)&gt;0,1,0),IF(LEN('第 8 天'!H10)&gt;0,1,0),IF(LEN('第 8 天'!J10)&gt;0,1,0),IF(LEN('第 8 天'!L10)&gt;0,1,0),IF(LEN('第 8 天'!N10)&gt;0,1,0),IF(LEN('第 8 天'!P10)&gt;0,1,0),IF(LEN('第 9 天'!D10)&gt;0,1,0),IF(LEN('第 9 天'!F10)&gt;0,1,0),IF(LEN('第 9 天'!H10)&gt;0,1,0),IF(LEN('第 9 天'!J10)&gt;0,1,0),IF(LEN('第 9 天'!L10)&gt;0,1,0),IF(LEN('第 9 天'!N10)&gt;0,1,0),IF(LEN('第 9 天'!P10)&gt;0,1,0),IF(LEN('第 10 天'!D10)&gt;0,1,0),IF(LEN('第 10 天'!F10)&gt;0,1,0),IF(LEN('第 10 天'!H10)&gt;0,1,0),IF(LEN('第 10 天'!J10)&gt;0,1,0),IF(LEN('第 10 天'!L10)&gt;0,1,0),IF(LEN('第 10 天'!N10)&gt;0,1,0),IF(LEN('第 10 天'!P10)&gt;0,1,0))</f>
        <v>0</v>
      </c>
      <c r="E4" s="1" t="s">
        <v>6</v>
      </c>
      <c r="F4" s="2" t="n">
        <f aca="false">(SUM('第 1 天'!D46,'第 1 天'!F46,'第 1 天'!H46,'第 1 天'!J46,'第 1 天'!L46,'第 1 天'!N46,'第 1 天'!P46,'第 2 天'!D46,'第 2 天'!F46,'第 2 天'!H46,'第 2 天'!J46,'第 2 天'!L46,'第 2 天'!N46,'第 2 天'!P46,'第 3 天'!D46,'第 3 天'!F46,'第 3 天'!H46,'第 3 天'!J46,'第 3 天'!L46,'第 3 天'!N46,'第 3 天'!P46,'第 4 天'!D46,'第 4 天'!F46,'第 4 天'!H46,'第 4 天'!J46,'第 4 天'!L46,'第 4 天'!N46,'第 4 天'!P46,'第 5 天'!D46,'第 5 天'!F46,'第 5 天'!H46,'第 5 天'!J46,'第 5 天'!L46,'第 5 天'!N46,'第 5 天'!P46,'第 6 天'!D46,'第 6 天'!F46,'第 6 天'!H46,'第 6 天'!J46,'第 6 天'!L46,'第 6 天'!N46,'第 6 天'!P46,'第 7 天'!D46,'第 7 天'!F46,'第 7 天'!H46,'第 7 天'!J46,'第 7 天'!L46,'第 7 天'!N46,'第 7 天'!P46,'第 8 天'!D46,'第 8 天'!F46,'第 8 天'!H46,'第 8 天'!J46,'第 8 天'!L46,'第 8 天'!N46,'第 8 天'!P46,'第 9 天'!D46,'第 9 天'!F46,'第 9 天'!H46,'第 9 天'!J46,'第 9 天'!L46,'第 9 天'!N46,'第 9 天'!P46,'第 10 天'!D46,'第 10 天'!F46,'第 10 天'!H46,'第 10 天'!J46,'第 10 天'!L46,'第 10 天'!N46,'第 10 天'!P46)-SUM(_計算!H2:H301))/10</f>
        <v>0</v>
      </c>
    </row>
    <row r="5" customFormat="false" ht="30" hidden="false" customHeight="true" outlineLevel="0" collapsed="false">
      <c r="B5" s="1" t="s">
        <v>7</v>
      </c>
    </row>
    <row r="7" customFormat="false" ht="30" hidden="false" customHeight="true" outlineLevel="0" collapsed="false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</row>
    <row r="8" customFormat="false" ht="27.75" hidden="false" customHeight="true" outlineLevel="0" collapsed="false">
      <c r="A8" s="4" t="s">
        <v>18</v>
      </c>
      <c r="B8" s="5" t="str">
        <f aca="false">IFERROR(INDEX(成員名單!$B$5:$B$34,MATCH($A8,成員名單!$A$5:$A$34,0))&amp;"","")</f>
        <v/>
      </c>
      <c r="C8" s="5" t="n">
        <f aca="false">SUMIF(_計算!$B$2:$B$301,$A8,_計算!$C$2:$C$301)/10</f>
        <v>0</v>
      </c>
      <c r="D8" s="5" t="n">
        <f aca="false">SUMIF(_計算!$B$2:$B$301,$A8,_計算!$D$2:$D$301)/10</f>
        <v>0</v>
      </c>
      <c r="E8" s="5" t="n">
        <f aca="false">SUMIF(_計算!$B$2:$B$301,$A8,_計算!$E$2:$E$301)/10</f>
        <v>0</v>
      </c>
      <c r="F8" s="5" t="n">
        <f aca="false">SUMIF(_計算!$B$2:$B$301,$A8,_計算!$F$2:$F$301)/10</f>
        <v>0</v>
      </c>
      <c r="G8" s="5" t="n">
        <f aca="false">SUMIF(_計算!$B$2:$B$301,$A8,_計算!$G$2:$G$301)/10</f>
        <v>0</v>
      </c>
      <c r="H8" s="5" t="n">
        <f aca="false">SUMIF(_計算!$B$2:$B$301,$A8,_計算!$H$2:$H$301)/10</f>
        <v>0</v>
      </c>
      <c r="I8" s="5" t="n">
        <f aca="false">MAX(0,(SUMIF(_計算!$B$2:$B$301,$A8,_計算!$G$2:$G$301)-SUMIF(_計算!$B$2:$B$301,$A8,_計算!$H$2:$H$301))/10)</f>
        <v>0</v>
      </c>
      <c r="J8" s="5" t="n">
        <f aca="false">MAX(0,(SUMIF(_計算!$B$2:$B$301,$A8,_計算!$H$2:$H$301)-SUMIF(_計算!$B$2:$B$301,$A8,_計算!$G$2:$G$301))/10)</f>
        <v>0</v>
      </c>
    </row>
    <row r="9" customFormat="false" ht="27.75" hidden="false" customHeight="true" outlineLevel="0" collapsed="false">
      <c r="A9" s="6" t="s">
        <v>19</v>
      </c>
      <c r="B9" s="7" t="str">
        <f aca="false">IFERROR(INDEX(成員名單!$B$5:$B$34,MATCH($A9,成員名單!$A$5:$A$34,0))&amp;"","")</f>
        <v/>
      </c>
      <c r="C9" s="7" t="n">
        <f aca="false">SUMIF(_計算!$B$2:$B$301,$A9,_計算!$C$2:$C$301)/10</f>
        <v>0</v>
      </c>
      <c r="D9" s="7" t="n">
        <f aca="false">SUMIF(_計算!$B$2:$B$301,$A9,_計算!$D$2:$D$301)/10</f>
        <v>0</v>
      </c>
      <c r="E9" s="7" t="n">
        <f aca="false">SUMIF(_計算!$B$2:$B$301,$A9,_計算!$E$2:$E$301)/10</f>
        <v>0</v>
      </c>
      <c r="F9" s="7" t="n">
        <f aca="false">SUMIF(_計算!$B$2:$B$301,$A9,_計算!$F$2:$F$301)/10</f>
        <v>0</v>
      </c>
      <c r="G9" s="7" t="n">
        <f aca="false">SUMIF(_計算!$B$2:$B$301,$A9,_計算!$G$2:$G$301)/10</f>
        <v>0</v>
      </c>
      <c r="H9" s="7" t="n">
        <f aca="false">SUMIF(_計算!$B$2:$B$301,$A9,_計算!$H$2:$H$301)/10</f>
        <v>0</v>
      </c>
      <c r="I9" s="7" t="n">
        <f aca="false">MAX(0,(SUMIF(_計算!$B$2:$B$301,$A9,_計算!$G$2:$G$301)-SUMIF(_計算!$B$2:$B$301,$A9,_計算!$H$2:$H$301))/10)</f>
        <v>0</v>
      </c>
      <c r="J9" s="7" t="n">
        <f aca="false">MAX(0,(SUMIF(_計算!$B$2:$B$301,$A9,_計算!$H$2:$H$301)-SUMIF(_計算!$B$2:$B$301,$A9,_計算!$G$2:$G$301))/10)</f>
        <v>0</v>
      </c>
    </row>
    <row r="10" customFormat="false" ht="27.75" hidden="false" customHeight="true" outlineLevel="0" collapsed="false">
      <c r="A10" s="4" t="s">
        <v>20</v>
      </c>
      <c r="B10" s="5" t="str">
        <f aca="false">IFERROR(INDEX(成員名單!$B$5:$B$34,MATCH($A10,成員名單!$A$5:$A$34,0))&amp;"","")</f>
        <v/>
      </c>
      <c r="C10" s="5" t="n">
        <f aca="false">SUMIF(_計算!$B$2:$B$301,$A10,_計算!$C$2:$C$301)/10</f>
        <v>0</v>
      </c>
      <c r="D10" s="5" t="n">
        <f aca="false">SUMIF(_計算!$B$2:$B$301,$A10,_計算!$D$2:$D$301)/10</f>
        <v>0</v>
      </c>
      <c r="E10" s="5" t="n">
        <f aca="false">SUMIF(_計算!$B$2:$B$301,$A10,_計算!$E$2:$E$301)/10</f>
        <v>0</v>
      </c>
      <c r="F10" s="5" t="n">
        <f aca="false">SUMIF(_計算!$B$2:$B$301,$A10,_計算!$F$2:$F$301)/10</f>
        <v>0</v>
      </c>
      <c r="G10" s="5" t="n">
        <f aca="false">SUMIF(_計算!$B$2:$B$301,$A10,_計算!$G$2:$G$301)/10</f>
        <v>0</v>
      </c>
      <c r="H10" s="5" t="n">
        <f aca="false">SUMIF(_計算!$B$2:$B$301,$A10,_計算!$H$2:$H$301)/10</f>
        <v>0</v>
      </c>
      <c r="I10" s="5" t="n">
        <f aca="false">MAX(0,(SUMIF(_計算!$B$2:$B$301,$A10,_計算!$G$2:$G$301)-SUMIF(_計算!$B$2:$B$301,$A10,_計算!$H$2:$H$301))/10)</f>
        <v>0</v>
      </c>
      <c r="J10" s="5" t="n">
        <f aca="false">MAX(0,(SUMIF(_計算!$B$2:$B$301,$A10,_計算!$H$2:$H$301)-SUMIF(_計算!$B$2:$B$301,$A10,_計算!$G$2:$G$301))/10)</f>
        <v>0</v>
      </c>
    </row>
    <row r="11" customFormat="false" ht="27.75" hidden="false" customHeight="true" outlineLevel="0" collapsed="false">
      <c r="A11" s="6" t="s">
        <v>21</v>
      </c>
      <c r="B11" s="7" t="str">
        <f aca="false">IFERROR(INDEX(成員名單!$B$5:$B$34,MATCH($A11,成員名單!$A$5:$A$34,0))&amp;"","")</f>
        <v/>
      </c>
      <c r="C11" s="7" t="n">
        <f aca="false">SUMIF(_計算!$B$2:$B$301,$A11,_計算!$C$2:$C$301)/10</f>
        <v>0</v>
      </c>
      <c r="D11" s="7" t="n">
        <f aca="false">SUMIF(_計算!$B$2:$B$301,$A11,_計算!$D$2:$D$301)/10</f>
        <v>0</v>
      </c>
      <c r="E11" s="7" t="n">
        <f aca="false">SUMIF(_計算!$B$2:$B$301,$A11,_計算!$E$2:$E$301)/10</f>
        <v>0</v>
      </c>
      <c r="F11" s="7" t="n">
        <f aca="false">SUMIF(_計算!$B$2:$B$301,$A11,_計算!$F$2:$F$301)/10</f>
        <v>0</v>
      </c>
      <c r="G11" s="7" t="n">
        <f aca="false">SUMIF(_計算!$B$2:$B$301,$A11,_計算!$G$2:$G$301)/10</f>
        <v>0</v>
      </c>
      <c r="H11" s="7" t="n">
        <f aca="false">SUMIF(_計算!$B$2:$B$301,$A11,_計算!$H$2:$H$301)/10</f>
        <v>0</v>
      </c>
      <c r="I11" s="7" t="n">
        <f aca="false">MAX(0,(SUMIF(_計算!$B$2:$B$301,$A11,_計算!$G$2:$G$301)-SUMIF(_計算!$B$2:$B$301,$A11,_計算!$H$2:$H$301))/10)</f>
        <v>0</v>
      </c>
      <c r="J11" s="7" t="n">
        <f aca="false">MAX(0,(SUMIF(_計算!$B$2:$B$301,$A11,_計算!$H$2:$H$301)-SUMIF(_計算!$B$2:$B$301,$A11,_計算!$G$2:$G$301))/10)</f>
        <v>0</v>
      </c>
    </row>
    <row r="12" customFormat="false" ht="27.75" hidden="false" customHeight="true" outlineLevel="0" collapsed="false">
      <c r="A12" s="8" t="s">
        <v>22</v>
      </c>
      <c r="B12" s="9" t="str">
        <f aca="false">IFERROR(INDEX(成員名單!$B$5:$B$34,MATCH($A12,成員名單!$A$5:$A$34,0))&amp;"","")</f>
        <v/>
      </c>
      <c r="C12" s="9" t="n">
        <f aca="false">SUMIF(_計算!$B$2:$B$301,$A12,_計算!$C$2:$C$301)/10</f>
        <v>0</v>
      </c>
      <c r="D12" s="9" t="n">
        <f aca="false">SUMIF(_計算!$B$2:$B$301,$A12,_計算!$D$2:$D$301)/10</f>
        <v>0</v>
      </c>
      <c r="E12" s="9" t="n">
        <f aca="false">SUMIF(_計算!$B$2:$B$301,$A12,_計算!$E$2:$E$301)/10</f>
        <v>0</v>
      </c>
      <c r="F12" s="9" t="n">
        <f aca="false">SUMIF(_計算!$B$2:$B$301,$A12,_計算!$F$2:$F$301)/10</f>
        <v>0</v>
      </c>
      <c r="G12" s="9" t="n">
        <f aca="false">SUMIF(_計算!$B$2:$B$301,$A12,_計算!$G$2:$G$301)/10</f>
        <v>0</v>
      </c>
      <c r="H12" s="9" t="n">
        <f aca="false">SUMIF(_計算!$B$2:$B$301,$A12,_計算!$H$2:$H$301)/10</f>
        <v>0</v>
      </c>
      <c r="I12" s="9" t="n">
        <f aca="false">MAX(0,(SUMIF(_計算!$B$2:$B$301,$A12,_計算!$G$2:$G$301)-SUMIF(_計算!$B$2:$B$301,$A12,_計算!$H$2:$H$301))/10)</f>
        <v>0</v>
      </c>
      <c r="J12" s="9" t="n">
        <f aca="false">MAX(0,(SUMIF(_計算!$B$2:$B$301,$A12,_計算!$H$2:$H$301)-SUMIF(_計算!$B$2:$B$301,$A12,_計算!$G$2:$G$301))/10)</f>
        <v>0</v>
      </c>
    </row>
    <row r="13" customFormat="false" ht="27.75" hidden="false" customHeight="true" outlineLevel="0" collapsed="false">
      <c r="A13" s="10" t="s">
        <v>23</v>
      </c>
      <c r="B13" s="11" t="str">
        <f aca="false">IFERROR(INDEX(成員名單!$B$5:$B$34,MATCH($A13,成員名單!$A$5:$A$34,0))&amp;"","")</f>
        <v/>
      </c>
      <c r="C13" s="11" t="n">
        <f aca="false">SUMIF(_計算!$B$2:$B$301,$A13,_計算!$C$2:$C$301)/10</f>
        <v>0</v>
      </c>
      <c r="D13" s="11" t="n">
        <f aca="false">SUMIF(_計算!$B$2:$B$301,$A13,_計算!$D$2:$D$301)/10</f>
        <v>0</v>
      </c>
      <c r="E13" s="11" t="n">
        <f aca="false">SUMIF(_計算!$B$2:$B$301,$A13,_計算!$E$2:$E$301)/10</f>
        <v>0</v>
      </c>
      <c r="F13" s="11" t="n">
        <f aca="false">SUMIF(_計算!$B$2:$B$301,$A13,_計算!$F$2:$F$301)/10</f>
        <v>0</v>
      </c>
      <c r="G13" s="11" t="n">
        <f aca="false">SUMIF(_計算!$B$2:$B$301,$A13,_計算!$G$2:$G$301)/10</f>
        <v>0</v>
      </c>
      <c r="H13" s="11" t="n">
        <f aca="false">SUMIF(_計算!$B$2:$B$301,$A13,_計算!$H$2:$H$301)/10</f>
        <v>0</v>
      </c>
      <c r="I13" s="11" t="n">
        <f aca="false">MAX(0,(SUMIF(_計算!$B$2:$B$301,$A13,_計算!$G$2:$G$301)-SUMIF(_計算!$B$2:$B$301,$A13,_計算!$H$2:$H$301))/10)</f>
        <v>0</v>
      </c>
      <c r="J13" s="11" t="n">
        <f aca="false">MAX(0,(SUMIF(_計算!$B$2:$B$301,$A13,_計算!$H$2:$H$301)-SUMIF(_計算!$B$2:$B$301,$A13,_計算!$G$2:$G$301))/10)</f>
        <v>0</v>
      </c>
    </row>
    <row r="14" customFormat="false" ht="27.75" hidden="false" customHeight="true" outlineLevel="0" collapsed="false">
      <c r="A14" s="8" t="s">
        <v>24</v>
      </c>
      <c r="B14" s="9" t="str">
        <f aca="false">IFERROR(INDEX(成員名單!$B$5:$B$34,MATCH($A14,成員名單!$A$5:$A$34,0))&amp;"","")</f>
        <v/>
      </c>
      <c r="C14" s="9" t="n">
        <f aca="false">SUMIF(_計算!$B$2:$B$301,$A14,_計算!$C$2:$C$301)/10</f>
        <v>0</v>
      </c>
      <c r="D14" s="9" t="n">
        <f aca="false">SUMIF(_計算!$B$2:$B$301,$A14,_計算!$D$2:$D$301)/10</f>
        <v>0</v>
      </c>
      <c r="E14" s="9" t="n">
        <f aca="false">SUMIF(_計算!$B$2:$B$301,$A14,_計算!$E$2:$E$301)/10</f>
        <v>0</v>
      </c>
      <c r="F14" s="9" t="n">
        <f aca="false">SUMIF(_計算!$B$2:$B$301,$A14,_計算!$F$2:$F$301)/10</f>
        <v>0</v>
      </c>
      <c r="G14" s="9" t="n">
        <f aca="false">SUMIF(_計算!$B$2:$B$301,$A14,_計算!$G$2:$G$301)/10</f>
        <v>0</v>
      </c>
      <c r="H14" s="9" t="n">
        <f aca="false">SUMIF(_計算!$B$2:$B$301,$A14,_計算!$H$2:$H$301)/10</f>
        <v>0</v>
      </c>
      <c r="I14" s="9" t="n">
        <f aca="false">MAX(0,(SUMIF(_計算!$B$2:$B$301,$A14,_計算!$G$2:$G$301)-SUMIF(_計算!$B$2:$B$301,$A14,_計算!$H$2:$H$301))/10)</f>
        <v>0</v>
      </c>
      <c r="J14" s="9" t="n">
        <f aca="false">MAX(0,(SUMIF(_計算!$B$2:$B$301,$A14,_計算!$H$2:$H$301)-SUMIF(_計算!$B$2:$B$301,$A14,_計算!$G$2:$G$301))/10)</f>
        <v>0</v>
      </c>
    </row>
    <row r="15" customFormat="false" ht="27.75" hidden="false" customHeight="true" outlineLevel="0" collapsed="false">
      <c r="A15" s="10" t="s">
        <v>25</v>
      </c>
      <c r="B15" s="11" t="str">
        <f aca="false">IFERROR(INDEX(成員名單!$B$5:$B$34,MATCH($A15,成員名單!$A$5:$A$34,0))&amp;"","")</f>
        <v/>
      </c>
      <c r="C15" s="11" t="n">
        <f aca="false">SUMIF(_計算!$B$2:$B$301,$A15,_計算!$C$2:$C$301)/10</f>
        <v>0</v>
      </c>
      <c r="D15" s="11" t="n">
        <f aca="false">SUMIF(_計算!$B$2:$B$301,$A15,_計算!$D$2:$D$301)/10</f>
        <v>0</v>
      </c>
      <c r="E15" s="11" t="n">
        <f aca="false">SUMIF(_計算!$B$2:$B$301,$A15,_計算!$E$2:$E$301)/10</f>
        <v>0</v>
      </c>
      <c r="F15" s="11" t="n">
        <f aca="false">SUMIF(_計算!$B$2:$B$301,$A15,_計算!$F$2:$F$301)/10</f>
        <v>0</v>
      </c>
      <c r="G15" s="11" t="n">
        <f aca="false">SUMIF(_計算!$B$2:$B$301,$A15,_計算!$G$2:$G$301)/10</f>
        <v>0</v>
      </c>
      <c r="H15" s="11" t="n">
        <f aca="false">SUMIF(_計算!$B$2:$B$301,$A15,_計算!$H$2:$H$301)/10</f>
        <v>0</v>
      </c>
      <c r="I15" s="11" t="n">
        <f aca="false">MAX(0,(SUMIF(_計算!$B$2:$B$301,$A15,_計算!$G$2:$G$301)-SUMIF(_計算!$B$2:$B$301,$A15,_計算!$H$2:$H$301))/10)</f>
        <v>0</v>
      </c>
      <c r="J15" s="11" t="n">
        <f aca="false">MAX(0,(SUMIF(_計算!$B$2:$B$301,$A15,_計算!$H$2:$H$301)-SUMIF(_計算!$B$2:$B$301,$A15,_計算!$G$2:$G$301))/10)</f>
        <v>0</v>
      </c>
    </row>
    <row r="16" customFormat="false" ht="27.75" hidden="false" customHeight="true" outlineLevel="0" collapsed="false">
      <c r="A16" s="8" t="s">
        <v>26</v>
      </c>
      <c r="B16" s="9" t="str">
        <f aca="false">IFERROR(INDEX(成員名單!$B$5:$B$34,MATCH($A16,成員名單!$A$5:$A$34,0))&amp;"","")</f>
        <v/>
      </c>
      <c r="C16" s="9" t="n">
        <f aca="false">SUMIF(_計算!$B$2:$B$301,$A16,_計算!$C$2:$C$301)/10</f>
        <v>0</v>
      </c>
      <c r="D16" s="9" t="n">
        <f aca="false">SUMIF(_計算!$B$2:$B$301,$A16,_計算!$D$2:$D$301)/10</f>
        <v>0</v>
      </c>
      <c r="E16" s="9" t="n">
        <f aca="false">SUMIF(_計算!$B$2:$B$301,$A16,_計算!$E$2:$E$301)/10</f>
        <v>0</v>
      </c>
      <c r="F16" s="9" t="n">
        <f aca="false">SUMIF(_計算!$B$2:$B$301,$A16,_計算!$F$2:$F$301)/10</f>
        <v>0</v>
      </c>
      <c r="G16" s="9" t="n">
        <f aca="false">SUMIF(_計算!$B$2:$B$301,$A16,_計算!$G$2:$G$301)/10</f>
        <v>0</v>
      </c>
      <c r="H16" s="9" t="n">
        <f aca="false">SUMIF(_計算!$B$2:$B$301,$A16,_計算!$H$2:$H$301)/10</f>
        <v>0</v>
      </c>
      <c r="I16" s="9" t="n">
        <f aca="false">MAX(0,(SUMIF(_計算!$B$2:$B$301,$A16,_計算!$G$2:$G$301)-SUMIF(_計算!$B$2:$B$301,$A16,_計算!$H$2:$H$301))/10)</f>
        <v>0</v>
      </c>
      <c r="J16" s="9" t="n">
        <f aca="false">MAX(0,(SUMIF(_計算!$B$2:$B$301,$A16,_計算!$H$2:$H$301)-SUMIF(_計算!$B$2:$B$301,$A16,_計算!$G$2:$G$301))/10)</f>
        <v>0</v>
      </c>
    </row>
    <row r="17" customFormat="false" ht="27.75" hidden="false" customHeight="true" outlineLevel="0" collapsed="false">
      <c r="A17" s="10" t="s">
        <v>27</v>
      </c>
      <c r="B17" s="11" t="str">
        <f aca="false">IFERROR(INDEX(成員名單!$B$5:$B$34,MATCH($A17,成員名單!$A$5:$A$34,0))&amp;"","")</f>
        <v/>
      </c>
      <c r="C17" s="11" t="n">
        <f aca="false">SUMIF(_計算!$B$2:$B$301,$A17,_計算!$C$2:$C$301)/10</f>
        <v>0</v>
      </c>
      <c r="D17" s="11" t="n">
        <f aca="false">SUMIF(_計算!$B$2:$B$301,$A17,_計算!$D$2:$D$301)/10</f>
        <v>0</v>
      </c>
      <c r="E17" s="11" t="n">
        <f aca="false">SUMIF(_計算!$B$2:$B$301,$A17,_計算!$E$2:$E$301)/10</f>
        <v>0</v>
      </c>
      <c r="F17" s="11" t="n">
        <f aca="false">SUMIF(_計算!$B$2:$B$301,$A17,_計算!$F$2:$F$301)/10</f>
        <v>0</v>
      </c>
      <c r="G17" s="11" t="n">
        <f aca="false">SUMIF(_計算!$B$2:$B$301,$A17,_計算!$G$2:$G$301)/10</f>
        <v>0</v>
      </c>
      <c r="H17" s="11" t="n">
        <f aca="false">SUMIF(_計算!$B$2:$B$301,$A17,_計算!$H$2:$H$301)/10</f>
        <v>0</v>
      </c>
      <c r="I17" s="11" t="n">
        <f aca="false">MAX(0,(SUMIF(_計算!$B$2:$B$301,$A17,_計算!$G$2:$G$301)-SUMIF(_計算!$B$2:$B$301,$A17,_計算!$H$2:$H$301))/10)</f>
        <v>0</v>
      </c>
      <c r="J17" s="11" t="n">
        <f aca="false">MAX(0,(SUMIF(_計算!$B$2:$B$301,$A17,_計算!$H$2:$H$301)-SUMIF(_計算!$B$2:$B$301,$A17,_計算!$G$2:$G$301))/10)</f>
        <v>0</v>
      </c>
    </row>
    <row r="18" customFormat="false" ht="27.75" hidden="false" customHeight="true" outlineLevel="0" collapsed="false">
      <c r="A18" s="8" t="s">
        <v>28</v>
      </c>
      <c r="B18" s="9" t="str">
        <f aca="false">IFERROR(INDEX(成員名單!$B$5:$B$34,MATCH($A18,成員名單!$A$5:$A$34,0))&amp;"","")</f>
        <v/>
      </c>
      <c r="C18" s="9" t="n">
        <f aca="false">SUMIF(_計算!$B$2:$B$301,$A18,_計算!$C$2:$C$301)/10</f>
        <v>0</v>
      </c>
      <c r="D18" s="9" t="n">
        <f aca="false">SUMIF(_計算!$B$2:$B$301,$A18,_計算!$D$2:$D$301)/10</f>
        <v>0</v>
      </c>
      <c r="E18" s="9" t="n">
        <f aca="false">SUMIF(_計算!$B$2:$B$301,$A18,_計算!$E$2:$E$301)/10</f>
        <v>0</v>
      </c>
      <c r="F18" s="9" t="n">
        <f aca="false">SUMIF(_計算!$B$2:$B$301,$A18,_計算!$F$2:$F$301)/10</f>
        <v>0</v>
      </c>
      <c r="G18" s="9" t="n">
        <f aca="false">SUMIF(_計算!$B$2:$B$301,$A18,_計算!$G$2:$G$301)/10</f>
        <v>0</v>
      </c>
      <c r="H18" s="9" t="n">
        <f aca="false">SUMIF(_計算!$B$2:$B$301,$A18,_計算!$H$2:$H$301)/10</f>
        <v>0</v>
      </c>
      <c r="I18" s="9" t="n">
        <f aca="false">MAX(0,(SUMIF(_計算!$B$2:$B$301,$A18,_計算!$G$2:$G$301)-SUMIF(_計算!$B$2:$B$301,$A18,_計算!$H$2:$H$301))/10)</f>
        <v>0</v>
      </c>
      <c r="J18" s="9" t="n">
        <f aca="false">MAX(0,(SUMIF(_計算!$B$2:$B$301,$A18,_計算!$H$2:$H$301)-SUMIF(_計算!$B$2:$B$301,$A18,_計算!$G$2:$G$301))/10)</f>
        <v>0</v>
      </c>
    </row>
    <row r="19" customFormat="false" ht="27.75" hidden="false" customHeight="true" outlineLevel="0" collapsed="false">
      <c r="A19" s="10" t="s">
        <v>29</v>
      </c>
      <c r="B19" s="11" t="str">
        <f aca="false">IFERROR(INDEX(成員名單!$B$5:$B$34,MATCH($A19,成員名單!$A$5:$A$34,0))&amp;"","")</f>
        <v/>
      </c>
      <c r="C19" s="11" t="n">
        <f aca="false">SUMIF(_計算!$B$2:$B$301,$A19,_計算!$C$2:$C$301)/10</f>
        <v>0</v>
      </c>
      <c r="D19" s="11" t="n">
        <f aca="false">SUMIF(_計算!$B$2:$B$301,$A19,_計算!$D$2:$D$301)/10</f>
        <v>0</v>
      </c>
      <c r="E19" s="11" t="n">
        <f aca="false">SUMIF(_計算!$B$2:$B$301,$A19,_計算!$E$2:$E$301)/10</f>
        <v>0</v>
      </c>
      <c r="F19" s="11" t="n">
        <f aca="false">SUMIF(_計算!$B$2:$B$301,$A19,_計算!$F$2:$F$301)/10</f>
        <v>0</v>
      </c>
      <c r="G19" s="11" t="n">
        <f aca="false">SUMIF(_計算!$B$2:$B$301,$A19,_計算!$G$2:$G$301)/10</f>
        <v>0</v>
      </c>
      <c r="H19" s="11" t="n">
        <f aca="false">SUMIF(_計算!$B$2:$B$301,$A19,_計算!$H$2:$H$301)/10</f>
        <v>0</v>
      </c>
      <c r="I19" s="11" t="n">
        <f aca="false">MAX(0,(SUMIF(_計算!$B$2:$B$301,$A19,_計算!$G$2:$G$301)-SUMIF(_計算!$B$2:$B$301,$A19,_計算!$H$2:$H$301))/10)</f>
        <v>0</v>
      </c>
      <c r="J19" s="11" t="n">
        <f aca="false">MAX(0,(SUMIF(_計算!$B$2:$B$301,$A19,_計算!$H$2:$H$301)-SUMIF(_計算!$B$2:$B$301,$A19,_計算!$G$2:$G$301))/10)</f>
        <v>0</v>
      </c>
    </row>
    <row r="20" customFormat="false" ht="27.75" hidden="false" customHeight="true" outlineLevel="0" collapsed="false">
      <c r="A20" s="8" t="s">
        <v>30</v>
      </c>
      <c r="B20" s="9" t="str">
        <f aca="false">IFERROR(INDEX(成員名單!$B$5:$B$34,MATCH($A20,成員名單!$A$5:$A$34,0))&amp;"","")</f>
        <v/>
      </c>
      <c r="C20" s="9" t="n">
        <f aca="false">SUMIF(_計算!$B$2:$B$301,$A20,_計算!$C$2:$C$301)/10</f>
        <v>0</v>
      </c>
      <c r="D20" s="9" t="n">
        <f aca="false">SUMIF(_計算!$B$2:$B$301,$A20,_計算!$D$2:$D$301)/10</f>
        <v>0</v>
      </c>
      <c r="E20" s="9" t="n">
        <f aca="false">SUMIF(_計算!$B$2:$B$301,$A20,_計算!$E$2:$E$301)/10</f>
        <v>0</v>
      </c>
      <c r="F20" s="9" t="n">
        <f aca="false">SUMIF(_計算!$B$2:$B$301,$A20,_計算!$F$2:$F$301)/10</f>
        <v>0</v>
      </c>
      <c r="G20" s="9" t="n">
        <f aca="false">SUMIF(_計算!$B$2:$B$301,$A20,_計算!$G$2:$G$301)/10</f>
        <v>0</v>
      </c>
      <c r="H20" s="9" t="n">
        <f aca="false">SUMIF(_計算!$B$2:$B$301,$A20,_計算!$H$2:$H$301)/10</f>
        <v>0</v>
      </c>
      <c r="I20" s="9" t="n">
        <f aca="false">MAX(0,(SUMIF(_計算!$B$2:$B$301,$A20,_計算!$G$2:$G$301)-SUMIF(_計算!$B$2:$B$301,$A20,_計算!$H$2:$H$301))/10)</f>
        <v>0</v>
      </c>
      <c r="J20" s="9" t="n">
        <f aca="false">MAX(0,(SUMIF(_計算!$B$2:$B$301,$A20,_計算!$H$2:$H$301)-SUMIF(_計算!$B$2:$B$301,$A20,_計算!$G$2:$G$301))/10)</f>
        <v>0</v>
      </c>
    </row>
    <row r="21" customFormat="false" ht="27.75" hidden="false" customHeight="true" outlineLevel="0" collapsed="false">
      <c r="A21" s="10" t="s">
        <v>31</v>
      </c>
      <c r="B21" s="11" t="str">
        <f aca="false">IFERROR(INDEX(成員名單!$B$5:$B$34,MATCH($A21,成員名單!$A$5:$A$34,0))&amp;"","")</f>
        <v/>
      </c>
      <c r="C21" s="11" t="n">
        <f aca="false">SUMIF(_計算!$B$2:$B$301,$A21,_計算!$C$2:$C$301)/10</f>
        <v>0</v>
      </c>
      <c r="D21" s="11" t="n">
        <f aca="false">SUMIF(_計算!$B$2:$B$301,$A21,_計算!$D$2:$D$301)/10</f>
        <v>0</v>
      </c>
      <c r="E21" s="11" t="n">
        <f aca="false">SUMIF(_計算!$B$2:$B$301,$A21,_計算!$E$2:$E$301)/10</f>
        <v>0</v>
      </c>
      <c r="F21" s="11" t="n">
        <f aca="false">SUMIF(_計算!$B$2:$B$301,$A21,_計算!$F$2:$F$301)/10</f>
        <v>0</v>
      </c>
      <c r="G21" s="11" t="n">
        <f aca="false">SUMIF(_計算!$B$2:$B$301,$A21,_計算!$G$2:$G$301)/10</f>
        <v>0</v>
      </c>
      <c r="H21" s="11" t="n">
        <f aca="false">SUMIF(_計算!$B$2:$B$301,$A21,_計算!$H$2:$H$301)/10</f>
        <v>0</v>
      </c>
      <c r="I21" s="11" t="n">
        <f aca="false">MAX(0,(SUMIF(_計算!$B$2:$B$301,$A21,_計算!$G$2:$G$301)-SUMIF(_計算!$B$2:$B$301,$A21,_計算!$H$2:$H$301))/10)</f>
        <v>0</v>
      </c>
      <c r="J21" s="11" t="n">
        <f aca="false">MAX(0,(SUMIF(_計算!$B$2:$B$301,$A21,_計算!$H$2:$H$301)-SUMIF(_計算!$B$2:$B$301,$A21,_計算!$G$2:$G$301))/10)</f>
        <v>0</v>
      </c>
    </row>
    <row r="22" customFormat="false" ht="27.75" hidden="false" customHeight="true" outlineLevel="0" collapsed="false">
      <c r="A22" s="8" t="s">
        <v>32</v>
      </c>
      <c r="B22" s="9" t="str">
        <f aca="false">IFERROR(INDEX(成員名單!$B$5:$B$34,MATCH($A22,成員名單!$A$5:$A$34,0))&amp;"","")</f>
        <v/>
      </c>
      <c r="C22" s="9" t="n">
        <f aca="false">SUMIF(_計算!$B$2:$B$301,$A22,_計算!$C$2:$C$301)/10</f>
        <v>0</v>
      </c>
      <c r="D22" s="9" t="n">
        <f aca="false">SUMIF(_計算!$B$2:$B$301,$A22,_計算!$D$2:$D$301)/10</f>
        <v>0</v>
      </c>
      <c r="E22" s="9" t="n">
        <f aca="false">SUMIF(_計算!$B$2:$B$301,$A22,_計算!$E$2:$E$301)/10</f>
        <v>0</v>
      </c>
      <c r="F22" s="9" t="n">
        <f aca="false">SUMIF(_計算!$B$2:$B$301,$A22,_計算!$F$2:$F$301)/10</f>
        <v>0</v>
      </c>
      <c r="G22" s="9" t="n">
        <f aca="false">SUMIF(_計算!$B$2:$B$301,$A22,_計算!$G$2:$G$301)/10</f>
        <v>0</v>
      </c>
      <c r="H22" s="9" t="n">
        <f aca="false">SUMIF(_計算!$B$2:$B$301,$A22,_計算!$H$2:$H$301)/10</f>
        <v>0</v>
      </c>
      <c r="I22" s="9" t="n">
        <f aca="false">MAX(0,(SUMIF(_計算!$B$2:$B$301,$A22,_計算!$G$2:$G$301)-SUMIF(_計算!$B$2:$B$301,$A22,_計算!$H$2:$H$301))/10)</f>
        <v>0</v>
      </c>
      <c r="J22" s="9" t="n">
        <f aca="false">MAX(0,(SUMIF(_計算!$B$2:$B$301,$A22,_計算!$H$2:$H$301)-SUMIF(_計算!$B$2:$B$301,$A22,_計算!$G$2:$G$301))/10)</f>
        <v>0</v>
      </c>
    </row>
    <row r="23" customFormat="false" ht="27.75" hidden="false" customHeight="true" outlineLevel="0" collapsed="false">
      <c r="A23" s="10" t="s">
        <v>33</v>
      </c>
      <c r="B23" s="11" t="str">
        <f aca="false">IFERROR(INDEX(成員名單!$B$5:$B$34,MATCH($A23,成員名單!$A$5:$A$34,0))&amp;"","")</f>
        <v/>
      </c>
      <c r="C23" s="11" t="n">
        <f aca="false">SUMIF(_計算!$B$2:$B$301,$A23,_計算!$C$2:$C$301)/10</f>
        <v>0</v>
      </c>
      <c r="D23" s="11" t="n">
        <f aca="false">SUMIF(_計算!$B$2:$B$301,$A23,_計算!$D$2:$D$301)/10</f>
        <v>0</v>
      </c>
      <c r="E23" s="11" t="n">
        <f aca="false">SUMIF(_計算!$B$2:$B$301,$A23,_計算!$E$2:$E$301)/10</f>
        <v>0</v>
      </c>
      <c r="F23" s="11" t="n">
        <f aca="false">SUMIF(_計算!$B$2:$B$301,$A23,_計算!$F$2:$F$301)/10</f>
        <v>0</v>
      </c>
      <c r="G23" s="11" t="n">
        <f aca="false">SUMIF(_計算!$B$2:$B$301,$A23,_計算!$G$2:$G$301)/10</f>
        <v>0</v>
      </c>
      <c r="H23" s="11" t="n">
        <f aca="false">SUMIF(_計算!$B$2:$B$301,$A23,_計算!$H$2:$H$301)/10</f>
        <v>0</v>
      </c>
      <c r="I23" s="11" t="n">
        <f aca="false">MAX(0,(SUMIF(_計算!$B$2:$B$301,$A23,_計算!$G$2:$G$301)-SUMIF(_計算!$B$2:$B$301,$A23,_計算!$H$2:$H$301))/10)</f>
        <v>0</v>
      </c>
      <c r="J23" s="11" t="n">
        <f aca="false">MAX(0,(SUMIF(_計算!$B$2:$B$301,$A23,_計算!$H$2:$H$301)-SUMIF(_計算!$B$2:$B$301,$A23,_計算!$G$2:$G$301))/10)</f>
        <v>0</v>
      </c>
    </row>
    <row r="24" customFormat="false" ht="27.75" hidden="false" customHeight="true" outlineLevel="0" collapsed="false">
      <c r="A24" s="8" t="s">
        <v>34</v>
      </c>
      <c r="B24" s="9" t="str">
        <f aca="false">IFERROR(INDEX(成員名單!$B$5:$B$34,MATCH($A24,成員名單!$A$5:$A$34,0))&amp;"","")</f>
        <v/>
      </c>
      <c r="C24" s="9" t="n">
        <f aca="false">SUMIF(_計算!$B$2:$B$301,$A24,_計算!$C$2:$C$301)/10</f>
        <v>0</v>
      </c>
      <c r="D24" s="9" t="n">
        <f aca="false">SUMIF(_計算!$B$2:$B$301,$A24,_計算!$D$2:$D$301)/10</f>
        <v>0</v>
      </c>
      <c r="E24" s="9" t="n">
        <f aca="false">SUMIF(_計算!$B$2:$B$301,$A24,_計算!$E$2:$E$301)/10</f>
        <v>0</v>
      </c>
      <c r="F24" s="9" t="n">
        <f aca="false">SUMIF(_計算!$B$2:$B$301,$A24,_計算!$F$2:$F$301)/10</f>
        <v>0</v>
      </c>
      <c r="G24" s="9" t="n">
        <f aca="false">SUMIF(_計算!$B$2:$B$301,$A24,_計算!$G$2:$G$301)/10</f>
        <v>0</v>
      </c>
      <c r="H24" s="9" t="n">
        <f aca="false">SUMIF(_計算!$B$2:$B$301,$A24,_計算!$H$2:$H$301)/10</f>
        <v>0</v>
      </c>
      <c r="I24" s="9" t="n">
        <f aca="false">MAX(0,(SUMIF(_計算!$B$2:$B$301,$A24,_計算!$G$2:$G$301)-SUMIF(_計算!$B$2:$B$301,$A24,_計算!$H$2:$H$301))/10)</f>
        <v>0</v>
      </c>
      <c r="J24" s="9" t="n">
        <f aca="false">MAX(0,(SUMIF(_計算!$B$2:$B$301,$A24,_計算!$H$2:$H$301)-SUMIF(_計算!$B$2:$B$301,$A24,_計算!$G$2:$G$301))/10)</f>
        <v>0</v>
      </c>
    </row>
    <row r="25" customFormat="false" ht="27.75" hidden="false" customHeight="true" outlineLevel="0" collapsed="false">
      <c r="A25" s="10" t="s">
        <v>35</v>
      </c>
      <c r="B25" s="11" t="str">
        <f aca="false">IFERROR(INDEX(成員名單!$B$5:$B$34,MATCH($A25,成員名單!$A$5:$A$34,0))&amp;"","")</f>
        <v/>
      </c>
      <c r="C25" s="11" t="n">
        <f aca="false">SUMIF(_計算!$B$2:$B$301,$A25,_計算!$C$2:$C$301)/10</f>
        <v>0</v>
      </c>
      <c r="D25" s="11" t="n">
        <f aca="false">SUMIF(_計算!$B$2:$B$301,$A25,_計算!$D$2:$D$301)/10</f>
        <v>0</v>
      </c>
      <c r="E25" s="11" t="n">
        <f aca="false">SUMIF(_計算!$B$2:$B$301,$A25,_計算!$E$2:$E$301)/10</f>
        <v>0</v>
      </c>
      <c r="F25" s="11" t="n">
        <f aca="false">SUMIF(_計算!$B$2:$B$301,$A25,_計算!$F$2:$F$301)/10</f>
        <v>0</v>
      </c>
      <c r="G25" s="11" t="n">
        <f aca="false">SUMIF(_計算!$B$2:$B$301,$A25,_計算!$G$2:$G$301)/10</f>
        <v>0</v>
      </c>
      <c r="H25" s="11" t="n">
        <f aca="false">SUMIF(_計算!$B$2:$B$301,$A25,_計算!$H$2:$H$301)/10</f>
        <v>0</v>
      </c>
      <c r="I25" s="11" t="n">
        <f aca="false">MAX(0,(SUMIF(_計算!$B$2:$B$301,$A25,_計算!$G$2:$G$301)-SUMIF(_計算!$B$2:$B$301,$A25,_計算!$H$2:$H$301))/10)</f>
        <v>0</v>
      </c>
      <c r="J25" s="11" t="n">
        <f aca="false">MAX(0,(SUMIF(_計算!$B$2:$B$301,$A25,_計算!$H$2:$H$301)-SUMIF(_計算!$B$2:$B$301,$A25,_計算!$G$2:$G$301))/10)</f>
        <v>0</v>
      </c>
    </row>
    <row r="26" customFormat="false" ht="27.75" hidden="false" customHeight="true" outlineLevel="0" collapsed="false">
      <c r="A26" s="8" t="s">
        <v>36</v>
      </c>
      <c r="B26" s="9" t="str">
        <f aca="false">IFERROR(INDEX(成員名單!$B$5:$B$34,MATCH($A26,成員名單!$A$5:$A$34,0))&amp;"","")</f>
        <v/>
      </c>
      <c r="C26" s="9" t="n">
        <f aca="false">SUMIF(_計算!$B$2:$B$301,$A26,_計算!$C$2:$C$301)/10</f>
        <v>0</v>
      </c>
      <c r="D26" s="9" t="n">
        <f aca="false">SUMIF(_計算!$B$2:$B$301,$A26,_計算!$D$2:$D$301)/10</f>
        <v>0</v>
      </c>
      <c r="E26" s="9" t="n">
        <f aca="false">SUMIF(_計算!$B$2:$B$301,$A26,_計算!$E$2:$E$301)/10</f>
        <v>0</v>
      </c>
      <c r="F26" s="9" t="n">
        <f aca="false">SUMIF(_計算!$B$2:$B$301,$A26,_計算!$F$2:$F$301)/10</f>
        <v>0</v>
      </c>
      <c r="G26" s="9" t="n">
        <f aca="false">SUMIF(_計算!$B$2:$B$301,$A26,_計算!$G$2:$G$301)/10</f>
        <v>0</v>
      </c>
      <c r="H26" s="9" t="n">
        <f aca="false">SUMIF(_計算!$B$2:$B$301,$A26,_計算!$H$2:$H$301)/10</f>
        <v>0</v>
      </c>
      <c r="I26" s="9" t="n">
        <f aca="false">MAX(0,(SUMIF(_計算!$B$2:$B$301,$A26,_計算!$G$2:$G$301)-SUMIF(_計算!$B$2:$B$301,$A26,_計算!$H$2:$H$301))/10)</f>
        <v>0</v>
      </c>
      <c r="J26" s="9" t="n">
        <f aca="false">MAX(0,(SUMIF(_計算!$B$2:$B$301,$A26,_計算!$H$2:$H$301)-SUMIF(_計算!$B$2:$B$301,$A26,_計算!$G$2:$G$301))/10)</f>
        <v>0</v>
      </c>
    </row>
    <row r="27" customFormat="false" ht="27.75" hidden="false" customHeight="true" outlineLevel="0" collapsed="false">
      <c r="A27" s="10" t="s">
        <v>37</v>
      </c>
      <c r="B27" s="11" t="str">
        <f aca="false">IFERROR(INDEX(成員名單!$B$5:$B$34,MATCH($A27,成員名單!$A$5:$A$34,0))&amp;"","")</f>
        <v/>
      </c>
      <c r="C27" s="11" t="n">
        <f aca="false">SUMIF(_計算!$B$2:$B$301,$A27,_計算!$C$2:$C$301)/10</f>
        <v>0</v>
      </c>
      <c r="D27" s="11" t="n">
        <f aca="false">SUMIF(_計算!$B$2:$B$301,$A27,_計算!$D$2:$D$301)/10</f>
        <v>0</v>
      </c>
      <c r="E27" s="11" t="n">
        <f aca="false">SUMIF(_計算!$B$2:$B$301,$A27,_計算!$E$2:$E$301)/10</f>
        <v>0</v>
      </c>
      <c r="F27" s="11" t="n">
        <f aca="false">SUMIF(_計算!$B$2:$B$301,$A27,_計算!$F$2:$F$301)/10</f>
        <v>0</v>
      </c>
      <c r="G27" s="11" t="n">
        <f aca="false">SUMIF(_計算!$B$2:$B$301,$A27,_計算!$G$2:$G$301)/10</f>
        <v>0</v>
      </c>
      <c r="H27" s="11" t="n">
        <f aca="false">SUMIF(_計算!$B$2:$B$301,$A27,_計算!$H$2:$H$301)/10</f>
        <v>0</v>
      </c>
      <c r="I27" s="11" t="n">
        <f aca="false">MAX(0,(SUMIF(_計算!$B$2:$B$301,$A27,_計算!$G$2:$G$301)-SUMIF(_計算!$B$2:$B$301,$A27,_計算!$H$2:$H$301))/10)</f>
        <v>0</v>
      </c>
      <c r="J27" s="11" t="n">
        <f aca="false">MAX(0,(SUMIF(_計算!$B$2:$B$301,$A27,_計算!$H$2:$H$301)-SUMIF(_計算!$B$2:$B$301,$A27,_計算!$G$2:$G$301))/10)</f>
        <v>0</v>
      </c>
    </row>
    <row r="28" customFormat="false" ht="27.75" hidden="false" customHeight="true" outlineLevel="0" collapsed="false">
      <c r="A28" s="8" t="s">
        <v>38</v>
      </c>
      <c r="B28" s="9" t="str">
        <f aca="false">IFERROR(INDEX(成員名單!$B$5:$B$34,MATCH($A28,成員名單!$A$5:$A$34,0))&amp;"","")</f>
        <v/>
      </c>
      <c r="C28" s="9" t="n">
        <f aca="false">SUMIF(_計算!$B$2:$B$301,$A28,_計算!$C$2:$C$301)/10</f>
        <v>0</v>
      </c>
      <c r="D28" s="9" t="n">
        <f aca="false">SUMIF(_計算!$B$2:$B$301,$A28,_計算!$D$2:$D$301)/10</f>
        <v>0</v>
      </c>
      <c r="E28" s="9" t="n">
        <f aca="false">SUMIF(_計算!$B$2:$B$301,$A28,_計算!$E$2:$E$301)/10</f>
        <v>0</v>
      </c>
      <c r="F28" s="9" t="n">
        <f aca="false">SUMIF(_計算!$B$2:$B$301,$A28,_計算!$F$2:$F$301)/10</f>
        <v>0</v>
      </c>
      <c r="G28" s="9" t="n">
        <f aca="false">SUMIF(_計算!$B$2:$B$301,$A28,_計算!$G$2:$G$301)/10</f>
        <v>0</v>
      </c>
      <c r="H28" s="9" t="n">
        <f aca="false">SUMIF(_計算!$B$2:$B$301,$A28,_計算!$H$2:$H$301)/10</f>
        <v>0</v>
      </c>
      <c r="I28" s="9" t="n">
        <f aca="false">MAX(0,(SUMIF(_計算!$B$2:$B$301,$A28,_計算!$G$2:$G$301)-SUMIF(_計算!$B$2:$B$301,$A28,_計算!$H$2:$H$301))/10)</f>
        <v>0</v>
      </c>
      <c r="J28" s="9" t="n">
        <f aca="false">MAX(0,(SUMIF(_計算!$B$2:$B$301,$A28,_計算!$H$2:$H$301)-SUMIF(_計算!$B$2:$B$301,$A28,_計算!$G$2:$G$301))/10)</f>
        <v>0</v>
      </c>
    </row>
    <row r="29" customFormat="false" ht="27.75" hidden="false" customHeight="true" outlineLevel="0" collapsed="false">
      <c r="A29" s="10" t="s">
        <v>39</v>
      </c>
      <c r="B29" s="11" t="str">
        <f aca="false">IFERROR(INDEX(成員名單!$B$5:$B$34,MATCH($A29,成員名單!$A$5:$A$34,0))&amp;"","")</f>
        <v/>
      </c>
      <c r="C29" s="11" t="n">
        <f aca="false">SUMIF(_計算!$B$2:$B$301,$A29,_計算!$C$2:$C$301)/10</f>
        <v>0</v>
      </c>
      <c r="D29" s="11" t="n">
        <f aca="false">SUMIF(_計算!$B$2:$B$301,$A29,_計算!$D$2:$D$301)/10</f>
        <v>0</v>
      </c>
      <c r="E29" s="11" t="n">
        <f aca="false">SUMIF(_計算!$B$2:$B$301,$A29,_計算!$E$2:$E$301)/10</f>
        <v>0</v>
      </c>
      <c r="F29" s="11" t="n">
        <f aca="false">SUMIF(_計算!$B$2:$B$301,$A29,_計算!$F$2:$F$301)/10</f>
        <v>0</v>
      </c>
      <c r="G29" s="11" t="n">
        <f aca="false">SUMIF(_計算!$B$2:$B$301,$A29,_計算!$G$2:$G$301)/10</f>
        <v>0</v>
      </c>
      <c r="H29" s="11" t="n">
        <f aca="false">SUMIF(_計算!$B$2:$B$301,$A29,_計算!$H$2:$H$301)/10</f>
        <v>0</v>
      </c>
      <c r="I29" s="11" t="n">
        <f aca="false">MAX(0,(SUMIF(_計算!$B$2:$B$301,$A29,_計算!$G$2:$G$301)-SUMIF(_計算!$B$2:$B$301,$A29,_計算!$H$2:$H$301))/10)</f>
        <v>0</v>
      </c>
      <c r="J29" s="11" t="n">
        <f aca="false">MAX(0,(SUMIF(_計算!$B$2:$B$301,$A29,_計算!$H$2:$H$301)-SUMIF(_計算!$B$2:$B$301,$A29,_計算!$G$2:$G$301))/10)</f>
        <v>0</v>
      </c>
    </row>
    <row r="30" customFormat="false" ht="27.75" hidden="false" customHeight="true" outlineLevel="0" collapsed="false">
      <c r="A30" s="8" t="s">
        <v>40</v>
      </c>
      <c r="B30" s="9" t="str">
        <f aca="false">IFERROR(INDEX(成員名單!$B$5:$B$34,MATCH($A30,成員名單!$A$5:$A$34,0))&amp;"","")</f>
        <v/>
      </c>
      <c r="C30" s="9" t="n">
        <f aca="false">SUMIF(_計算!$B$2:$B$301,$A30,_計算!$C$2:$C$301)/10</f>
        <v>0</v>
      </c>
      <c r="D30" s="9" t="n">
        <f aca="false">SUMIF(_計算!$B$2:$B$301,$A30,_計算!$D$2:$D$301)/10</f>
        <v>0</v>
      </c>
      <c r="E30" s="9" t="n">
        <f aca="false">SUMIF(_計算!$B$2:$B$301,$A30,_計算!$E$2:$E$301)/10</f>
        <v>0</v>
      </c>
      <c r="F30" s="9" t="n">
        <f aca="false">SUMIF(_計算!$B$2:$B$301,$A30,_計算!$F$2:$F$301)/10</f>
        <v>0</v>
      </c>
      <c r="G30" s="9" t="n">
        <f aca="false">SUMIF(_計算!$B$2:$B$301,$A30,_計算!$G$2:$G$301)/10</f>
        <v>0</v>
      </c>
      <c r="H30" s="9" t="n">
        <f aca="false">SUMIF(_計算!$B$2:$B$301,$A30,_計算!$H$2:$H$301)/10</f>
        <v>0</v>
      </c>
      <c r="I30" s="9" t="n">
        <f aca="false">MAX(0,(SUMIF(_計算!$B$2:$B$301,$A30,_計算!$G$2:$G$301)-SUMIF(_計算!$B$2:$B$301,$A30,_計算!$H$2:$H$301))/10)</f>
        <v>0</v>
      </c>
      <c r="J30" s="9" t="n">
        <f aca="false">MAX(0,(SUMIF(_計算!$B$2:$B$301,$A30,_計算!$H$2:$H$301)-SUMIF(_計算!$B$2:$B$301,$A30,_計算!$G$2:$G$301))/10)</f>
        <v>0</v>
      </c>
    </row>
    <row r="31" customFormat="false" ht="27.75" hidden="false" customHeight="true" outlineLevel="0" collapsed="false">
      <c r="A31" s="10" t="s">
        <v>41</v>
      </c>
      <c r="B31" s="11" t="str">
        <f aca="false">IFERROR(INDEX(成員名單!$B$5:$B$34,MATCH($A31,成員名單!$A$5:$A$34,0))&amp;"","")</f>
        <v/>
      </c>
      <c r="C31" s="11" t="n">
        <f aca="false">SUMIF(_計算!$B$2:$B$301,$A31,_計算!$C$2:$C$301)/10</f>
        <v>0</v>
      </c>
      <c r="D31" s="11" t="n">
        <f aca="false">SUMIF(_計算!$B$2:$B$301,$A31,_計算!$D$2:$D$301)/10</f>
        <v>0</v>
      </c>
      <c r="E31" s="11" t="n">
        <f aca="false">SUMIF(_計算!$B$2:$B$301,$A31,_計算!$E$2:$E$301)/10</f>
        <v>0</v>
      </c>
      <c r="F31" s="11" t="n">
        <f aca="false">SUMIF(_計算!$B$2:$B$301,$A31,_計算!$F$2:$F$301)/10</f>
        <v>0</v>
      </c>
      <c r="G31" s="11" t="n">
        <f aca="false">SUMIF(_計算!$B$2:$B$301,$A31,_計算!$G$2:$G$301)/10</f>
        <v>0</v>
      </c>
      <c r="H31" s="11" t="n">
        <f aca="false">SUMIF(_計算!$B$2:$B$301,$A31,_計算!$H$2:$H$301)/10</f>
        <v>0</v>
      </c>
      <c r="I31" s="11" t="n">
        <f aca="false">MAX(0,(SUMIF(_計算!$B$2:$B$301,$A31,_計算!$G$2:$G$301)-SUMIF(_計算!$B$2:$B$301,$A31,_計算!$H$2:$H$301))/10)</f>
        <v>0</v>
      </c>
      <c r="J31" s="11" t="n">
        <f aca="false">MAX(0,(SUMIF(_計算!$B$2:$B$301,$A31,_計算!$H$2:$H$301)-SUMIF(_計算!$B$2:$B$301,$A31,_計算!$G$2:$G$301))/10)</f>
        <v>0</v>
      </c>
    </row>
    <row r="32" customFormat="false" ht="27.75" hidden="false" customHeight="true" outlineLevel="0" collapsed="false">
      <c r="A32" s="8" t="s">
        <v>42</v>
      </c>
      <c r="B32" s="9" t="str">
        <f aca="false">IFERROR(INDEX(成員名單!$B$5:$B$34,MATCH($A32,成員名單!$A$5:$A$34,0))&amp;"","")</f>
        <v/>
      </c>
      <c r="C32" s="9" t="n">
        <f aca="false">SUMIF(_計算!$B$2:$B$301,$A32,_計算!$C$2:$C$301)/10</f>
        <v>0</v>
      </c>
      <c r="D32" s="9" t="n">
        <f aca="false">SUMIF(_計算!$B$2:$B$301,$A32,_計算!$D$2:$D$301)/10</f>
        <v>0</v>
      </c>
      <c r="E32" s="9" t="n">
        <f aca="false">SUMIF(_計算!$B$2:$B$301,$A32,_計算!$E$2:$E$301)/10</f>
        <v>0</v>
      </c>
      <c r="F32" s="9" t="n">
        <f aca="false">SUMIF(_計算!$B$2:$B$301,$A32,_計算!$F$2:$F$301)/10</f>
        <v>0</v>
      </c>
      <c r="G32" s="9" t="n">
        <f aca="false">SUMIF(_計算!$B$2:$B$301,$A32,_計算!$G$2:$G$301)/10</f>
        <v>0</v>
      </c>
      <c r="H32" s="9" t="n">
        <f aca="false">SUMIF(_計算!$B$2:$B$301,$A32,_計算!$H$2:$H$301)/10</f>
        <v>0</v>
      </c>
      <c r="I32" s="9" t="n">
        <f aca="false">MAX(0,(SUMIF(_計算!$B$2:$B$301,$A32,_計算!$G$2:$G$301)-SUMIF(_計算!$B$2:$B$301,$A32,_計算!$H$2:$H$301))/10)</f>
        <v>0</v>
      </c>
      <c r="J32" s="9" t="n">
        <f aca="false">MAX(0,(SUMIF(_計算!$B$2:$B$301,$A32,_計算!$H$2:$H$301)-SUMIF(_計算!$B$2:$B$301,$A32,_計算!$G$2:$G$301))/10)</f>
        <v>0</v>
      </c>
    </row>
    <row r="33" customFormat="false" ht="27.75" hidden="false" customHeight="true" outlineLevel="0" collapsed="false">
      <c r="A33" s="10" t="s">
        <v>43</v>
      </c>
      <c r="B33" s="11" t="str">
        <f aca="false">IFERROR(INDEX(成員名單!$B$5:$B$34,MATCH($A33,成員名單!$A$5:$A$34,0))&amp;"","")</f>
        <v/>
      </c>
      <c r="C33" s="11" t="n">
        <f aca="false">SUMIF(_計算!$B$2:$B$301,$A33,_計算!$C$2:$C$301)/10</f>
        <v>0</v>
      </c>
      <c r="D33" s="11" t="n">
        <f aca="false">SUMIF(_計算!$B$2:$B$301,$A33,_計算!$D$2:$D$301)/10</f>
        <v>0</v>
      </c>
      <c r="E33" s="11" t="n">
        <f aca="false">SUMIF(_計算!$B$2:$B$301,$A33,_計算!$E$2:$E$301)/10</f>
        <v>0</v>
      </c>
      <c r="F33" s="11" t="n">
        <f aca="false">SUMIF(_計算!$B$2:$B$301,$A33,_計算!$F$2:$F$301)/10</f>
        <v>0</v>
      </c>
      <c r="G33" s="11" t="n">
        <f aca="false">SUMIF(_計算!$B$2:$B$301,$A33,_計算!$G$2:$G$301)/10</f>
        <v>0</v>
      </c>
      <c r="H33" s="11" t="n">
        <f aca="false">SUMIF(_計算!$B$2:$B$301,$A33,_計算!$H$2:$H$301)/10</f>
        <v>0</v>
      </c>
      <c r="I33" s="11" t="n">
        <f aca="false">MAX(0,(SUMIF(_計算!$B$2:$B$301,$A33,_計算!$G$2:$G$301)-SUMIF(_計算!$B$2:$B$301,$A33,_計算!$H$2:$H$301))/10)</f>
        <v>0</v>
      </c>
      <c r="J33" s="11" t="n">
        <f aca="false">MAX(0,(SUMIF(_計算!$B$2:$B$301,$A33,_計算!$H$2:$H$301)-SUMIF(_計算!$B$2:$B$301,$A33,_計算!$G$2:$G$301))/10)</f>
        <v>0</v>
      </c>
    </row>
    <row r="34" customFormat="false" ht="27.75" hidden="false" customHeight="true" outlineLevel="0" collapsed="false">
      <c r="A34" s="8" t="s">
        <v>44</v>
      </c>
      <c r="B34" s="9" t="str">
        <f aca="false">IFERROR(INDEX(成員名單!$B$5:$B$34,MATCH($A34,成員名單!$A$5:$A$34,0))&amp;"","")</f>
        <v/>
      </c>
      <c r="C34" s="9" t="n">
        <f aca="false">SUMIF(_計算!$B$2:$B$301,$A34,_計算!$C$2:$C$301)/10</f>
        <v>0</v>
      </c>
      <c r="D34" s="9" t="n">
        <f aca="false">SUMIF(_計算!$B$2:$B$301,$A34,_計算!$D$2:$D$301)/10</f>
        <v>0</v>
      </c>
      <c r="E34" s="9" t="n">
        <f aca="false">SUMIF(_計算!$B$2:$B$301,$A34,_計算!$E$2:$E$301)/10</f>
        <v>0</v>
      </c>
      <c r="F34" s="9" t="n">
        <f aca="false">SUMIF(_計算!$B$2:$B$301,$A34,_計算!$F$2:$F$301)/10</f>
        <v>0</v>
      </c>
      <c r="G34" s="9" t="n">
        <f aca="false">SUMIF(_計算!$B$2:$B$301,$A34,_計算!$G$2:$G$301)/10</f>
        <v>0</v>
      </c>
      <c r="H34" s="9" t="n">
        <f aca="false">SUMIF(_計算!$B$2:$B$301,$A34,_計算!$H$2:$H$301)/10</f>
        <v>0</v>
      </c>
      <c r="I34" s="9" t="n">
        <f aca="false">MAX(0,(SUMIF(_計算!$B$2:$B$301,$A34,_計算!$G$2:$G$301)-SUMIF(_計算!$B$2:$B$301,$A34,_計算!$H$2:$H$301))/10)</f>
        <v>0</v>
      </c>
      <c r="J34" s="9" t="n">
        <f aca="false">MAX(0,(SUMIF(_計算!$B$2:$B$301,$A34,_計算!$H$2:$H$301)-SUMIF(_計算!$B$2:$B$301,$A34,_計算!$G$2:$G$301))/10)</f>
        <v>0</v>
      </c>
    </row>
    <row r="35" customFormat="false" ht="27.75" hidden="false" customHeight="true" outlineLevel="0" collapsed="false">
      <c r="A35" s="10" t="s">
        <v>45</v>
      </c>
      <c r="B35" s="11" t="str">
        <f aca="false">IFERROR(INDEX(成員名單!$B$5:$B$34,MATCH($A35,成員名單!$A$5:$A$34,0))&amp;"","")</f>
        <v/>
      </c>
      <c r="C35" s="11" t="n">
        <f aca="false">SUMIF(_計算!$B$2:$B$301,$A35,_計算!$C$2:$C$301)/10</f>
        <v>0</v>
      </c>
      <c r="D35" s="11" t="n">
        <f aca="false">SUMIF(_計算!$B$2:$B$301,$A35,_計算!$D$2:$D$301)/10</f>
        <v>0</v>
      </c>
      <c r="E35" s="11" t="n">
        <f aca="false">SUMIF(_計算!$B$2:$B$301,$A35,_計算!$E$2:$E$301)/10</f>
        <v>0</v>
      </c>
      <c r="F35" s="11" t="n">
        <f aca="false">SUMIF(_計算!$B$2:$B$301,$A35,_計算!$F$2:$F$301)/10</f>
        <v>0</v>
      </c>
      <c r="G35" s="11" t="n">
        <f aca="false">SUMIF(_計算!$B$2:$B$301,$A35,_計算!$G$2:$G$301)/10</f>
        <v>0</v>
      </c>
      <c r="H35" s="11" t="n">
        <f aca="false">SUMIF(_計算!$B$2:$B$301,$A35,_計算!$H$2:$H$301)/10</f>
        <v>0</v>
      </c>
      <c r="I35" s="11" t="n">
        <f aca="false">MAX(0,(SUMIF(_計算!$B$2:$B$301,$A35,_計算!$G$2:$G$301)-SUMIF(_計算!$B$2:$B$301,$A35,_計算!$H$2:$H$301))/10)</f>
        <v>0</v>
      </c>
      <c r="J35" s="11" t="n">
        <f aca="false">MAX(0,(SUMIF(_計算!$B$2:$B$301,$A35,_計算!$H$2:$H$301)-SUMIF(_計算!$B$2:$B$301,$A35,_計算!$G$2:$G$301))/10)</f>
        <v>0</v>
      </c>
    </row>
    <row r="36" customFormat="false" ht="27.75" hidden="false" customHeight="true" outlineLevel="0" collapsed="false">
      <c r="A36" s="8" t="s">
        <v>46</v>
      </c>
      <c r="B36" s="9" t="str">
        <f aca="false">IFERROR(INDEX(成員名單!$B$5:$B$34,MATCH($A36,成員名單!$A$5:$A$34,0))&amp;"","")</f>
        <v/>
      </c>
      <c r="C36" s="9" t="n">
        <f aca="false">SUMIF(_計算!$B$2:$B$301,$A36,_計算!$C$2:$C$301)/10</f>
        <v>0</v>
      </c>
      <c r="D36" s="9" t="n">
        <f aca="false">SUMIF(_計算!$B$2:$B$301,$A36,_計算!$D$2:$D$301)/10</f>
        <v>0</v>
      </c>
      <c r="E36" s="9" t="n">
        <f aca="false">SUMIF(_計算!$B$2:$B$301,$A36,_計算!$E$2:$E$301)/10</f>
        <v>0</v>
      </c>
      <c r="F36" s="9" t="n">
        <f aca="false">SUMIF(_計算!$B$2:$B$301,$A36,_計算!$F$2:$F$301)/10</f>
        <v>0</v>
      </c>
      <c r="G36" s="9" t="n">
        <f aca="false">SUMIF(_計算!$B$2:$B$301,$A36,_計算!$G$2:$G$301)/10</f>
        <v>0</v>
      </c>
      <c r="H36" s="9" t="n">
        <f aca="false">SUMIF(_計算!$B$2:$B$301,$A36,_計算!$H$2:$H$301)/10</f>
        <v>0</v>
      </c>
      <c r="I36" s="9" t="n">
        <f aca="false">MAX(0,(SUMIF(_計算!$B$2:$B$301,$A36,_計算!$G$2:$G$301)-SUMIF(_計算!$B$2:$B$301,$A36,_計算!$H$2:$H$301))/10)</f>
        <v>0</v>
      </c>
      <c r="J36" s="9" t="n">
        <f aca="false">MAX(0,(SUMIF(_計算!$B$2:$B$301,$A36,_計算!$H$2:$H$301)-SUMIF(_計算!$B$2:$B$301,$A36,_計算!$G$2:$G$301))/10)</f>
        <v>0</v>
      </c>
    </row>
    <row r="37" customFormat="false" ht="27.75" hidden="false" customHeight="true" outlineLevel="0" collapsed="false">
      <c r="A37" s="10" t="s">
        <v>47</v>
      </c>
      <c r="B37" s="11" t="str">
        <f aca="false">IFERROR(INDEX(成員名單!$B$5:$B$34,MATCH($A37,成員名單!$A$5:$A$34,0))&amp;"","")</f>
        <v/>
      </c>
      <c r="C37" s="11" t="n">
        <f aca="false">SUMIF(_計算!$B$2:$B$301,$A37,_計算!$C$2:$C$301)/10</f>
        <v>0</v>
      </c>
      <c r="D37" s="11" t="n">
        <f aca="false">SUMIF(_計算!$B$2:$B$301,$A37,_計算!$D$2:$D$301)/10</f>
        <v>0</v>
      </c>
      <c r="E37" s="11" t="n">
        <f aca="false">SUMIF(_計算!$B$2:$B$301,$A37,_計算!$E$2:$E$301)/10</f>
        <v>0</v>
      </c>
      <c r="F37" s="11" t="n">
        <f aca="false">SUMIF(_計算!$B$2:$B$301,$A37,_計算!$F$2:$F$301)/10</f>
        <v>0</v>
      </c>
      <c r="G37" s="11" t="n">
        <f aca="false">SUMIF(_計算!$B$2:$B$301,$A37,_計算!$G$2:$G$301)/10</f>
        <v>0</v>
      </c>
      <c r="H37" s="11" t="n">
        <f aca="false">SUMIF(_計算!$B$2:$B$301,$A37,_計算!$H$2:$H$301)/10</f>
        <v>0</v>
      </c>
      <c r="I37" s="11" t="n">
        <f aca="false">MAX(0,(SUMIF(_計算!$B$2:$B$301,$A37,_計算!$G$2:$G$301)-SUMIF(_計算!$B$2:$B$301,$A37,_計算!$H$2:$H$301))/10)</f>
        <v>0</v>
      </c>
      <c r="J37" s="11" t="n">
        <f aca="false">MAX(0,(SUMIF(_計算!$B$2:$B$301,$A37,_計算!$H$2:$H$301)-SUMIF(_計算!$B$2:$B$301,$A37,_計算!$G$2:$G$301))/10)</f>
        <v>0</v>
      </c>
    </row>
    <row r="38" customFormat="false" ht="27.75" hidden="false" customHeight="true" outlineLevel="0" collapsed="false">
      <c r="A38" s="12"/>
      <c r="B38" s="8" t="s">
        <v>48</v>
      </c>
      <c r="C38" s="9" t="n">
        <f aca="false">SUM(_計算!C2:C301)/10</f>
        <v>0</v>
      </c>
      <c r="D38" s="9" t="n">
        <f aca="false">SUM(_計算!D2:D301)/10</f>
        <v>0</v>
      </c>
      <c r="E38" s="9" t="n">
        <f aca="false">SUM(_計算!E2:E301)/10</f>
        <v>0</v>
      </c>
      <c r="F38" s="9" t="n">
        <f aca="false">SUM(_計算!F2:F301)/10</f>
        <v>0</v>
      </c>
      <c r="G38" s="9" t="n">
        <f aca="false">SUM(_計算!G2:G301)/10</f>
        <v>0</v>
      </c>
      <c r="H38" s="9" t="n">
        <f aca="false">SUM(_計算!H2:H301)/10</f>
        <v>0</v>
      </c>
      <c r="I38" s="9" t="n">
        <f aca="false">SUM(MAX(0,SUMIF(_計算!$B$2:$B$301,$A8,_計算!$G$2:$G$301)-SUMIF(_計算!$B$2:$B$301,$A8,_計算!$H$2:$H$301)),MAX(0,SUMIF(_計算!$B$2:$B$301,$A9,_計算!$G$2:$G$301)-SUMIF(_計算!$B$2:$B$301,$A9,_計算!$H$2:$H$301)),MAX(0,SUMIF(_計算!$B$2:$B$301,$A10,_計算!$G$2:$G$301)-SUMIF(_計算!$B$2:$B$301,$A10,_計算!$H$2:$H$301)),MAX(0,SUMIF(_計算!$B$2:$B$301,$A11,_計算!$G$2:$G$301)-SUMIF(_計算!$B$2:$B$301,$A11,_計算!$H$2:$H$301)),MAX(0,SUMIF(_計算!$B$2:$B$301,$A12,_計算!$G$2:$G$301)-SUMIF(_計算!$B$2:$B$301,$A12,_計算!$H$2:$H$301)),MAX(0,SUMIF(_計算!$B$2:$B$301,$A13,_計算!$G$2:$G$301)-SUMIF(_計算!$B$2:$B$301,$A13,_計算!$H$2:$H$301)),MAX(0,SUMIF(_計算!$B$2:$B$301,$A14,_計算!$G$2:$G$301)-SUMIF(_計算!$B$2:$B$301,$A14,_計算!$H$2:$H$301)),MAX(0,SUMIF(_計算!$B$2:$B$301,$A15,_計算!$G$2:$G$301)-SUMIF(_計算!$B$2:$B$301,$A15,_計算!$H$2:$H$301)),MAX(0,SUMIF(_計算!$B$2:$B$301,$A16,_計算!$G$2:$G$301)-SUMIF(_計算!$B$2:$B$301,$A16,_計算!$H$2:$H$301)),MAX(0,SUMIF(_計算!$B$2:$B$301,$A17,_計算!$G$2:$G$301)-SUMIF(_計算!$B$2:$B$301,$A17,_計算!$H$2:$H$301)),MAX(0,SUMIF(_計算!$B$2:$B$301,$A18,_計算!$G$2:$G$301)-SUMIF(_計算!$B$2:$B$301,$A18,_計算!$H$2:$H$301)),MAX(0,SUMIF(_計算!$B$2:$B$301,$A19,_計算!$G$2:$G$301)-SUMIF(_計算!$B$2:$B$301,$A19,_計算!$H$2:$H$301)),MAX(0,SUMIF(_計算!$B$2:$B$301,$A20,_計算!$G$2:$G$301)-SUMIF(_計算!$B$2:$B$301,$A20,_計算!$H$2:$H$301)),MAX(0,SUMIF(_計算!$B$2:$B$301,$A21,_計算!$G$2:$G$301)-SUMIF(_計算!$B$2:$B$301,$A21,_計算!$H$2:$H$301)),MAX(0,SUMIF(_計算!$B$2:$B$301,$A22,_計算!$G$2:$G$301)-SUMIF(_計算!$B$2:$B$301,$A22,_計算!$H$2:$H$301)),MAX(0,SUMIF(_計算!$B$2:$B$301,$A23,_計算!$G$2:$G$301)-SUMIF(_計算!$B$2:$B$301,$A23,_計算!$H$2:$H$301)),MAX(0,SUMIF(_計算!$B$2:$B$301,$A24,_計算!$G$2:$G$301)-SUMIF(_計算!$B$2:$B$301,$A24,_計算!$H$2:$H$301)),MAX(0,SUMIF(_計算!$B$2:$B$301,$A25,_計算!$G$2:$G$301)-SUMIF(_計算!$B$2:$B$301,$A25,_計算!$H$2:$H$301)),MAX(0,SUMIF(_計算!$B$2:$B$301,$A26,_計算!$G$2:$G$301)-SUMIF(_計算!$B$2:$B$301,$A26,_計算!$H$2:$H$301)),MAX(0,SUMIF(_計算!$B$2:$B$301,$A27,_計算!$G$2:$G$301)-SUMIF(_計算!$B$2:$B$301,$A27,_計算!$H$2:$H$301)),MAX(0,SUMIF(_計算!$B$2:$B$301,$A28,_計算!$G$2:$G$301)-SUMIF(_計算!$B$2:$B$301,$A28,_計算!$H$2:$H$301)),MAX(0,SUMIF(_計算!$B$2:$B$301,$A29,_計算!$G$2:$G$301)-SUMIF(_計算!$B$2:$B$301,$A29,_計算!$H$2:$H$301)),MAX(0,SUMIF(_計算!$B$2:$B$301,$A30,_計算!$G$2:$G$301)-SUMIF(_計算!$B$2:$B$301,$A30,_計算!$H$2:$H$301)),MAX(0,SUMIF(_計算!$B$2:$B$301,$A31,_計算!$G$2:$G$301)-SUMIF(_計算!$B$2:$B$301,$A31,_計算!$H$2:$H$301)),MAX(0,SUMIF(_計算!$B$2:$B$301,$A32,_計算!$G$2:$G$301)-SUMIF(_計算!$B$2:$B$301,$A32,_計算!$H$2:$H$301)),MAX(0,SUMIF(_計算!$B$2:$B$301,$A33,_計算!$G$2:$G$301)-SUMIF(_計算!$B$2:$B$301,$A33,_計算!$H$2:$H$301)),MAX(0,SUMIF(_計算!$B$2:$B$301,$A34,_計算!$G$2:$G$301)-SUMIF(_計算!$B$2:$B$301,$A34,_計算!$H$2:$H$301)),MAX(0,SUMIF(_計算!$B$2:$B$301,$A35,_計算!$G$2:$G$301)-SUMIF(_計算!$B$2:$B$301,$A35,_計算!$H$2:$H$301)),MAX(0,SUMIF(_計算!$B$2:$B$301,$A36,_計算!$G$2:$G$301)-SUMIF(_計算!$B$2:$B$301,$A36,_計算!$H$2:$H$301)),MAX(0,SUMIF(_計算!$B$2:$B$301,$A37,_計算!$G$2:$G$301)-SUMIF(_計算!$B$2:$B$301,$A37,_計算!$H$2:$H$301)))/10</f>
        <v>0</v>
      </c>
      <c r="J38" s="9" t="n">
        <f aca="false">SUM(MAX(0,SUMIF(_計算!$B$2:$B$301,$A8,_計算!$H$2:$H$301)-SUMIF(_計算!$B$2:$B$301,$A8,_計算!$G$2:$G$301)),MAX(0,SUMIF(_計算!$B$2:$B$301,$A9,_計算!$H$2:$H$301)-SUMIF(_計算!$B$2:$B$301,$A9,_計算!$G$2:$G$301)),MAX(0,SUMIF(_計算!$B$2:$B$301,$A10,_計算!$H$2:$H$301)-SUMIF(_計算!$B$2:$B$301,$A10,_計算!$G$2:$G$301)),MAX(0,SUMIF(_計算!$B$2:$B$301,$A11,_計算!$H$2:$H$301)-SUMIF(_計算!$B$2:$B$301,$A11,_計算!$G$2:$G$301)),MAX(0,SUMIF(_計算!$B$2:$B$301,$A12,_計算!$H$2:$H$301)-SUMIF(_計算!$B$2:$B$301,$A12,_計算!$G$2:$G$301)),MAX(0,SUMIF(_計算!$B$2:$B$301,$A13,_計算!$H$2:$H$301)-SUMIF(_計算!$B$2:$B$301,$A13,_計算!$G$2:$G$301)),MAX(0,SUMIF(_計算!$B$2:$B$301,$A14,_計算!$H$2:$H$301)-SUMIF(_計算!$B$2:$B$301,$A14,_計算!$G$2:$G$301)),MAX(0,SUMIF(_計算!$B$2:$B$301,$A15,_計算!$H$2:$H$301)-SUMIF(_計算!$B$2:$B$301,$A15,_計算!$G$2:$G$301)),MAX(0,SUMIF(_計算!$B$2:$B$301,$A16,_計算!$H$2:$H$301)-SUMIF(_計算!$B$2:$B$301,$A16,_計算!$G$2:$G$301)),MAX(0,SUMIF(_計算!$B$2:$B$301,$A17,_計算!$H$2:$H$301)-SUMIF(_計算!$B$2:$B$301,$A17,_計算!$G$2:$G$301)),MAX(0,SUMIF(_計算!$B$2:$B$301,$A18,_計算!$H$2:$H$301)-SUMIF(_計算!$B$2:$B$301,$A18,_計算!$G$2:$G$301)),MAX(0,SUMIF(_計算!$B$2:$B$301,$A19,_計算!$H$2:$H$301)-SUMIF(_計算!$B$2:$B$301,$A19,_計算!$G$2:$G$301)),MAX(0,SUMIF(_計算!$B$2:$B$301,$A20,_計算!$H$2:$H$301)-SUMIF(_計算!$B$2:$B$301,$A20,_計算!$G$2:$G$301)),MAX(0,SUMIF(_計算!$B$2:$B$301,$A21,_計算!$H$2:$H$301)-SUMIF(_計算!$B$2:$B$301,$A21,_計算!$G$2:$G$301)),MAX(0,SUMIF(_計算!$B$2:$B$301,$A22,_計算!$H$2:$H$301)-SUMIF(_計算!$B$2:$B$301,$A22,_計算!$G$2:$G$301)),MAX(0,SUMIF(_計算!$B$2:$B$301,$A23,_計算!$H$2:$H$301)-SUMIF(_計算!$B$2:$B$301,$A23,_計算!$G$2:$G$301)),MAX(0,SUMIF(_計算!$B$2:$B$301,$A24,_計算!$H$2:$H$301)-SUMIF(_計算!$B$2:$B$301,$A24,_計算!$G$2:$G$301)),MAX(0,SUMIF(_計算!$B$2:$B$301,$A25,_計算!$H$2:$H$301)-SUMIF(_計算!$B$2:$B$301,$A25,_計算!$G$2:$G$301)),MAX(0,SUMIF(_計算!$B$2:$B$301,$A26,_計算!$H$2:$H$301)-SUMIF(_計算!$B$2:$B$301,$A26,_計算!$G$2:$G$301)),MAX(0,SUMIF(_計算!$B$2:$B$301,$A27,_計算!$H$2:$H$301)-SUMIF(_計算!$B$2:$B$301,$A27,_計算!$G$2:$G$301)),MAX(0,SUMIF(_計算!$B$2:$B$301,$A28,_計算!$H$2:$H$301)-SUMIF(_計算!$B$2:$B$301,$A28,_計算!$G$2:$G$301)),MAX(0,SUMIF(_計算!$B$2:$B$301,$A29,_計算!$H$2:$H$301)-SUMIF(_計算!$B$2:$B$301,$A29,_計算!$G$2:$G$301)),MAX(0,SUMIF(_計算!$B$2:$B$301,$A30,_計算!$H$2:$H$301)-SUMIF(_計算!$B$2:$B$301,$A30,_計算!$G$2:$G$301)),MAX(0,SUMIF(_計算!$B$2:$B$301,$A31,_計算!$H$2:$H$301)-SUMIF(_計算!$B$2:$B$301,$A31,_計算!$G$2:$G$301)),MAX(0,SUMIF(_計算!$B$2:$B$301,$A32,_計算!$H$2:$H$301)-SUMIF(_計算!$B$2:$B$301,$A32,_計算!$G$2:$G$301)),MAX(0,SUMIF(_計算!$B$2:$B$301,$A33,_計算!$H$2:$H$301)-SUMIF(_計算!$B$2:$B$301,$A33,_計算!$G$2:$G$301)),MAX(0,SUMIF(_計算!$B$2:$B$301,$A34,_計算!$H$2:$H$301)-SUMIF(_計算!$B$2:$B$301,$A34,_計算!$G$2:$G$301)),MAX(0,SUMIF(_計算!$B$2:$B$301,$A35,_計算!$H$2:$H$301)-SUMIF(_計算!$B$2:$B$301,$A35,_計算!$G$2:$G$301)),MAX(0,SUMIF(_計算!$B$2:$B$301,$A36,_計算!$H$2:$H$301)-SUMIF(_計算!$B$2:$B$301,$A36,_計算!$G$2:$G$301)),MAX(0,SUMIF(_計算!$B$2:$B$301,$A37,_計算!$H$2:$H$301)-SUMIF(_計算!$B$2:$B$301,$A37,_計算!$G$2:$G$301)))/10</f>
        <v>0</v>
      </c>
    </row>
    <row r="41" customFormat="false" ht="15" hidden="false" customHeight="false" outlineLevel="0" collapsed="false">
      <c r="B41" s="13" t="s">
        <v>49</v>
      </c>
    </row>
    <row r="42" customFormat="false" ht="15" hidden="false" customHeight="false" outlineLevel="0" collapsed="false">
      <c r="B42" s="13" t="s">
        <v>50</v>
      </c>
      <c r="C42" s="13" t="s">
        <v>51</v>
      </c>
      <c r="D42" s="13" t="s">
        <v>52</v>
      </c>
      <c r="E42" s="13" t="s">
        <v>53</v>
      </c>
    </row>
    <row r="43" customFormat="false" ht="48" hidden="false" customHeight="true" outlineLevel="0" collapsed="false">
      <c r="B43" s="14" t="str">
        <f aca="false">'第 1 天'!$B$2</f>
        <v>第 1 天</v>
      </c>
      <c r="C43" s="14" t="str">
        <f aca="false">'第 1 天'!D4</f>
        <v>早餐</v>
      </c>
      <c r="D43" s="14" t="n">
        <f aca="false">'第 1 天'!D46/10</f>
        <v>0</v>
      </c>
      <c r="E43" s="15" t="str">
        <f aca="false">'第 1 天'!D10</f>
        <v/>
      </c>
      <c r="F43" s="15"/>
      <c r="G43" s="15"/>
      <c r="H43" s="15"/>
      <c r="I43" s="15"/>
      <c r="J43" s="15"/>
    </row>
    <row r="44" customFormat="false" ht="48" hidden="false" customHeight="true" outlineLevel="0" collapsed="false">
      <c r="B44" s="14" t="str">
        <f aca="false">'第 1 天'!$B$2</f>
        <v>第 1 天</v>
      </c>
      <c r="C44" s="14" t="str">
        <f aca="false">'第 1 天'!F4</f>
        <v>午餐</v>
      </c>
      <c r="D44" s="14" t="n">
        <f aca="false">'第 1 天'!F46/10</f>
        <v>0</v>
      </c>
      <c r="E44" s="15" t="str">
        <f aca="false">'第 1 天'!F10</f>
        <v/>
      </c>
      <c r="F44" s="15"/>
      <c r="G44" s="15"/>
      <c r="H44" s="15"/>
      <c r="I44" s="15"/>
      <c r="J44" s="15"/>
    </row>
    <row r="45" customFormat="false" ht="48" hidden="false" customHeight="true" outlineLevel="0" collapsed="false">
      <c r="B45" s="14" t="str">
        <f aca="false">'第 1 天'!$B$2</f>
        <v>第 1 天</v>
      </c>
      <c r="C45" s="14" t="str">
        <f aca="false">'第 1 天'!H4</f>
        <v>晚餐</v>
      </c>
      <c r="D45" s="14" t="n">
        <f aca="false">'第 1 天'!H46/10</f>
        <v>0</v>
      </c>
      <c r="E45" s="15" t="str">
        <f aca="false">'第 1 天'!H10</f>
        <v/>
      </c>
      <c r="F45" s="15"/>
      <c r="G45" s="15"/>
      <c r="H45" s="15"/>
      <c r="I45" s="15"/>
      <c r="J45" s="15"/>
    </row>
    <row r="46" customFormat="false" ht="48" hidden="false" customHeight="true" outlineLevel="0" collapsed="false">
      <c r="B46" s="14" t="str">
        <f aca="false">'第 1 天'!$B$2</f>
        <v>第 1 天</v>
      </c>
      <c r="C46" s="14" t="str">
        <f aca="false">'第 1 天'!J4</f>
        <v>油錢</v>
      </c>
      <c r="D46" s="14" t="n">
        <f aca="false">'第 1 天'!J46/10</f>
        <v>0</v>
      </c>
      <c r="E46" s="15" t="str">
        <f aca="false">'第 1 天'!J10</f>
        <v/>
      </c>
      <c r="F46" s="15"/>
      <c r="G46" s="15"/>
      <c r="H46" s="15"/>
      <c r="I46" s="15"/>
      <c r="J46" s="15"/>
    </row>
    <row r="47" customFormat="false" ht="48" hidden="false" customHeight="true" outlineLevel="0" collapsed="false">
      <c r="B47" s="14" t="str">
        <f aca="false">'第 1 天'!$B$2</f>
        <v>第 1 天</v>
      </c>
      <c r="C47" s="14" t="str">
        <f aca="false">'第 1 天'!L4</f>
        <v>租車費</v>
      </c>
      <c r="D47" s="14" t="n">
        <f aca="false">'第 1 天'!L46/10</f>
        <v>0</v>
      </c>
      <c r="E47" s="15" t="str">
        <f aca="false">'第 1 天'!L10</f>
        <v/>
      </c>
      <c r="F47" s="15"/>
      <c r="G47" s="15"/>
      <c r="H47" s="15"/>
      <c r="I47" s="15"/>
      <c r="J47" s="15"/>
    </row>
    <row r="48" customFormat="false" ht="48" hidden="false" customHeight="true" outlineLevel="0" collapsed="false">
      <c r="B48" s="14" t="str">
        <f aca="false">'第 1 天'!$B$2</f>
        <v>第 1 天</v>
      </c>
      <c r="C48" s="14" t="str">
        <f aca="false">'第 1 天'!N4</f>
        <v>停車費</v>
      </c>
      <c r="D48" s="14" t="n">
        <f aca="false">'第 1 天'!N46/10</f>
        <v>0</v>
      </c>
      <c r="E48" s="15" t="str">
        <f aca="false">'第 1 天'!N10</f>
        <v/>
      </c>
      <c r="F48" s="15"/>
      <c r="G48" s="15"/>
      <c r="H48" s="15"/>
      <c r="I48" s="15"/>
      <c r="J48" s="15"/>
    </row>
    <row r="49" customFormat="false" ht="48" hidden="false" customHeight="true" outlineLevel="0" collapsed="false">
      <c r="B49" s="14" t="str">
        <f aca="false">'第 1 天'!$B$2</f>
        <v>第 1 天</v>
      </c>
      <c r="C49" s="14" t="str">
        <f aca="false">'第 1 天'!P4</f>
        <v>其他</v>
      </c>
      <c r="D49" s="14" t="n">
        <f aca="false">'第 1 天'!P46/10</f>
        <v>0</v>
      </c>
      <c r="E49" s="15" t="str">
        <f aca="false">'第 1 天'!P10</f>
        <v/>
      </c>
      <c r="F49" s="15"/>
      <c r="G49" s="15"/>
      <c r="H49" s="15"/>
      <c r="I49" s="15"/>
      <c r="J49" s="15"/>
    </row>
    <row r="50" customFormat="false" ht="48" hidden="false" customHeight="true" outlineLevel="0" collapsed="false">
      <c r="B50" s="14" t="str">
        <f aca="false">'第 2 天'!$B$2</f>
        <v>第 2 天</v>
      </c>
      <c r="C50" s="14" t="str">
        <f aca="false">'第 2 天'!D4</f>
        <v>早餐</v>
      </c>
      <c r="D50" s="14" t="n">
        <f aca="false">'第 2 天'!D46/10</f>
        <v>0</v>
      </c>
      <c r="E50" s="15" t="str">
        <f aca="false">'第 2 天'!D10</f>
        <v/>
      </c>
      <c r="F50" s="15"/>
      <c r="G50" s="15"/>
      <c r="H50" s="15"/>
      <c r="I50" s="15"/>
      <c r="J50" s="15"/>
    </row>
    <row r="51" customFormat="false" ht="48" hidden="false" customHeight="true" outlineLevel="0" collapsed="false">
      <c r="B51" s="14" t="str">
        <f aca="false">'第 2 天'!$B$2</f>
        <v>第 2 天</v>
      </c>
      <c r="C51" s="14" t="str">
        <f aca="false">'第 2 天'!F4</f>
        <v>午餐</v>
      </c>
      <c r="D51" s="14" t="n">
        <f aca="false">'第 2 天'!F46/10</f>
        <v>0</v>
      </c>
      <c r="E51" s="15" t="str">
        <f aca="false">'第 2 天'!F10</f>
        <v/>
      </c>
      <c r="F51" s="15"/>
      <c r="G51" s="15"/>
      <c r="H51" s="15"/>
      <c r="I51" s="15"/>
      <c r="J51" s="15"/>
    </row>
    <row r="52" customFormat="false" ht="48" hidden="false" customHeight="true" outlineLevel="0" collapsed="false">
      <c r="B52" s="14" t="str">
        <f aca="false">'第 2 天'!$B$2</f>
        <v>第 2 天</v>
      </c>
      <c r="C52" s="14" t="str">
        <f aca="false">'第 2 天'!H4</f>
        <v>晚餐</v>
      </c>
      <c r="D52" s="14" t="n">
        <f aca="false">'第 2 天'!H46/10</f>
        <v>0</v>
      </c>
      <c r="E52" s="15" t="str">
        <f aca="false">'第 2 天'!H10</f>
        <v/>
      </c>
      <c r="F52" s="15"/>
      <c r="G52" s="15"/>
      <c r="H52" s="15"/>
      <c r="I52" s="15"/>
      <c r="J52" s="15"/>
    </row>
    <row r="53" customFormat="false" ht="48" hidden="false" customHeight="true" outlineLevel="0" collapsed="false">
      <c r="B53" s="14" t="str">
        <f aca="false">'第 2 天'!$B$2</f>
        <v>第 2 天</v>
      </c>
      <c r="C53" s="14" t="str">
        <f aca="false">'第 2 天'!J4</f>
        <v>油錢</v>
      </c>
      <c r="D53" s="14" t="n">
        <f aca="false">'第 2 天'!J46/10</f>
        <v>0</v>
      </c>
      <c r="E53" s="15" t="str">
        <f aca="false">'第 2 天'!J10</f>
        <v/>
      </c>
      <c r="F53" s="15"/>
      <c r="G53" s="15"/>
      <c r="H53" s="15"/>
      <c r="I53" s="15"/>
      <c r="J53" s="15"/>
    </row>
    <row r="54" customFormat="false" ht="48" hidden="false" customHeight="true" outlineLevel="0" collapsed="false">
      <c r="B54" s="14" t="str">
        <f aca="false">'第 2 天'!$B$2</f>
        <v>第 2 天</v>
      </c>
      <c r="C54" s="14" t="str">
        <f aca="false">'第 2 天'!L4</f>
        <v>租車費</v>
      </c>
      <c r="D54" s="14" t="n">
        <f aca="false">'第 2 天'!L46/10</f>
        <v>0</v>
      </c>
      <c r="E54" s="15" t="str">
        <f aca="false">'第 2 天'!L10</f>
        <v/>
      </c>
      <c r="F54" s="15"/>
      <c r="G54" s="15"/>
      <c r="H54" s="15"/>
      <c r="I54" s="15"/>
      <c r="J54" s="15"/>
    </row>
    <row r="55" customFormat="false" ht="48" hidden="false" customHeight="true" outlineLevel="0" collapsed="false">
      <c r="B55" s="14" t="str">
        <f aca="false">'第 2 天'!$B$2</f>
        <v>第 2 天</v>
      </c>
      <c r="C55" s="14" t="str">
        <f aca="false">'第 2 天'!N4</f>
        <v>停車費</v>
      </c>
      <c r="D55" s="14" t="n">
        <f aca="false">'第 2 天'!N46/10</f>
        <v>0</v>
      </c>
      <c r="E55" s="15" t="str">
        <f aca="false">'第 2 天'!N10</f>
        <v/>
      </c>
      <c r="F55" s="15"/>
      <c r="G55" s="15"/>
      <c r="H55" s="15"/>
      <c r="I55" s="15"/>
      <c r="J55" s="15"/>
    </row>
    <row r="56" customFormat="false" ht="48" hidden="false" customHeight="true" outlineLevel="0" collapsed="false">
      <c r="B56" s="14" t="str">
        <f aca="false">'第 2 天'!$B$2</f>
        <v>第 2 天</v>
      </c>
      <c r="C56" s="14" t="str">
        <f aca="false">'第 2 天'!P4</f>
        <v>其他</v>
      </c>
      <c r="D56" s="14" t="n">
        <f aca="false">'第 2 天'!P46/10</f>
        <v>0</v>
      </c>
      <c r="E56" s="15" t="str">
        <f aca="false">'第 2 天'!P10</f>
        <v/>
      </c>
      <c r="F56" s="15"/>
      <c r="G56" s="15"/>
      <c r="H56" s="15"/>
      <c r="I56" s="15"/>
      <c r="J56" s="15"/>
    </row>
    <row r="57" customFormat="false" ht="48" hidden="false" customHeight="true" outlineLevel="0" collapsed="false">
      <c r="B57" s="14" t="str">
        <f aca="false">'第 3 天'!$B$2</f>
        <v>第 3 天</v>
      </c>
      <c r="C57" s="14" t="str">
        <f aca="false">'第 3 天'!D4</f>
        <v>早餐</v>
      </c>
      <c r="D57" s="14" t="n">
        <f aca="false">'第 3 天'!D46/10</f>
        <v>0</v>
      </c>
      <c r="E57" s="15" t="str">
        <f aca="false">'第 3 天'!D10</f>
        <v/>
      </c>
      <c r="F57" s="15"/>
      <c r="G57" s="15"/>
      <c r="H57" s="15"/>
      <c r="I57" s="15"/>
      <c r="J57" s="15"/>
    </row>
    <row r="58" customFormat="false" ht="48" hidden="false" customHeight="true" outlineLevel="0" collapsed="false">
      <c r="B58" s="14" t="str">
        <f aca="false">'第 3 天'!$B$2</f>
        <v>第 3 天</v>
      </c>
      <c r="C58" s="14" t="str">
        <f aca="false">'第 3 天'!F4</f>
        <v>午餐</v>
      </c>
      <c r="D58" s="14" t="n">
        <f aca="false">'第 3 天'!F46/10</f>
        <v>0</v>
      </c>
      <c r="E58" s="15" t="str">
        <f aca="false">'第 3 天'!F10</f>
        <v/>
      </c>
      <c r="F58" s="15"/>
      <c r="G58" s="15"/>
      <c r="H58" s="15"/>
      <c r="I58" s="15"/>
      <c r="J58" s="15"/>
    </row>
    <row r="59" customFormat="false" ht="48" hidden="false" customHeight="true" outlineLevel="0" collapsed="false">
      <c r="B59" s="14" t="str">
        <f aca="false">'第 3 天'!$B$2</f>
        <v>第 3 天</v>
      </c>
      <c r="C59" s="14" t="str">
        <f aca="false">'第 3 天'!H4</f>
        <v>晚餐</v>
      </c>
      <c r="D59" s="14" t="n">
        <f aca="false">'第 3 天'!H46/10</f>
        <v>0</v>
      </c>
      <c r="E59" s="15" t="str">
        <f aca="false">'第 3 天'!H10</f>
        <v/>
      </c>
      <c r="F59" s="15"/>
      <c r="G59" s="15"/>
      <c r="H59" s="15"/>
      <c r="I59" s="15"/>
      <c r="J59" s="15"/>
    </row>
    <row r="60" customFormat="false" ht="48" hidden="false" customHeight="true" outlineLevel="0" collapsed="false">
      <c r="B60" s="14" t="str">
        <f aca="false">'第 3 天'!$B$2</f>
        <v>第 3 天</v>
      </c>
      <c r="C60" s="14" t="str">
        <f aca="false">'第 3 天'!J4</f>
        <v>油錢</v>
      </c>
      <c r="D60" s="14" t="n">
        <f aca="false">'第 3 天'!J46/10</f>
        <v>0</v>
      </c>
      <c r="E60" s="15" t="str">
        <f aca="false">'第 3 天'!J10</f>
        <v/>
      </c>
      <c r="F60" s="15"/>
      <c r="G60" s="15"/>
      <c r="H60" s="15"/>
      <c r="I60" s="15"/>
      <c r="J60" s="15"/>
    </row>
    <row r="61" customFormat="false" ht="48" hidden="false" customHeight="true" outlineLevel="0" collapsed="false">
      <c r="B61" s="14" t="str">
        <f aca="false">'第 3 天'!$B$2</f>
        <v>第 3 天</v>
      </c>
      <c r="C61" s="14" t="str">
        <f aca="false">'第 3 天'!L4</f>
        <v>租車費</v>
      </c>
      <c r="D61" s="14" t="n">
        <f aca="false">'第 3 天'!L46/10</f>
        <v>0</v>
      </c>
      <c r="E61" s="15" t="str">
        <f aca="false">'第 3 天'!L10</f>
        <v/>
      </c>
      <c r="F61" s="15"/>
      <c r="G61" s="15"/>
      <c r="H61" s="15"/>
      <c r="I61" s="15"/>
      <c r="J61" s="15"/>
    </row>
    <row r="62" customFormat="false" ht="48" hidden="false" customHeight="true" outlineLevel="0" collapsed="false">
      <c r="B62" s="14" t="str">
        <f aca="false">'第 3 天'!$B$2</f>
        <v>第 3 天</v>
      </c>
      <c r="C62" s="14" t="str">
        <f aca="false">'第 3 天'!N4</f>
        <v>停車費</v>
      </c>
      <c r="D62" s="14" t="n">
        <f aca="false">'第 3 天'!N46/10</f>
        <v>0</v>
      </c>
      <c r="E62" s="15" t="str">
        <f aca="false">'第 3 天'!N10</f>
        <v/>
      </c>
      <c r="F62" s="15"/>
      <c r="G62" s="15"/>
      <c r="H62" s="15"/>
      <c r="I62" s="15"/>
      <c r="J62" s="15"/>
    </row>
    <row r="63" customFormat="false" ht="48" hidden="false" customHeight="true" outlineLevel="0" collapsed="false">
      <c r="B63" s="14" t="str">
        <f aca="false">'第 3 天'!$B$2</f>
        <v>第 3 天</v>
      </c>
      <c r="C63" s="14" t="str">
        <f aca="false">'第 3 天'!P4</f>
        <v>其他</v>
      </c>
      <c r="D63" s="14" t="n">
        <f aca="false">'第 3 天'!P46/10</f>
        <v>0</v>
      </c>
      <c r="E63" s="15" t="str">
        <f aca="false">'第 3 天'!P10</f>
        <v/>
      </c>
      <c r="F63" s="15"/>
      <c r="G63" s="15"/>
      <c r="H63" s="15"/>
      <c r="I63" s="15"/>
      <c r="J63" s="15"/>
    </row>
    <row r="64" customFormat="false" ht="48" hidden="false" customHeight="true" outlineLevel="0" collapsed="false">
      <c r="B64" s="14" t="str">
        <f aca="false">'第 4 天'!$B$2</f>
        <v>第 4 天</v>
      </c>
      <c r="C64" s="14" t="str">
        <f aca="false">'第 4 天'!D4</f>
        <v>早餐</v>
      </c>
      <c r="D64" s="14" t="n">
        <f aca="false">'第 4 天'!D46/10</f>
        <v>0</v>
      </c>
      <c r="E64" s="15" t="str">
        <f aca="false">'第 4 天'!D10</f>
        <v/>
      </c>
      <c r="F64" s="15"/>
      <c r="G64" s="15"/>
      <c r="H64" s="15"/>
      <c r="I64" s="15"/>
      <c r="J64" s="15"/>
    </row>
    <row r="65" customFormat="false" ht="48" hidden="false" customHeight="true" outlineLevel="0" collapsed="false">
      <c r="B65" s="14" t="str">
        <f aca="false">'第 4 天'!$B$2</f>
        <v>第 4 天</v>
      </c>
      <c r="C65" s="14" t="str">
        <f aca="false">'第 4 天'!F4</f>
        <v>午餐</v>
      </c>
      <c r="D65" s="14" t="n">
        <f aca="false">'第 4 天'!F46/10</f>
        <v>0</v>
      </c>
      <c r="E65" s="15" t="str">
        <f aca="false">'第 4 天'!F10</f>
        <v/>
      </c>
      <c r="F65" s="15"/>
      <c r="G65" s="15"/>
      <c r="H65" s="15"/>
      <c r="I65" s="15"/>
      <c r="J65" s="15"/>
    </row>
    <row r="66" customFormat="false" ht="48" hidden="false" customHeight="true" outlineLevel="0" collapsed="false">
      <c r="B66" s="14" t="str">
        <f aca="false">'第 4 天'!$B$2</f>
        <v>第 4 天</v>
      </c>
      <c r="C66" s="14" t="str">
        <f aca="false">'第 4 天'!H4</f>
        <v>晚餐</v>
      </c>
      <c r="D66" s="14" t="n">
        <f aca="false">'第 4 天'!H46/10</f>
        <v>0</v>
      </c>
      <c r="E66" s="15" t="str">
        <f aca="false">'第 4 天'!H10</f>
        <v/>
      </c>
      <c r="F66" s="15"/>
      <c r="G66" s="15"/>
      <c r="H66" s="15"/>
      <c r="I66" s="15"/>
      <c r="J66" s="15"/>
    </row>
    <row r="67" customFormat="false" ht="48" hidden="false" customHeight="true" outlineLevel="0" collapsed="false">
      <c r="B67" s="14" t="str">
        <f aca="false">'第 4 天'!$B$2</f>
        <v>第 4 天</v>
      </c>
      <c r="C67" s="14" t="str">
        <f aca="false">'第 4 天'!J4</f>
        <v>油錢</v>
      </c>
      <c r="D67" s="14" t="n">
        <f aca="false">'第 4 天'!J46/10</f>
        <v>0</v>
      </c>
      <c r="E67" s="15" t="str">
        <f aca="false">'第 4 天'!J10</f>
        <v/>
      </c>
      <c r="F67" s="15"/>
      <c r="G67" s="15"/>
      <c r="H67" s="15"/>
      <c r="I67" s="15"/>
      <c r="J67" s="15"/>
    </row>
    <row r="68" customFormat="false" ht="48" hidden="false" customHeight="true" outlineLevel="0" collapsed="false">
      <c r="B68" s="14" t="str">
        <f aca="false">'第 4 天'!$B$2</f>
        <v>第 4 天</v>
      </c>
      <c r="C68" s="14" t="str">
        <f aca="false">'第 4 天'!L4</f>
        <v>租車費</v>
      </c>
      <c r="D68" s="14" t="n">
        <f aca="false">'第 4 天'!L46/10</f>
        <v>0</v>
      </c>
      <c r="E68" s="15" t="str">
        <f aca="false">'第 4 天'!L10</f>
        <v/>
      </c>
      <c r="F68" s="15"/>
      <c r="G68" s="15"/>
      <c r="H68" s="15"/>
      <c r="I68" s="15"/>
      <c r="J68" s="15"/>
    </row>
    <row r="69" customFormat="false" ht="48" hidden="false" customHeight="true" outlineLevel="0" collapsed="false">
      <c r="B69" s="14" t="str">
        <f aca="false">'第 4 天'!$B$2</f>
        <v>第 4 天</v>
      </c>
      <c r="C69" s="14" t="str">
        <f aca="false">'第 4 天'!N4</f>
        <v>停車費</v>
      </c>
      <c r="D69" s="14" t="n">
        <f aca="false">'第 4 天'!N46/10</f>
        <v>0</v>
      </c>
      <c r="E69" s="15" t="str">
        <f aca="false">'第 4 天'!N10</f>
        <v/>
      </c>
      <c r="F69" s="15"/>
      <c r="G69" s="15"/>
      <c r="H69" s="15"/>
      <c r="I69" s="15"/>
      <c r="J69" s="15"/>
    </row>
    <row r="70" customFormat="false" ht="48" hidden="false" customHeight="true" outlineLevel="0" collapsed="false">
      <c r="B70" s="14" t="str">
        <f aca="false">'第 4 天'!$B$2</f>
        <v>第 4 天</v>
      </c>
      <c r="C70" s="14" t="str">
        <f aca="false">'第 4 天'!P4</f>
        <v>其他</v>
      </c>
      <c r="D70" s="14" t="n">
        <f aca="false">'第 4 天'!P46/10</f>
        <v>0</v>
      </c>
      <c r="E70" s="15" t="str">
        <f aca="false">'第 4 天'!P10</f>
        <v/>
      </c>
      <c r="F70" s="15"/>
      <c r="G70" s="15"/>
      <c r="H70" s="15"/>
      <c r="I70" s="15"/>
      <c r="J70" s="15"/>
    </row>
    <row r="71" customFormat="false" ht="48" hidden="false" customHeight="true" outlineLevel="0" collapsed="false">
      <c r="B71" s="14" t="str">
        <f aca="false">'第 5 天'!$B$2</f>
        <v>第 5 天</v>
      </c>
      <c r="C71" s="14" t="str">
        <f aca="false">'第 5 天'!D4</f>
        <v>早餐</v>
      </c>
      <c r="D71" s="14" t="n">
        <f aca="false">'第 5 天'!D46/10</f>
        <v>0</v>
      </c>
      <c r="E71" s="15" t="str">
        <f aca="false">'第 5 天'!D10</f>
        <v/>
      </c>
      <c r="F71" s="15"/>
      <c r="G71" s="15"/>
      <c r="H71" s="15"/>
      <c r="I71" s="15"/>
      <c r="J71" s="15"/>
    </row>
    <row r="72" customFormat="false" ht="48" hidden="false" customHeight="true" outlineLevel="0" collapsed="false">
      <c r="B72" s="14" t="str">
        <f aca="false">'第 5 天'!$B$2</f>
        <v>第 5 天</v>
      </c>
      <c r="C72" s="14" t="str">
        <f aca="false">'第 5 天'!F4</f>
        <v>午餐</v>
      </c>
      <c r="D72" s="14" t="n">
        <f aca="false">'第 5 天'!F46/10</f>
        <v>0</v>
      </c>
      <c r="E72" s="15" t="str">
        <f aca="false">'第 5 天'!F10</f>
        <v/>
      </c>
      <c r="F72" s="15"/>
      <c r="G72" s="15"/>
      <c r="H72" s="15"/>
      <c r="I72" s="15"/>
      <c r="J72" s="15"/>
    </row>
    <row r="73" customFormat="false" ht="48" hidden="false" customHeight="true" outlineLevel="0" collapsed="false">
      <c r="B73" s="14" t="str">
        <f aca="false">'第 5 天'!$B$2</f>
        <v>第 5 天</v>
      </c>
      <c r="C73" s="14" t="str">
        <f aca="false">'第 5 天'!H4</f>
        <v>晚餐</v>
      </c>
      <c r="D73" s="14" t="n">
        <f aca="false">'第 5 天'!H46/10</f>
        <v>0</v>
      </c>
      <c r="E73" s="15" t="str">
        <f aca="false">'第 5 天'!H10</f>
        <v/>
      </c>
      <c r="F73" s="15"/>
      <c r="G73" s="15"/>
      <c r="H73" s="15"/>
      <c r="I73" s="15"/>
      <c r="J73" s="15"/>
    </row>
    <row r="74" customFormat="false" ht="48" hidden="false" customHeight="true" outlineLevel="0" collapsed="false">
      <c r="B74" s="14" t="str">
        <f aca="false">'第 5 天'!$B$2</f>
        <v>第 5 天</v>
      </c>
      <c r="C74" s="14" t="str">
        <f aca="false">'第 5 天'!J4</f>
        <v>油錢</v>
      </c>
      <c r="D74" s="14" t="n">
        <f aca="false">'第 5 天'!J46/10</f>
        <v>0</v>
      </c>
      <c r="E74" s="15" t="str">
        <f aca="false">'第 5 天'!J10</f>
        <v/>
      </c>
      <c r="F74" s="15"/>
      <c r="G74" s="15"/>
      <c r="H74" s="15"/>
      <c r="I74" s="15"/>
      <c r="J74" s="15"/>
    </row>
    <row r="75" customFormat="false" ht="48" hidden="false" customHeight="true" outlineLevel="0" collapsed="false">
      <c r="B75" s="14" t="str">
        <f aca="false">'第 5 天'!$B$2</f>
        <v>第 5 天</v>
      </c>
      <c r="C75" s="14" t="str">
        <f aca="false">'第 5 天'!L4</f>
        <v>租車費</v>
      </c>
      <c r="D75" s="14" t="n">
        <f aca="false">'第 5 天'!L46/10</f>
        <v>0</v>
      </c>
      <c r="E75" s="15" t="str">
        <f aca="false">'第 5 天'!L10</f>
        <v/>
      </c>
      <c r="F75" s="15"/>
      <c r="G75" s="15"/>
      <c r="H75" s="15"/>
      <c r="I75" s="15"/>
      <c r="J75" s="15"/>
    </row>
    <row r="76" customFormat="false" ht="48" hidden="false" customHeight="true" outlineLevel="0" collapsed="false">
      <c r="B76" s="14" t="str">
        <f aca="false">'第 5 天'!$B$2</f>
        <v>第 5 天</v>
      </c>
      <c r="C76" s="14" t="str">
        <f aca="false">'第 5 天'!N4</f>
        <v>停車費</v>
      </c>
      <c r="D76" s="14" t="n">
        <f aca="false">'第 5 天'!N46/10</f>
        <v>0</v>
      </c>
      <c r="E76" s="15" t="str">
        <f aca="false">'第 5 天'!N10</f>
        <v/>
      </c>
      <c r="F76" s="15"/>
      <c r="G76" s="15"/>
      <c r="H76" s="15"/>
      <c r="I76" s="15"/>
      <c r="J76" s="15"/>
    </row>
    <row r="77" customFormat="false" ht="48" hidden="false" customHeight="true" outlineLevel="0" collapsed="false">
      <c r="B77" s="14" t="str">
        <f aca="false">'第 5 天'!$B$2</f>
        <v>第 5 天</v>
      </c>
      <c r="C77" s="14" t="str">
        <f aca="false">'第 5 天'!P4</f>
        <v>其他</v>
      </c>
      <c r="D77" s="14" t="n">
        <f aca="false">'第 5 天'!P46/10</f>
        <v>0</v>
      </c>
      <c r="E77" s="15" t="str">
        <f aca="false">'第 5 天'!P10</f>
        <v/>
      </c>
      <c r="F77" s="15"/>
      <c r="G77" s="15"/>
      <c r="H77" s="15"/>
      <c r="I77" s="15"/>
      <c r="J77" s="15"/>
    </row>
    <row r="78" customFormat="false" ht="48" hidden="false" customHeight="true" outlineLevel="0" collapsed="false">
      <c r="B78" s="14" t="str">
        <f aca="false">'第 6 天'!$B$2</f>
        <v>第 6 天</v>
      </c>
      <c r="C78" s="14" t="str">
        <f aca="false">'第 6 天'!D4</f>
        <v>早餐</v>
      </c>
      <c r="D78" s="14" t="n">
        <f aca="false">'第 6 天'!D46/10</f>
        <v>0</v>
      </c>
      <c r="E78" s="15" t="str">
        <f aca="false">'第 6 天'!D10</f>
        <v/>
      </c>
      <c r="F78" s="15"/>
      <c r="G78" s="15"/>
      <c r="H78" s="15"/>
      <c r="I78" s="15"/>
      <c r="J78" s="15"/>
    </row>
    <row r="79" customFormat="false" ht="48" hidden="false" customHeight="true" outlineLevel="0" collapsed="false">
      <c r="B79" s="14" t="str">
        <f aca="false">'第 6 天'!$B$2</f>
        <v>第 6 天</v>
      </c>
      <c r="C79" s="14" t="str">
        <f aca="false">'第 6 天'!F4</f>
        <v>午餐</v>
      </c>
      <c r="D79" s="14" t="n">
        <f aca="false">'第 6 天'!F46/10</f>
        <v>0</v>
      </c>
      <c r="E79" s="15" t="str">
        <f aca="false">'第 6 天'!F10</f>
        <v/>
      </c>
      <c r="F79" s="15"/>
      <c r="G79" s="15"/>
      <c r="H79" s="15"/>
      <c r="I79" s="15"/>
      <c r="J79" s="15"/>
    </row>
    <row r="80" customFormat="false" ht="48" hidden="false" customHeight="true" outlineLevel="0" collapsed="false">
      <c r="B80" s="14" t="str">
        <f aca="false">'第 6 天'!$B$2</f>
        <v>第 6 天</v>
      </c>
      <c r="C80" s="14" t="str">
        <f aca="false">'第 6 天'!H4</f>
        <v>晚餐</v>
      </c>
      <c r="D80" s="14" t="n">
        <f aca="false">'第 6 天'!H46/10</f>
        <v>0</v>
      </c>
      <c r="E80" s="15" t="str">
        <f aca="false">'第 6 天'!H10</f>
        <v/>
      </c>
      <c r="F80" s="15"/>
      <c r="G80" s="15"/>
      <c r="H80" s="15"/>
      <c r="I80" s="15"/>
      <c r="J80" s="15"/>
    </row>
    <row r="81" customFormat="false" ht="48" hidden="false" customHeight="true" outlineLevel="0" collapsed="false">
      <c r="B81" s="14" t="str">
        <f aca="false">'第 6 天'!$B$2</f>
        <v>第 6 天</v>
      </c>
      <c r="C81" s="14" t="str">
        <f aca="false">'第 6 天'!J4</f>
        <v>油錢</v>
      </c>
      <c r="D81" s="14" t="n">
        <f aca="false">'第 6 天'!J46/10</f>
        <v>0</v>
      </c>
      <c r="E81" s="15" t="str">
        <f aca="false">'第 6 天'!J10</f>
        <v/>
      </c>
      <c r="F81" s="15"/>
      <c r="G81" s="15"/>
      <c r="H81" s="15"/>
      <c r="I81" s="15"/>
      <c r="J81" s="15"/>
    </row>
    <row r="82" customFormat="false" ht="48" hidden="false" customHeight="true" outlineLevel="0" collapsed="false">
      <c r="B82" s="14" t="str">
        <f aca="false">'第 6 天'!$B$2</f>
        <v>第 6 天</v>
      </c>
      <c r="C82" s="14" t="str">
        <f aca="false">'第 6 天'!L4</f>
        <v>租車費</v>
      </c>
      <c r="D82" s="14" t="n">
        <f aca="false">'第 6 天'!L46/10</f>
        <v>0</v>
      </c>
      <c r="E82" s="15" t="str">
        <f aca="false">'第 6 天'!L10</f>
        <v/>
      </c>
      <c r="F82" s="15"/>
      <c r="G82" s="15"/>
      <c r="H82" s="15"/>
      <c r="I82" s="15"/>
      <c r="J82" s="15"/>
    </row>
    <row r="83" customFormat="false" ht="48" hidden="false" customHeight="true" outlineLevel="0" collapsed="false">
      <c r="B83" s="14" t="str">
        <f aca="false">'第 6 天'!$B$2</f>
        <v>第 6 天</v>
      </c>
      <c r="C83" s="14" t="str">
        <f aca="false">'第 6 天'!N4</f>
        <v>停車費</v>
      </c>
      <c r="D83" s="14" t="n">
        <f aca="false">'第 6 天'!N46/10</f>
        <v>0</v>
      </c>
      <c r="E83" s="15" t="str">
        <f aca="false">'第 6 天'!N10</f>
        <v/>
      </c>
      <c r="F83" s="15"/>
      <c r="G83" s="15"/>
      <c r="H83" s="15"/>
      <c r="I83" s="15"/>
      <c r="J83" s="15"/>
    </row>
    <row r="84" customFormat="false" ht="48" hidden="false" customHeight="true" outlineLevel="0" collapsed="false">
      <c r="B84" s="14" t="str">
        <f aca="false">'第 6 天'!$B$2</f>
        <v>第 6 天</v>
      </c>
      <c r="C84" s="14" t="str">
        <f aca="false">'第 6 天'!P4</f>
        <v>其他</v>
      </c>
      <c r="D84" s="14" t="n">
        <f aca="false">'第 6 天'!P46/10</f>
        <v>0</v>
      </c>
      <c r="E84" s="15" t="str">
        <f aca="false">'第 6 天'!P10</f>
        <v/>
      </c>
      <c r="F84" s="15"/>
      <c r="G84" s="15"/>
      <c r="H84" s="15"/>
      <c r="I84" s="15"/>
      <c r="J84" s="15"/>
    </row>
    <row r="85" customFormat="false" ht="48" hidden="false" customHeight="true" outlineLevel="0" collapsed="false">
      <c r="B85" s="14" t="str">
        <f aca="false">'第 7 天'!$B$2</f>
        <v>第 7 天</v>
      </c>
      <c r="C85" s="14" t="str">
        <f aca="false">'第 7 天'!D4</f>
        <v>早餐</v>
      </c>
      <c r="D85" s="14" t="n">
        <f aca="false">'第 7 天'!D46/10</f>
        <v>0</v>
      </c>
      <c r="E85" s="15" t="str">
        <f aca="false">'第 7 天'!D10</f>
        <v/>
      </c>
      <c r="F85" s="15"/>
      <c r="G85" s="15"/>
      <c r="H85" s="15"/>
      <c r="I85" s="15"/>
      <c r="J85" s="15"/>
    </row>
    <row r="86" customFormat="false" ht="48" hidden="false" customHeight="true" outlineLevel="0" collapsed="false">
      <c r="B86" s="14" t="str">
        <f aca="false">'第 7 天'!$B$2</f>
        <v>第 7 天</v>
      </c>
      <c r="C86" s="14" t="str">
        <f aca="false">'第 7 天'!F4</f>
        <v>午餐</v>
      </c>
      <c r="D86" s="14" t="n">
        <f aca="false">'第 7 天'!F46/10</f>
        <v>0</v>
      </c>
      <c r="E86" s="15" t="str">
        <f aca="false">'第 7 天'!F10</f>
        <v/>
      </c>
      <c r="F86" s="15"/>
      <c r="G86" s="15"/>
      <c r="H86" s="15"/>
      <c r="I86" s="15"/>
      <c r="J86" s="15"/>
    </row>
    <row r="87" customFormat="false" ht="48" hidden="false" customHeight="true" outlineLevel="0" collapsed="false">
      <c r="B87" s="14" t="str">
        <f aca="false">'第 7 天'!$B$2</f>
        <v>第 7 天</v>
      </c>
      <c r="C87" s="14" t="str">
        <f aca="false">'第 7 天'!H4</f>
        <v>晚餐</v>
      </c>
      <c r="D87" s="14" t="n">
        <f aca="false">'第 7 天'!H46/10</f>
        <v>0</v>
      </c>
      <c r="E87" s="15" t="str">
        <f aca="false">'第 7 天'!H10</f>
        <v/>
      </c>
      <c r="F87" s="15"/>
      <c r="G87" s="15"/>
      <c r="H87" s="15"/>
      <c r="I87" s="15"/>
      <c r="J87" s="15"/>
    </row>
    <row r="88" customFormat="false" ht="48" hidden="false" customHeight="true" outlineLevel="0" collapsed="false">
      <c r="B88" s="14" t="str">
        <f aca="false">'第 7 天'!$B$2</f>
        <v>第 7 天</v>
      </c>
      <c r="C88" s="14" t="str">
        <f aca="false">'第 7 天'!J4</f>
        <v>油錢</v>
      </c>
      <c r="D88" s="14" t="n">
        <f aca="false">'第 7 天'!J46/10</f>
        <v>0</v>
      </c>
      <c r="E88" s="15" t="str">
        <f aca="false">'第 7 天'!J10</f>
        <v/>
      </c>
      <c r="F88" s="15"/>
      <c r="G88" s="15"/>
      <c r="H88" s="15"/>
      <c r="I88" s="15"/>
      <c r="J88" s="15"/>
    </row>
    <row r="89" customFormat="false" ht="48" hidden="false" customHeight="true" outlineLevel="0" collapsed="false">
      <c r="B89" s="14" t="str">
        <f aca="false">'第 7 天'!$B$2</f>
        <v>第 7 天</v>
      </c>
      <c r="C89" s="14" t="str">
        <f aca="false">'第 7 天'!L4</f>
        <v>租車費</v>
      </c>
      <c r="D89" s="14" t="n">
        <f aca="false">'第 7 天'!L46/10</f>
        <v>0</v>
      </c>
      <c r="E89" s="15" t="str">
        <f aca="false">'第 7 天'!L10</f>
        <v/>
      </c>
      <c r="F89" s="15"/>
      <c r="G89" s="15"/>
      <c r="H89" s="15"/>
      <c r="I89" s="15"/>
      <c r="J89" s="15"/>
    </row>
    <row r="90" customFormat="false" ht="48" hidden="false" customHeight="true" outlineLevel="0" collapsed="false">
      <c r="B90" s="14" t="str">
        <f aca="false">'第 7 天'!$B$2</f>
        <v>第 7 天</v>
      </c>
      <c r="C90" s="14" t="str">
        <f aca="false">'第 7 天'!N4</f>
        <v>停車費</v>
      </c>
      <c r="D90" s="14" t="n">
        <f aca="false">'第 7 天'!N46/10</f>
        <v>0</v>
      </c>
      <c r="E90" s="15" t="str">
        <f aca="false">'第 7 天'!N10</f>
        <v/>
      </c>
      <c r="F90" s="15"/>
      <c r="G90" s="15"/>
      <c r="H90" s="15"/>
      <c r="I90" s="15"/>
      <c r="J90" s="15"/>
    </row>
    <row r="91" customFormat="false" ht="48" hidden="false" customHeight="true" outlineLevel="0" collapsed="false">
      <c r="B91" s="14" t="str">
        <f aca="false">'第 7 天'!$B$2</f>
        <v>第 7 天</v>
      </c>
      <c r="C91" s="14" t="str">
        <f aca="false">'第 7 天'!P4</f>
        <v>其他</v>
      </c>
      <c r="D91" s="14" t="n">
        <f aca="false">'第 7 天'!P46/10</f>
        <v>0</v>
      </c>
      <c r="E91" s="15" t="str">
        <f aca="false">'第 7 天'!P10</f>
        <v/>
      </c>
      <c r="F91" s="15"/>
      <c r="G91" s="15"/>
      <c r="H91" s="15"/>
      <c r="I91" s="15"/>
      <c r="J91" s="15"/>
    </row>
    <row r="92" customFormat="false" ht="48" hidden="false" customHeight="true" outlineLevel="0" collapsed="false">
      <c r="B92" s="14" t="str">
        <f aca="false">'第 8 天'!$B$2</f>
        <v>第 8 天</v>
      </c>
      <c r="C92" s="14" t="str">
        <f aca="false">'第 8 天'!D4</f>
        <v>早餐</v>
      </c>
      <c r="D92" s="14" t="n">
        <f aca="false">'第 8 天'!D46/10</f>
        <v>0</v>
      </c>
      <c r="E92" s="15" t="str">
        <f aca="false">'第 8 天'!D10</f>
        <v/>
      </c>
      <c r="F92" s="15"/>
      <c r="G92" s="15"/>
      <c r="H92" s="15"/>
      <c r="I92" s="15"/>
      <c r="J92" s="15"/>
    </row>
    <row r="93" customFormat="false" ht="48" hidden="false" customHeight="true" outlineLevel="0" collapsed="false">
      <c r="B93" s="14" t="str">
        <f aca="false">'第 8 天'!$B$2</f>
        <v>第 8 天</v>
      </c>
      <c r="C93" s="14" t="str">
        <f aca="false">'第 8 天'!F4</f>
        <v>午餐</v>
      </c>
      <c r="D93" s="14" t="n">
        <f aca="false">'第 8 天'!F46/10</f>
        <v>0</v>
      </c>
      <c r="E93" s="15" t="str">
        <f aca="false">'第 8 天'!F10</f>
        <v/>
      </c>
      <c r="F93" s="15"/>
      <c r="G93" s="15"/>
      <c r="H93" s="15"/>
      <c r="I93" s="15"/>
      <c r="J93" s="15"/>
    </row>
    <row r="94" customFormat="false" ht="48" hidden="false" customHeight="true" outlineLevel="0" collapsed="false">
      <c r="B94" s="14" t="str">
        <f aca="false">'第 8 天'!$B$2</f>
        <v>第 8 天</v>
      </c>
      <c r="C94" s="14" t="str">
        <f aca="false">'第 8 天'!H4</f>
        <v>晚餐</v>
      </c>
      <c r="D94" s="14" t="n">
        <f aca="false">'第 8 天'!H46/10</f>
        <v>0</v>
      </c>
      <c r="E94" s="15" t="str">
        <f aca="false">'第 8 天'!H10</f>
        <v/>
      </c>
      <c r="F94" s="15"/>
      <c r="G94" s="15"/>
      <c r="H94" s="15"/>
      <c r="I94" s="15"/>
      <c r="J94" s="15"/>
    </row>
    <row r="95" customFormat="false" ht="48" hidden="false" customHeight="true" outlineLevel="0" collapsed="false">
      <c r="B95" s="14" t="str">
        <f aca="false">'第 8 天'!$B$2</f>
        <v>第 8 天</v>
      </c>
      <c r="C95" s="14" t="str">
        <f aca="false">'第 8 天'!J4</f>
        <v>油錢</v>
      </c>
      <c r="D95" s="14" t="n">
        <f aca="false">'第 8 天'!J46/10</f>
        <v>0</v>
      </c>
      <c r="E95" s="15" t="str">
        <f aca="false">'第 8 天'!J10</f>
        <v/>
      </c>
      <c r="F95" s="15"/>
      <c r="G95" s="15"/>
      <c r="H95" s="15"/>
      <c r="I95" s="15"/>
      <c r="J95" s="15"/>
    </row>
    <row r="96" customFormat="false" ht="48" hidden="false" customHeight="true" outlineLevel="0" collapsed="false">
      <c r="B96" s="14" t="str">
        <f aca="false">'第 8 天'!$B$2</f>
        <v>第 8 天</v>
      </c>
      <c r="C96" s="14" t="str">
        <f aca="false">'第 8 天'!L4</f>
        <v>租車費</v>
      </c>
      <c r="D96" s="14" t="n">
        <f aca="false">'第 8 天'!L46/10</f>
        <v>0</v>
      </c>
      <c r="E96" s="15" t="str">
        <f aca="false">'第 8 天'!L10</f>
        <v/>
      </c>
      <c r="F96" s="15"/>
      <c r="G96" s="15"/>
      <c r="H96" s="15"/>
      <c r="I96" s="15"/>
      <c r="J96" s="15"/>
    </row>
    <row r="97" customFormat="false" ht="48" hidden="false" customHeight="true" outlineLevel="0" collapsed="false">
      <c r="B97" s="14" t="str">
        <f aca="false">'第 8 天'!$B$2</f>
        <v>第 8 天</v>
      </c>
      <c r="C97" s="14" t="str">
        <f aca="false">'第 8 天'!N4</f>
        <v>停車費</v>
      </c>
      <c r="D97" s="14" t="n">
        <f aca="false">'第 8 天'!N46/10</f>
        <v>0</v>
      </c>
      <c r="E97" s="15" t="str">
        <f aca="false">'第 8 天'!N10</f>
        <v/>
      </c>
      <c r="F97" s="15"/>
      <c r="G97" s="15"/>
      <c r="H97" s="15"/>
      <c r="I97" s="15"/>
      <c r="J97" s="15"/>
    </row>
    <row r="98" customFormat="false" ht="48" hidden="false" customHeight="true" outlineLevel="0" collapsed="false">
      <c r="B98" s="14" t="str">
        <f aca="false">'第 8 天'!$B$2</f>
        <v>第 8 天</v>
      </c>
      <c r="C98" s="14" t="str">
        <f aca="false">'第 8 天'!P4</f>
        <v>其他</v>
      </c>
      <c r="D98" s="14" t="n">
        <f aca="false">'第 8 天'!P46/10</f>
        <v>0</v>
      </c>
      <c r="E98" s="15" t="str">
        <f aca="false">'第 8 天'!P10</f>
        <v/>
      </c>
      <c r="F98" s="15"/>
      <c r="G98" s="15"/>
      <c r="H98" s="15"/>
      <c r="I98" s="15"/>
      <c r="J98" s="15"/>
    </row>
    <row r="99" customFormat="false" ht="48" hidden="false" customHeight="true" outlineLevel="0" collapsed="false">
      <c r="B99" s="14" t="str">
        <f aca="false">'第 9 天'!$B$2</f>
        <v>第 9 天</v>
      </c>
      <c r="C99" s="14" t="str">
        <f aca="false">'第 9 天'!D4</f>
        <v>早餐</v>
      </c>
      <c r="D99" s="14" t="n">
        <f aca="false">'第 9 天'!D46/10</f>
        <v>0</v>
      </c>
      <c r="E99" s="15" t="str">
        <f aca="false">'第 9 天'!D10</f>
        <v/>
      </c>
      <c r="F99" s="15"/>
      <c r="G99" s="15"/>
      <c r="H99" s="15"/>
      <c r="I99" s="15"/>
      <c r="J99" s="15"/>
    </row>
    <row r="100" customFormat="false" ht="48" hidden="false" customHeight="true" outlineLevel="0" collapsed="false">
      <c r="B100" s="14" t="str">
        <f aca="false">'第 9 天'!$B$2</f>
        <v>第 9 天</v>
      </c>
      <c r="C100" s="14" t="str">
        <f aca="false">'第 9 天'!F4</f>
        <v>午餐</v>
      </c>
      <c r="D100" s="14" t="n">
        <f aca="false">'第 9 天'!F46/10</f>
        <v>0</v>
      </c>
      <c r="E100" s="15" t="str">
        <f aca="false">'第 9 天'!F10</f>
        <v/>
      </c>
      <c r="F100" s="15"/>
      <c r="G100" s="15"/>
      <c r="H100" s="15"/>
      <c r="I100" s="15"/>
      <c r="J100" s="15"/>
    </row>
    <row r="101" customFormat="false" ht="48" hidden="false" customHeight="true" outlineLevel="0" collapsed="false">
      <c r="B101" s="14" t="str">
        <f aca="false">'第 9 天'!$B$2</f>
        <v>第 9 天</v>
      </c>
      <c r="C101" s="14" t="str">
        <f aca="false">'第 9 天'!H4</f>
        <v>晚餐</v>
      </c>
      <c r="D101" s="14" t="n">
        <f aca="false">'第 9 天'!H46/10</f>
        <v>0</v>
      </c>
      <c r="E101" s="15" t="str">
        <f aca="false">'第 9 天'!H10</f>
        <v/>
      </c>
      <c r="F101" s="15"/>
      <c r="G101" s="15"/>
      <c r="H101" s="15"/>
      <c r="I101" s="15"/>
      <c r="J101" s="15"/>
    </row>
    <row r="102" customFormat="false" ht="48" hidden="false" customHeight="true" outlineLevel="0" collapsed="false">
      <c r="B102" s="14" t="str">
        <f aca="false">'第 9 天'!$B$2</f>
        <v>第 9 天</v>
      </c>
      <c r="C102" s="14" t="str">
        <f aca="false">'第 9 天'!J4</f>
        <v>油錢</v>
      </c>
      <c r="D102" s="14" t="n">
        <f aca="false">'第 9 天'!J46/10</f>
        <v>0</v>
      </c>
      <c r="E102" s="15" t="str">
        <f aca="false">'第 9 天'!J10</f>
        <v/>
      </c>
      <c r="F102" s="15"/>
      <c r="G102" s="15"/>
      <c r="H102" s="15"/>
      <c r="I102" s="15"/>
      <c r="J102" s="15"/>
    </row>
    <row r="103" customFormat="false" ht="48" hidden="false" customHeight="true" outlineLevel="0" collapsed="false">
      <c r="B103" s="14" t="str">
        <f aca="false">'第 9 天'!$B$2</f>
        <v>第 9 天</v>
      </c>
      <c r="C103" s="14" t="str">
        <f aca="false">'第 9 天'!L4</f>
        <v>租車費</v>
      </c>
      <c r="D103" s="14" t="n">
        <f aca="false">'第 9 天'!L46/10</f>
        <v>0</v>
      </c>
      <c r="E103" s="15" t="str">
        <f aca="false">'第 9 天'!L10</f>
        <v/>
      </c>
      <c r="F103" s="15"/>
      <c r="G103" s="15"/>
      <c r="H103" s="15"/>
      <c r="I103" s="15"/>
      <c r="J103" s="15"/>
    </row>
    <row r="104" customFormat="false" ht="48" hidden="false" customHeight="true" outlineLevel="0" collapsed="false">
      <c r="B104" s="14" t="str">
        <f aca="false">'第 9 天'!$B$2</f>
        <v>第 9 天</v>
      </c>
      <c r="C104" s="14" t="str">
        <f aca="false">'第 9 天'!N4</f>
        <v>停車費</v>
      </c>
      <c r="D104" s="14" t="n">
        <f aca="false">'第 9 天'!N46/10</f>
        <v>0</v>
      </c>
      <c r="E104" s="15" t="str">
        <f aca="false">'第 9 天'!N10</f>
        <v/>
      </c>
      <c r="F104" s="15"/>
      <c r="G104" s="15"/>
      <c r="H104" s="15"/>
      <c r="I104" s="15"/>
      <c r="J104" s="15"/>
    </row>
    <row r="105" customFormat="false" ht="48" hidden="false" customHeight="true" outlineLevel="0" collapsed="false">
      <c r="B105" s="14" t="str">
        <f aca="false">'第 9 天'!$B$2</f>
        <v>第 9 天</v>
      </c>
      <c r="C105" s="14" t="str">
        <f aca="false">'第 9 天'!P4</f>
        <v>其他</v>
      </c>
      <c r="D105" s="14" t="n">
        <f aca="false">'第 9 天'!P46/10</f>
        <v>0</v>
      </c>
      <c r="E105" s="15" t="str">
        <f aca="false">'第 9 天'!P10</f>
        <v/>
      </c>
      <c r="F105" s="15"/>
      <c r="G105" s="15"/>
      <c r="H105" s="15"/>
      <c r="I105" s="15"/>
      <c r="J105" s="15"/>
    </row>
    <row r="106" customFormat="false" ht="48" hidden="false" customHeight="true" outlineLevel="0" collapsed="false">
      <c r="B106" s="14" t="str">
        <f aca="false">'第 10 天'!$B$2</f>
        <v>第 10 天</v>
      </c>
      <c r="C106" s="14" t="str">
        <f aca="false">'第 10 天'!D4</f>
        <v>早餐</v>
      </c>
      <c r="D106" s="14" t="n">
        <f aca="false">'第 10 天'!D46/10</f>
        <v>0</v>
      </c>
      <c r="E106" s="15" t="str">
        <f aca="false">'第 10 天'!D10</f>
        <v/>
      </c>
      <c r="F106" s="15"/>
      <c r="G106" s="15"/>
      <c r="H106" s="15"/>
      <c r="I106" s="15"/>
      <c r="J106" s="15"/>
    </row>
    <row r="107" customFormat="false" ht="48" hidden="false" customHeight="true" outlineLevel="0" collapsed="false">
      <c r="B107" s="14" t="str">
        <f aca="false">'第 10 天'!$B$2</f>
        <v>第 10 天</v>
      </c>
      <c r="C107" s="14" t="str">
        <f aca="false">'第 10 天'!F4</f>
        <v>午餐</v>
      </c>
      <c r="D107" s="14" t="n">
        <f aca="false">'第 10 天'!F46/10</f>
        <v>0</v>
      </c>
      <c r="E107" s="15" t="str">
        <f aca="false">'第 10 天'!F10</f>
        <v/>
      </c>
      <c r="F107" s="15"/>
      <c r="G107" s="15"/>
      <c r="H107" s="15"/>
      <c r="I107" s="15"/>
      <c r="J107" s="15"/>
    </row>
    <row r="108" customFormat="false" ht="48" hidden="false" customHeight="true" outlineLevel="0" collapsed="false">
      <c r="B108" s="14" t="str">
        <f aca="false">'第 10 天'!$B$2</f>
        <v>第 10 天</v>
      </c>
      <c r="C108" s="14" t="str">
        <f aca="false">'第 10 天'!H4</f>
        <v>晚餐</v>
      </c>
      <c r="D108" s="14" t="n">
        <f aca="false">'第 10 天'!H46/10</f>
        <v>0</v>
      </c>
      <c r="E108" s="15" t="str">
        <f aca="false">'第 10 天'!H10</f>
        <v/>
      </c>
      <c r="F108" s="15"/>
      <c r="G108" s="15"/>
      <c r="H108" s="15"/>
      <c r="I108" s="15"/>
      <c r="J108" s="15"/>
    </row>
    <row r="109" customFormat="false" ht="48" hidden="false" customHeight="true" outlineLevel="0" collapsed="false">
      <c r="B109" s="14" t="str">
        <f aca="false">'第 10 天'!$B$2</f>
        <v>第 10 天</v>
      </c>
      <c r="C109" s="14" t="str">
        <f aca="false">'第 10 天'!J4</f>
        <v>油錢</v>
      </c>
      <c r="D109" s="14" t="n">
        <f aca="false">'第 10 天'!J46/10</f>
        <v>0</v>
      </c>
      <c r="E109" s="15" t="str">
        <f aca="false">'第 10 天'!J10</f>
        <v/>
      </c>
      <c r="F109" s="15"/>
      <c r="G109" s="15"/>
      <c r="H109" s="15"/>
      <c r="I109" s="15"/>
      <c r="J109" s="15"/>
    </row>
    <row r="110" customFormat="false" ht="48" hidden="false" customHeight="true" outlineLevel="0" collapsed="false">
      <c r="B110" s="14" t="str">
        <f aca="false">'第 10 天'!$B$2</f>
        <v>第 10 天</v>
      </c>
      <c r="C110" s="14" t="str">
        <f aca="false">'第 10 天'!L4</f>
        <v>租車費</v>
      </c>
      <c r="D110" s="14" t="n">
        <f aca="false">'第 10 天'!L46/10</f>
        <v>0</v>
      </c>
      <c r="E110" s="15" t="str">
        <f aca="false">'第 10 天'!L10</f>
        <v/>
      </c>
      <c r="F110" s="15"/>
      <c r="G110" s="15"/>
      <c r="H110" s="15"/>
      <c r="I110" s="15"/>
      <c r="J110" s="15"/>
    </row>
    <row r="111" customFormat="false" ht="48" hidden="false" customHeight="true" outlineLevel="0" collapsed="false">
      <c r="B111" s="14" t="str">
        <f aca="false">'第 10 天'!$B$2</f>
        <v>第 10 天</v>
      </c>
      <c r="C111" s="14" t="str">
        <f aca="false">'第 10 天'!N4</f>
        <v>停車費</v>
      </c>
      <c r="D111" s="14" t="n">
        <f aca="false">'第 10 天'!N46/10</f>
        <v>0</v>
      </c>
      <c r="E111" s="15" t="str">
        <f aca="false">'第 10 天'!N10</f>
        <v/>
      </c>
      <c r="F111" s="15"/>
      <c r="G111" s="15"/>
      <c r="H111" s="15"/>
      <c r="I111" s="15"/>
      <c r="J111" s="15"/>
    </row>
    <row r="112" customFormat="false" ht="48" hidden="false" customHeight="true" outlineLevel="0" collapsed="false">
      <c r="B112" s="14" t="str">
        <f aca="false">'第 10 天'!$B$2</f>
        <v>第 10 天</v>
      </c>
      <c r="C112" s="14" t="str">
        <f aca="false">'第 10 天'!P4</f>
        <v>其他</v>
      </c>
      <c r="D112" s="14" t="n">
        <f aca="false">'第 10 天'!P46/10</f>
        <v>0</v>
      </c>
      <c r="E112" s="15" t="str">
        <f aca="false">'第 10 天'!P10</f>
        <v/>
      </c>
      <c r="F112" s="15"/>
      <c r="G112" s="15"/>
      <c r="H112" s="15"/>
      <c r="I112" s="15"/>
      <c r="J112" s="15"/>
    </row>
  </sheetData>
  <mergeCells count="70">
    <mergeCell ref="E43:J43"/>
    <mergeCell ref="E44:J44"/>
    <mergeCell ref="E45:J45"/>
    <mergeCell ref="E46:J46"/>
    <mergeCell ref="E47:J47"/>
    <mergeCell ref="E48:J48"/>
    <mergeCell ref="E49:J49"/>
    <mergeCell ref="E50:J50"/>
    <mergeCell ref="E51:J51"/>
    <mergeCell ref="E52:J52"/>
    <mergeCell ref="E53:J53"/>
    <mergeCell ref="E54:J54"/>
    <mergeCell ref="E55:J55"/>
    <mergeCell ref="E56:J56"/>
    <mergeCell ref="E57:J57"/>
    <mergeCell ref="E58:J58"/>
    <mergeCell ref="E59:J59"/>
    <mergeCell ref="E60:J60"/>
    <mergeCell ref="E61:J61"/>
    <mergeCell ref="E62:J62"/>
    <mergeCell ref="E63:J63"/>
    <mergeCell ref="E64:J64"/>
    <mergeCell ref="E65:J65"/>
    <mergeCell ref="E66:J66"/>
    <mergeCell ref="E67:J67"/>
    <mergeCell ref="E68:J68"/>
    <mergeCell ref="E69:J69"/>
    <mergeCell ref="E70:J70"/>
    <mergeCell ref="E71:J71"/>
    <mergeCell ref="E72:J72"/>
    <mergeCell ref="E73:J73"/>
    <mergeCell ref="E74:J74"/>
    <mergeCell ref="E75:J75"/>
    <mergeCell ref="E76:J76"/>
    <mergeCell ref="E77:J77"/>
    <mergeCell ref="E78:J78"/>
    <mergeCell ref="E79:J79"/>
    <mergeCell ref="E80:J80"/>
    <mergeCell ref="E81:J81"/>
    <mergeCell ref="E82:J82"/>
    <mergeCell ref="E83:J83"/>
    <mergeCell ref="E84:J84"/>
    <mergeCell ref="E85:J85"/>
    <mergeCell ref="E86:J86"/>
    <mergeCell ref="E87:J87"/>
    <mergeCell ref="E88:J88"/>
    <mergeCell ref="E89:J89"/>
    <mergeCell ref="E90:J90"/>
    <mergeCell ref="E91:J91"/>
    <mergeCell ref="E92:J92"/>
    <mergeCell ref="E93:J93"/>
    <mergeCell ref="E94:J94"/>
    <mergeCell ref="E95:J95"/>
    <mergeCell ref="E96:J96"/>
    <mergeCell ref="E97:J97"/>
    <mergeCell ref="E98:J98"/>
    <mergeCell ref="E99:J99"/>
    <mergeCell ref="E100:J100"/>
    <mergeCell ref="E101:J101"/>
    <mergeCell ref="E102:J102"/>
    <mergeCell ref="E103:J103"/>
    <mergeCell ref="E104:J104"/>
    <mergeCell ref="E105:J105"/>
    <mergeCell ref="E106:J106"/>
    <mergeCell ref="E107:J107"/>
    <mergeCell ref="E108:J108"/>
    <mergeCell ref="E109:J109"/>
    <mergeCell ref="E110:J110"/>
    <mergeCell ref="E111:J111"/>
    <mergeCell ref="E112:J112"/>
  </mergeCells>
  <conditionalFormatting sqref="I3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25.71"/>
    <col collapsed="false" customWidth="true" hidden="false" outlineLevel="0" max="3" min="3" style="0" width="62.86"/>
  </cols>
  <sheetData>
    <row r="1" customFormat="false" ht="17.15" hidden="false" customHeight="false" outlineLevel="0" collapsed="false">
      <c r="B1" s="1" t="s">
        <v>54</v>
      </c>
    </row>
    <row r="2" customFormat="false" ht="48.5" hidden="false" customHeight="false" outlineLevel="0" collapsed="false">
      <c r="B2" s="1" t="s">
        <v>55</v>
      </c>
    </row>
    <row r="4" customFormat="false" ht="30" hidden="false" customHeight="true" outlineLevel="0" collapsed="false">
      <c r="A4" s="3" t="s">
        <v>8</v>
      </c>
      <c r="B4" s="3" t="s">
        <v>9</v>
      </c>
      <c r="C4" s="3" t="s">
        <v>56</v>
      </c>
    </row>
    <row r="5" customFormat="false" ht="27.75" hidden="false" customHeight="true" outlineLevel="0" collapsed="false">
      <c r="A5" s="1" t="s">
        <v>18</v>
      </c>
      <c r="B5" s="16"/>
      <c r="C5" s="1" t="s">
        <v>57</v>
      </c>
    </row>
    <row r="6" customFormat="false" ht="27.75" hidden="false" customHeight="true" outlineLevel="0" collapsed="false">
      <c r="A6" s="1" t="s">
        <v>19</v>
      </c>
      <c r="B6" s="16"/>
      <c r="C6" s="1" t="s">
        <v>57</v>
      </c>
    </row>
    <row r="7" customFormat="false" ht="27.75" hidden="false" customHeight="true" outlineLevel="0" collapsed="false">
      <c r="A7" s="1" t="s">
        <v>20</v>
      </c>
      <c r="B7" s="16"/>
      <c r="C7" s="1" t="s">
        <v>57</v>
      </c>
    </row>
    <row r="8" customFormat="false" ht="27.75" hidden="false" customHeight="true" outlineLevel="0" collapsed="false">
      <c r="A8" s="1" t="s">
        <v>21</v>
      </c>
      <c r="B8" s="16"/>
      <c r="C8" s="1" t="s">
        <v>57</v>
      </c>
    </row>
    <row r="9" customFormat="false" ht="27.75" hidden="false" customHeight="true" outlineLevel="0" collapsed="false">
      <c r="A9" s="1" t="s">
        <v>22</v>
      </c>
      <c r="B9" s="16"/>
      <c r="C9" s="1" t="s">
        <v>57</v>
      </c>
    </row>
    <row r="10" customFormat="false" ht="27.75" hidden="false" customHeight="true" outlineLevel="0" collapsed="false">
      <c r="A10" s="1" t="s">
        <v>23</v>
      </c>
      <c r="B10" s="16"/>
      <c r="C10" s="1" t="s">
        <v>57</v>
      </c>
    </row>
    <row r="11" customFormat="false" ht="27.75" hidden="false" customHeight="true" outlineLevel="0" collapsed="false">
      <c r="A11" s="1" t="s">
        <v>24</v>
      </c>
      <c r="B11" s="16"/>
      <c r="C11" s="1" t="s">
        <v>57</v>
      </c>
    </row>
    <row r="12" customFormat="false" ht="27.75" hidden="false" customHeight="true" outlineLevel="0" collapsed="false">
      <c r="A12" s="13" t="s">
        <v>25</v>
      </c>
      <c r="B12" s="17"/>
      <c r="C12" s="13" t="s">
        <v>57</v>
      </c>
    </row>
    <row r="13" customFormat="false" ht="27.75" hidden="false" customHeight="true" outlineLevel="0" collapsed="false">
      <c r="A13" s="13" t="s">
        <v>26</v>
      </c>
      <c r="B13" s="17"/>
      <c r="C13" s="13" t="s">
        <v>57</v>
      </c>
    </row>
    <row r="14" customFormat="false" ht="27.75" hidden="false" customHeight="true" outlineLevel="0" collapsed="false">
      <c r="A14" s="13" t="s">
        <v>27</v>
      </c>
      <c r="B14" s="17"/>
      <c r="C14" s="13" t="s">
        <v>57</v>
      </c>
    </row>
    <row r="15" customFormat="false" ht="27.75" hidden="false" customHeight="true" outlineLevel="0" collapsed="false">
      <c r="A15" s="13" t="s">
        <v>28</v>
      </c>
      <c r="B15" s="17"/>
      <c r="C15" s="13" t="s">
        <v>57</v>
      </c>
    </row>
    <row r="16" customFormat="false" ht="27.75" hidden="false" customHeight="true" outlineLevel="0" collapsed="false">
      <c r="A16" s="13" t="s">
        <v>29</v>
      </c>
      <c r="B16" s="17"/>
      <c r="C16" s="13" t="s">
        <v>57</v>
      </c>
    </row>
    <row r="17" customFormat="false" ht="27.75" hidden="false" customHeight="true" outlineLevel="0" collapsed="false">
      <c r="A17" s="13" t="s">
        <v>30</v>
      </c>
      <c r="B17" s="17"/>
      <c r="C17" s="13" t="s">
        <v>57</v>
      </c>
    </row>
    <row r="18" customFormat="false" ht="27.75" hidden="false" customHeight="true" outlineLevel="0" collapsed="false">
      <c r="A18" s="13" t="s">
        <v>31</v>
      </c>
      <c r="B18" s="17"/>
      <c r="C18" s="13" t="s">
        <v>57</v>
      </c>
    </row>
    <row r="19" customFormat="false" ht="27.75" hidden="false" customHeight="true" outlineLevel="0" collapsed="false">
      <c r="A19" s="13" t="s">
        <v>32</v>
      </c>
      <c r="B19" s="17"/>
      <c r="C19" s="13" t="s">
        <v>57</v>
      </c>
    </row>
    <row r="20" customFormat="false" ht="27.75" hidden="false" customHeight="true" outlineLevel="0" collapsed="false">
      <c r="A20" s="13" t="s">
        <v>33</v>
      </c>
      <c r="B20" s="17"/>
      <c r="C20" s="13" t="s">
        <v>57</v>
      </c>
    </row>
    <row r="21" customFormat="false" ht="27.75" hidden="false" customHeight="true" outlineLevel="0" collapsed="false">
      <c r="A21" s="13" t="s">
        <v>34</v>
      </c>
      <c r="B21" s="17"/>
      <c r="C21" s="13" t="s">
        <v>57</v>
      </c>
    </row>
    <row r="22" customFormat="false" ht="27.75" hidden="false" customHeight="true" outlineLevel="0" collapsed="false">
      <c r="A22" s="13" t="s">
        <v>35</v>
      </c>
      <c r="B22" s="17"/>
      <c r="C22" s="13" t="s">
        <v>57</v>
      </c>
    </row>
    <row r="23" customFormat="false" ht="27.75" hidden="false" customHeight="true" outlineLevel="0" collapsed="false">
      <c r="A23" s="13" t="s">
        <v>36</v>
      </c>
      <c r="B23" s="17"/>
      <c r="C23" s="13" t="s">
        <v>57</v>
      </c>
    </row>
    <row r="24" customFormat="false" ht="27.75" hidden="false" customHeight="true" outlineLevel="0" collapsed="false">
      <c r="A24" s="13" t="s">
        <v>37</v>
      </c>
      <c r="B24" s="17"/>
      <c r="C24" s="13" t="s">
        <v>57</v>
      </c>
    </row>
    <row r="25" customFormat="false" ht="27.75" hidden="false" customHeight="true" outlineLevel="0" collapsed="false">
      <c r="A25" s="13" t="s">
        <v>38</v>
      </c>
      <c r="B25" s="17"/>
      <c r="C25" s="13" t="s">
        <v>57</v>
      </c>
    </row>
    <row r="26" customFormat="false" ht="27.75" hidden="false" customHeight="true" outlineLevel="0" collapsed="false">
      <c r="A26" s="13" t="s">
        <v>39</v>
      </c>
      <c r="B26" s="17"/>
      <c r="C26" s="13" t="s">
        <v>57</v>
      </c>
    </row>
    <row r="27" customFormat="false" ht="27.75" hidden="false" customHeight="true" outlineLevel="0" collapsed="false">
      <c r="A27" s="13" t="s">
        <v>40</v>
      </c>
      <c r="B27" s="17"/>
      <c r="C27" s="13" t="s">
        <v>57</v>
      </c>
    </row>
    <row r="28" customFormat="false" ht="27.75" hidden="false" customHeight="true" outlineLevel="0" collapsed="false">
      <c r="A28" s="13" t="s">
        <v>41</v>
      </c>
      <c r="B28" s="17"/>
      <c r="C28" s="13" t="s">
        <v>57</v>
      </c>
    </row>
    <row r="29" customFormat="false" ht="27.75" hidden="false" customHeight="true" outlineLevel="0" collapsed="false">
      <c r="A29" s="13" t="s">
        <v>42</v>
      </c>
      <c r="B29" s="17"/>
      <c r="C29" s="13" t="s">
        <v>57</v>
      </c>
    </row>
    <row r="30" customFormat="false" ht="27.75" hidden="false" customHeight="true" outlineLevel="0" collapsed="false">
      <c r="A30" s="13" t="s">
        <v>43</v>
      </c>
      <c r="B30" s="17"/>
      <c r="C30" s="13" t="s">
        <v>57</v>
      </c>
    </row>
    <row r="31" customFormat="false" ht="27.75" hidden="false" customHeight="true" outlineLevel="0" collapsed="false">
      <c r="A31" s="13" t="s">
        <v>44</v>
      </c>
      <c r="B31" s="17"/>
      <c r="C31" s="13" t="s">
        <v>57</v>
      </c>
    </row>
    <row r="32" customFormat="false" ht="27.75" hidden="false" customHeight="true" outlineLevel="0" collapsed="false">
      <c r="A32" s="13" t="s">
        <v>45</v>
      </c>
      <c r="B32" s="17"/>
      <c r="C32" s="13" t="s">
        <v>57</v>
      </c>
    </row>
    <row r="33" customFormat="false" ht="27.75" hidden="false" customHeight="true" outlineLevel="0" collapsed="false">
      <c r="A33" s="13" t="s">
        <v>46</v>
      </c>
      <c r="B33" s="17"/>
      <c r="C33" s="13" t="s">
        <v>57</v>
      </c>
    </row>
    <row r="34" customFormat="false" ht="27.75" hidden="false" customHeight="true" outlineLevel="0" collapsed="false">
      <c r="A34" s="13" t="s">
        <v>47</v>
      </c>
      <c r="B34" s="17"/>
      <c r="C34" s="1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40"/>
    <col collapsed="false" customWidth="true" hidden="false" outlineLevel="0" max="2" min="2" style="0" width="22.86"/>
    <col collapsed="false" customWidth="true" hidden="false" outlineLevel="0" max="3" min="3" style="0" width="13.15"/>
    <col collapsed="false" customWidth="true" hidden="false" outlineLevel="0" max="17" min="4" style="0" width="21.14"/>
  </cols>
  <sheetData>
    <row r="1" customFormat="false" ht="32.8" hidden="true" customHeight="false" outlineLevel="0" collapsed="false">
      <c r="A1" s="1" t="s">
        <v>58</v>
      </c>
      <c r="D1" s="1" t="s">
        <v>59</v>
      </c>
      <c r="F1" s="1" t="s">
        <v>60</v>
      </c>
      <c r="H1" s="1" t="s">
        <v>61</v>
      </c>
      <c r="J1" s="1" t="s">
        <v>62</v>
      </c>
      <c r="L1" s="1" t="s">
        <v>63</v>
      </c>
      <c r="N1" s="1" t="s">
        <v>64</v>
      </c>
      <c r="P1" s="1" t="s">
        <v>65</v>
      </c>
    </row>
    <row r="2" customFormat="false" ht="48.5" hidden="false" customHeight="false" outlineLevel="0" collapsed="false">
      <c r="B2" s="16" t="s">
        <v>66</v>
      </c>
      <c r="D2" s="1" t="s">
        <v>67</v>
      </c>
    </row>
    <row r="3" customFormat="false" ht="48.5" hidden="false" customHeight="false" outlineLevel="0" collapsed="false">
      <c r="B3" s="1" t="s">
        <v>68</v>
      </c>
      <c r="C3" s="18" t="b">
        <f aca="false">FALSE()</f>
        <v>0</v>
      </c>
      <c r="D3" s="1" t="s">
        <v>69</v>
      </c>
    </row>
    <row r="4" customFormat="false" ht="27.75" hidden="false" customHeight="true" outlineLevel="0" collapsed="false">
      <c r="B4" s="1" t="s">
        <v>70</v>
      </c>
      <c r="D4" s="19" t="s">
        <v>71</v>
      </c>
      <c r="E4" s="19"/>
      <c r="F4" s="19" t="s">
        <v>72</v>
      </c>
      <c r="G4" s="19"/>
      <c r="H4" s="19" t="s">
        <v>73</v>
      </c>
      <c r="I4" s="19"/>
      <c r="J4" s="19" t="s">
        <v>74</v>
      </c>
      <c r="K4" s="19"/>
      <c r="L4" s="19" t="s">
        <v>75</v>
      </c>
      <c r="M4" s="19"/>
      <c r="N4" s="19" t="s">
        <v>76</v>
      </c>
      <c r="O4" s="19"/>
      <c r="P4" s="19" t="s">
        <v>77</v>
      </c>
      <c r="Q4" s="19"/>
    </row>
    <row r="5" customFormat="false" ht="27.75" hidden="false" customHeight="true" outlineLevel="0" collapsed="false">
      <c r="B5" s="1" t="s">
        <v>78</v>
      </c>
      <c r="D5" s="19" t="s">
        <v>71</v>
      </c>
      <c r="E5" s="19"/>
      <c r="F5" s="19" t="s">
        <v>72</v>
      </c>
      <c r="G5" s="19"/>
      <c r="H5" s="19" t="s">
        <v>73</v>
      </c>
      <c r="I5" s="19"/>
      <c r="J5" s="19" t="s">
        <v>74</v>
      </c>
      <c r="K5" s="19"/>
      <c r="L5" s="19" t="s">
        <v>75</v>
      </c>
      <c r="M5" s="19"/>
      <c r="N5" s="19" t="s">
        <v>76</v>
      </c>
      <c r="O5" s="19"/>
      <c r="P5" s="19" t="s">
        <v>77</v>
      </c>
      <c r="Q5" s="19"/>
    </row>
    <row r="6" customFormat="false" ht="27.75" hidden="false" customHeight="true" outlineLevel="0" collapsed="false">
      <c r="B6" s="1" t="s">
        <v>79</v>
      </c>
      <c r="D6" s="16"/>
      <c r="E6" s="1" t="s">
        <v>80</v>
      </c>
      <c r="F6" s="16"/>
      <c r="G6" s="1" t="s">
        <v>80</v>
      </c>
      <c r="H6" s="16"/>
      <c r="I6" s="1" t="s">
        <v>80</v>
      </c>
      <c r="J6" s="16"/>
      <c r="K6" s="1" t="s">
        <v>80</v>
      </c>
      <c r="L6" s="16"/>
      <c r="M6" s="1" t="s">
        <v>80</v>
      </c>
      <c r="N6" s="16"/>
      <c r="O6" s="1" t="s">
        <v>80</v>
      </c>
      <c r="P6" s="16"/>
      <c r="Q6" s="1" t="s">
        <v>80</v>
      </c>
    </row>
    <row r="7" customFormat="false" ht="27.75" hidden="false" customHeight="true" outlineLevel="0" collapsed="false">
      <c r="B7" s="1" t="s">
        <v>81</v>
      </c>
      <c r="D7" s="16"/>
      <c r="E7" s="20" t="str">
        <f aca="false">IFERROR(INDEX(成員名單!$B$5:$B$34,MATCH(D7,成員名單!$A$5:$A$34,0))&amp;"","")</f>
        <v/>
      </c>
      <c r="F7" s="16"/>
      <c r="G7" s="20" t="str">
        <f aca="false">IFERROR(INDEX(成員名單!$B$5:$B$34,MATCH(F7,成員名單!$A$5:$A$34,0))&amp;"","")</f>
        <v/>
      </c>
      <c r="H7" s="16"/>
      <c r="I7" s="20" t="str">
        <f aca="false">IFERROR(INDEX(成員名單!$B$5:$B$34,MATCH(H7,成員名單!$A$5:$A$34,0))&amp;"","")</f>
        <v/>
      </c>
      <c r="J7" s="16"/>
      <c r="K7" s="20" t="str">
        <f aca="false">IFERROR(INDEX(成員名單!$B$5:$B$34,MATCH(J7,成員名單!$A$5:$A$34,0))&amp;"","")</f>
        <v/>
      </c>
      <c r="L7" s="16"/>
      <c r="M7" s="20" t="str">
        <f aca="false">IFERROR(INDEX(成員名單!$B$5:$B$34,MATCH(L7,成員名單!$A$5:$A$34,0))&amp;"","")</f>
        <v/>
      </c>
      <c r="N7" s="16"/>
      <c r="O7" s="20" t="str">
        <f aca="false">IFERROR(INDEX(成員名單!$B$5:$B$34,MATCH(N7,成員名單!$A$5:$A$34,0))&amp;"","")</f>
        <v/>
      </c>
      <c r="P7" s="16"/>
      <c r="Q7" s="20" t="str">
        <f aca="false">IFERROR(INDEX(成員名單!$B$5:$B$34,MATCH(P7,成員名單!$A$5:$A$34,0))&amp;"","")</f>
        <v/>
      </c>
    </row>
    <row r="8" customFormat="false" ht="27.75" hidden="false" customHeight="true" outlineLevel="0" collapsed="false">
      <c r="B8" s="1" t="s">
        <v>82</v>
      </c>
      <c r="D8" s="20" t="n">
        <f aca="false">IF(D$47,D$48,0)</f>
        <v>0</v>
      </c>
      <c r="E8" s="1" t="s">
        <v>83</v>
      </c>
      <c r="F8" s="20" t="n">
        <f aca="false">IF(F$47,F$48,0)</f>
        <v>0</v>
      </c>
      <c r="G8" s="1" t="s">
        <v>83</v>
      </c>
      <c r="H8" s="20" t="n">
        <f aca="false">IF(H$47,H$48,0)</f>
        <v>0</v>
      </c>
      <c r="I8" s="1" t="s">
        <v>83</v>
      </c>
      <c r="J8" s="20" t="n">
        <f aca="false">IF(J$47,J$48,0)</f>
        <v>0</v>
      </c>
      <c r="K8" s="1" t="s">
        <v>83</v>
      </c>
      <c r="L8" s="20" t="n">
        <f aca="false">IF(L$47,L$48,0)</f>
        <v>0</v>
      </c>
      <c r="M8" s="1" t="s">
        <v>83</v>
      </c>
      <c r="N8" s="20" t="n">
        <f aca="false">IF(N$47,N$48,0)</f>
        <v>0</v>
      </c>
      <c r="O8" s="1" t="s">
        <v>83</v>
      </c>
      <c r="P8" s="20" t="n">
        <f aca="false">IF(P$47,P$48,0)</f>
        <v>0</v>
      </c>
      <c r="Q8" s="1" t="s">
        <v>83</v>
      </c>
    </row>
    <row r="9" customFormat="false" ht="27.75" hidden="false" customHeight="true" outlineLevel="0" collapsed="false">
      <c r="B9" s="1" t="s">
        <v>84</v>
      </c>
      <c r="D9" s="21" t="str">
        <f aca="false">IF(OR(NOT(D$47),D$48=0),"暫不分攤",TEXT(QUOTIENT(D$46,MAX(1,D$48))/10,"0.0")&amp;IF(MOD(D$46,MAX(1,D$48))&gt;0,"–"&amp;TEXT((QUOTIENT(D$46,MAX(1,D$48))+1)/10,"0.0"),"")&amp;" 元／人")</f>
        <v>暫不分攤</v>
      </c>
      <c r="E9" s="21"/>
      <c r="F9" s="21" t="str">
        <f aca="false">IF(OR(NOT(F$47),F$48=0),"暫不分攤",TEXT(QUOTIENT(F$46,MAX(1,F$48))/10,"0.0")&amp;IF(MOD(F$46,MAX(1,F$48))&gt;0,"–"&amp;TEXT((QUOTIENT(F$46,MAX(1,F$48))+1)/10,"0.0"),"")&amp;" 元／人")</f>
        <v>暫不分攤</v>
      </c>
      <c r="G9" s="21"/>
      <c r="H9" s="21" t="str">
        <f aca="false">IF(OR(NOT(H$47),H$48=0),"暫不分攤",TEXT(QUOTIENT(H$46,MAX(1,H$48))/10,"0.0")&amp;IF(MOD(H$46,MAX(1,H$48))&gt;0,"–"&amp;TEXT((QUOTIENT(H$46,MAX(1,H$48))+1)/10,"0.0"),"")&amp;" 元／人")</f>
        <v>暫不分攤</v>
      </c>
      <c r="I9" s="21"/>
      <c r="J9" s="21" t="str">
        <f aca="false">IF(OR(NOT(J$47),J$48=0),"暫不分攤",TEXT(QUOTIENT(J$46,MAX(1,J$48))/10,"0.0")&amp;IF(MOD(J$46,MAX(1,J$48))&gt;0,"–"&amp;TEXT((QUOTIENT(J$46,MAX(1,J$48))+1)/10,"0.0"),"")&amp;" 元／人")</f>
        <v>暫不分攤</v>
      </c>
      <c r="K9" s="21"/>
      <c r="L9" s="21" t="str">
        <f aca="false">IF(OR(NOT(L$47),L$48=0),"暫不分攤",TEXT(QUOTIENT(L$46,MAX(1,L$48))/10,"0.0")&amp;IF(MOD(L$46,MAX(1,L$48))&gt;0,"–"&amp;TEXT((QUOTIENT(L$46,MAX(1,L$48))+1)/10,"0.0"),"")&amp;" 元／人")</f>
        <v>暫不分攤</v>
      </c>
      <c r="M9" s="21"/>
      <c r="N9" s="21" t="str">
        <f aca="false">IF(OR(NOT(N$47),N$48=0),"暫不分攤",TEXT(QUOTIENT(N$46,MAX(1,N$48))/10,"0.0")&amp;IF(MOD(N$46,MAX(1,N$48))&gt;0,"–"&amp;TEXT((QUOTIENT(N$46,MAX(1,N$48))+1)/10,"0.0"),"")&amp;" 元／人")</f>
        <v>暫不分攤</v>
      </c>
      <c r="O9" s="21"/>
      <c r="P9" s="21" t="str">
        <f aca="false">IF(OR(NOT(P$47),P$48=0),"暫不分攤",TEXT(QUOTIENT(P$46,MAX(1,P$48))/10,"0.0")&amp;IF(MOD(P$46,MAX(1,P$48))&gt;0,"–"&amp;TEXT((QUOTIENT(P$46,MAX(1,P$48))+1)/10,"0.0"),"")&amp;" 元／人")</f>
        <v>暫不分攤</v>
      </c>
      <c r="Q9" s="21"/>
    </row>
    <row r="10" customFormat="false" ht="81.75" hidden="false" customHeight="true" outlineLevel="0" collapsed="false">
      <c r="B10" s="1" t="s">
        <v>53</v>
      </c>
      <c r="D10" s="22" t="str">
        <f aca="false">IF(NOT(D$47),"金額須為非負數且最多一位小數。 ","")&amp;IF(AND(D$46&gt;0,D$50,$C$3&lt;&gt;TRUE()),"未用車但有車資：保留金額，暫不分攤。 ","")&amp;IF(AND(D$46&gt;0,D$50,$C$3=TRUE(),$C$49=0),"請設定具名司機；車資暫不分攤。 ","")&amp;IF(AND(D$46&gt;0,D$48=0,NOT(AND(D$46&gt;0,D$50,$C$3&lt;&gt;TRUE())),NOT(AND(D$46&gt;0,D$50,$C$3=TRUE(),$C$49=0))),"沒有可分攤者。 ","")&amp;IF(AND(D$46&gt;0,LEN(TRIM(E7))=0),"請指定具名代墊者。","")</f>
        <v/>
      </c>
      <c r="E10" s="22"/>
      <c r="F10" s="22" t="str">
        <f aca="false">IF(NOT(F$47),"金額須為非負數且最多一位小數。 ","")&amp;IF(AND(F$46&gt;0,F$50,$C$3&lt;&gt;TRUE()),"未用車但有車資：保留金額，暫不分攤。 ","")&amp;IF(AND(F$46&gt;0,F$50,$C$3=TRUE(),$C$49=0),"請設定具名司機；車資暫不分攤。 ","")&amp;IF(AND(F$46&gt;0,F$48=0,NOT(AND(F$46&gt;0,F$50,$C$3&lt;&gt;TRUE())),NOT(AND(F$46&gt;0,F$50,$C$3=TRUE(),$C$49=0))),"沒有可分攤者。 ","")&amp;IF(AND(F$46&gt;0,LEN(TRIM(G7))=0),"請指定具名代墊者。","")</f>
        <v/>
      </c>
      <c r="G10" s="22"/>
      <c r="H10" s="22" t="str">
        <f aca="false">IF(NOT(H$47),"金額須為非負數且最多一位小數。 ","")&amp;IF(AND(H$46&gt;0,H$50,$C$3&lt;&gt;TRUE()),"未用車但有車資：保留金額，暫不分攤。 ","")&amp;IF(AND(H$46&gt;0,H$50,$C$3=TRUE(),$C$49=0),"請設定具名司機；車資暫不分攤。 ","")&amp;IF(AND(H$46&gt;0,H$48=0,NOT(AND(H$46&gt;0,H$50,$C$3&lt;&gt;TRUE())),NOT(AND(H$46&gt;0,H$50,$C$3=TRUE(),$C$49=0))),"沒有可分攤者。 ","")&amp;IF(AND(H$46&gt;0,LEN(TRIM(I7))=0),"請指定具名代墊者。","")</f>
        <v/>
      </c>
      <c r="I10" s="22"/>
      <c r="J10" s="22" t="str">
        <f aca="false">IF(NOT(J$47),"金額須為非負數且最多一位小數。 ","")&amp;IF(AND(J$46&gt;0,J$50,$C$3&lt;&gt;TRUE()),"未用車但有車資：保留金額，暫不分攤。 ","")&amp;IF(AND(J$46&gt;0,J$50,$C$3=TRUE(),$C$49=0),"請設定具名司機；車資暫不分攤。 ","")&amp;IF(AND(J$46&gt;0,J$48=0,NOT(AND(J$46&gt;0,J$50,$C$3&lt;&gt;TRUE())),NOT(AND(J$46&gt;0,J$50,$C$3=TRUE(),$C$49=0))),"沒有可分攤者。 ","")&amp;IF(AND(J$46&gt;0,LEN(TRIM(K7))=0),"請指定具名代墊者。","")</f>
        <v/>
      </c>
      <c r="K10" s="22"/>
      <c r="L10" s="22" t="str">
        <f aca="false">IF(NOT(L$47),"金額須為非負數且最多一位小數。 ","")&amp;IF(AND(L$46&gt;0,L$50,$C$3&lt;&gt;TRUE()),"未用車但有車資：保留金額，暫不分攤。 ","")&amp;IF(AND(L$46&gt;0,L$50,$C$3=TRUE(),$C$49=0),"請設定具名司機；車資暫不分攤。 ","")&amp;IF(AND(L$46&gt;0,L$48=0,NOT(AND(L$46&gt;0,L$50,$C$3&lt;&gt;TRUE())),NOT(AND(L$46&gt;0,L$50,$C$3=TRUE(),$C$49=0))),"沒有可分攤者。 ","")&amp;IF(AND(L$46&gt;0,LEN(TRIM(M7))=0),"請指定具名代墊者。","")</f>
        <v/>
      </c>
      <c r="M10" s="22"/>
      <c r="N10" s="22" t="str">
        <f aca="false">IF(NOT(N$47),"金額須為非負數且最多一位小數。 ","")&amp;IF(AND(N$46&gt;0,N$50,$C$3&lt;&gt;TRUE()),"未用車但有車資：保留金額，暫不分攤。 ","")&amp;IF(AND(N$46&gt;0,N$50,$C$3=TRUE(),$C$49=0),"請設定具名司機；車資暫不分攤。 ","")&amp;IF(AND(N$46&gt;0,N$48=0,NOT(AND(N$46&gt;0,N$50,$C$3&lt;&gt;TRUE())),NOT(AND(N$46&gt;0,N$50,$C$3=TRUE(),$C$49=0))),"沒有可分攤者。 ","")&amp;IF(AND(N$46&gt;0,LEN(TRIM(O7))=0),"請指定具名代墊者。","")</f>
        <v/>
      </c>
      <c r="O10" s="22"/>
      <c r="P10" s="22" t="str">
        <f aca="false">IF(NOT(P$47),"金額須為非負數且最多一位小數。 ","")&amp;IF(AND(P$46&gt;0,P$50,$C$3&lt;&gt;TRUE()),"未用車但有車資：保留金額，暫不分攤。 ","")&amp;IF(AND(P$46&gt;0,P$50,$C$3=TRUE(),$C$49=0),"請設定具名司機；車資暫不分攤。 ","")&amp;IF(AND(P$46&gt;0,P$48=0,NOT(AND(P$46&gt;0,P$50,$C$3&lt;&gt;TRUE())),NOT(AND(P$46&gt;0,P$50,$C$3=TRUE(),$C$49=0))),"沒有可分攤者。 ","")&amp;IF(AND(P$46&gt;0,LEN(TRIM(Q7))=0),"請指定具名代墊者。","")</f>
        <v/>
      </c>
      <c r="Q10" s="22"/>
    </row>
    <row r="11" customFormat="false" ht="30" hidden="false" customHeight="true" outlineLevel="0" collapsed="false">
      <c r="A11" s="3" t="s">
        <v>8</v>
      </c>
      <c r="B11" s="3" t="s">
        <v>9</v>
      </c>
      <c r="C11" s="3" t="s">
        <v>85</v>
      </c>
      <c r="D11" s="3" t="s">
        <v>86</v>
      </c>
      <c r="E11" s="3" t="s">
        <v>87</v>
      </c>
      <c r="F11" s="3" t="s">
        <v>86</v>
      </c>
      <c r="G11" s="3" t="s">
        <v>87</v>
      </c>
      <c r="H11" s="3" t="s">
        <v>86</v>
      </c>
      <c r="I11" s="3" t="s">
        <v>87</v>
      </c>
      <c r="J11" s="3" t="s">
        <v>86</v>
      </c>
      <c r="K11" s="3" t="s">
        <v>87</v>
      </c>
      <c r="L11" s="3" t="s">
        <v>86</v>
      </c>
      <c r="M11" s="3" t="s">
        <v>87</v>
      </c>
      <c r="N11" s="3" t="s">
        <v>86</v>
      </c>
      <c r="O11" s="3" t="s">
        <v>87</v>
      </c>
      <c r="P11" s="3" t="s">
        <v>86</v>
      </c>
      <c r="Q11" s="3" t="s">
        <v>87</v>
      </c>
    </row>
    <row r="12" customFormat="false" ht="27" hidden="false" customHeight="true" outlineLevel="0" collapsed="false">
      <c r="A12" s="8" t="s">
        <v>18</v>
      </c>
      <c r="B12" s="9" t="str">
        <f aca="false">IFERROR(INDEX(成員名單!$B$5:$B$34,MATCH($A12,成員名單!$A$5:$A$34,0))&amp;"","")</f>
        <v/>
      </c>
      <c r="C12" s="23" t="b">
        <f aca="false">FALSE()</f>
        <v>0</v>
      </c>
      <c r="D12" s="23" t="b">
        <f aca="false">FALSE()</f>
        <v>0</v>
      </c>
      <c r="E12" s="9" t="n">
        <f aca="false">D52/10</f>
        <v>0</v>
      </c>
      <c r="F12" s="23" t="b">
        <f aca="false">FALSE()</f>
        <v>0</v>
      </c>
      <c r="G12" s="9" t="n">
        <f aca="false">F52/10</f>
        <v>0</v>
      </c>
      <c r="H12" s="23" t="b">
        <f aca="false">FALSE()</f>
        <v>0</v>
      </c>
      <c r="I12" s="9" t="n">
        <f aca="false">H52/10</f>
        <v>0</v>
      </c>
      <c r="J12" s="23" t="b">
        <f aca="false">FALSE()</f>
        <v>0</v>
      </c>
      <c r="K12" s="9" t="n">
        <f aca="false">J52/10</f>
        <v>0</v>
      </c>
      <c r="L12" s="23" t="b">
        <f aca="false">FALSE()</f>
        <v>0</v>
      </c>
      <c r="M12" s="9" t="n">
        <f aca="false">L52/10</f>
        <v>0</v>
      </c>
      <c r="N12" s="23" t="b">
        <f aca="false">FALSE()</f>
        <v>0</v>
      </c>
      <c r="O12" s="9" t="n">
        <f aca="false">N52/10</f>
        <v>0</v>
      </c>
      <c r="P12" s="23" t="b">
        <f aca="false">FALSE()</f>
        <v>0</v>
      </c>
      <c r="Q12" s="9" t="n">
        <f aca="false">P52/10</f>
        <v>0</v>
      </c>
    </row>
    <row r="13" customFormat="false" ht="27" hidden="false" customHeight="true" outlineLevel="0" collapsed="false">
      <c r="A13" s="10" t="s">
        <v>19</v>
      </c>
      <c r="B13" s="11" t="str">
        <f aca="false">IFERROR(INDEX(成員名單!$B$5:$B$34,MATCH($A13,成員名單!$A$5:$A$34,0))&amp;"","")</f>
        <v/>
      </c>
      <c r="C13" s="23" t="b">
        <f aca="false">FALSE()</f>
        <v>0</v>
      </c>
      <c r="D13" s="23" t="b">
        <f aca="false">FALSE()</f>
        <v>0</v>
      </c>
      <c r="E13" s="11" t="n">
        <f aca="false">D53/10</f>
        <v>0</v>
      </c>
      <c r="F13" s="23" t="b">
        <f aca="false">FALSE()</f>
        <v>0</v>
      </c>
      <c r="G13" s="11" t="n">
        <f aca="false">F53/10</f>
        <v>0</v>
      </c>
      <c r="H13" s="23" t="b">
        <f aca="false">FALSE()</f>
        <v>0</v>
      </c>
      <c r="I13" s="11" t="n">
        <f aca="false">H53/10</f>
        <v>0</v>
      </c>
      <c r="J13" s="23" t="b">
        <f aca="false">FALSE()</f>
        <v>0</v>
      </c>
      <c r="K13" s="11" t="n">
        <f aca="false">J53/10</f>
        <v>0</v>
      </c>
      <c r="L13" s="23" t="b">
        <f aca="false">FALSE()</f>
        <v>0</v>
      </c>
      <c r="M13" s="11" t="n">
        <f aca="false">L53/10</f>
        <v>0</v>
      </c>
      <c r="N13" s="23" t="b">
        <f aca="false">FALSE()</f>
        <v>0</v>
      </c>
      <c r="O13" s="11" t="n">
        <f aca="false">N53/10</f>
        <v>0</v>
      </c>
      <c r="P13" s="23" t="b">
        <f aca="false">FALSE()</f>
        <v>0</v>
      </c>
      <c r="Q13" s="11" t="n">
        <f aca="false">P53/10</f>
        <v>0</v>
      </c>
    </row>
    <row r="14" customFormat="false" ht="27" hidden="false" customHeight="true" outlineLevel="0" collapsed="false">
      <c r="A14" s="8" t="s">
        <v>20</v>
      </c>
      <c r="B14" s="9" t="str">
        <f aca="false">IFERROR(INDEX(成員名單!$B$5:$B$34,MATCH($A14,成員名單!$A$5:$A$34,0))&amp;"","")</f>
        <v/>
      </c>
      <c r="C14" s="23" t="b">
        <f aca="false">FALSE()</f>
        <v>0</v>
      </c>
      <c r="D14" s="23" t="b">
        <f aca="false">FALSE()</f>
        <v>0</v>
      </c>
      <c r="E14" s="9" t="n">
        <f aca="false">D54/10</f>
        <v>0</v>
      </c>
      <c r="F14" s="23" t="b">
        <f aca="false">FALSE()</f>
        <v>0</v>
      </c>
      <c r="G14" s="9" t="n">
        <f aca="false">F54/10</f>
        <v>0</v>
      </c>
      <c r="H14" s="23" t="b">
        <f aca="false">FALSE()</f>
        <v>0</v>
      </c>
      <c r="I14" s="9" t="n">
        <f aca="false">H54/10</f>
        <v>0</v>
      </c>
      <c r="J14" s="23" t="b">
        <f aca="false">FALSE()</f>
        <v>0</v>
      </c>
      <c r="K14" s="9" t="n">
        <f aca="false">J54/10</f>
        <v>0</v>
      </c>
      <c r="L14" s="23" t="b">
        <f aca="false">FALSE()</f>
        <v>0</v>
      </c>
      <c r="M14" s="9" t="n">
        <f aca="false">L54/10</f>
        <v>0</v>
      </c>
      <c r="N14" s="23" t="b">
        <f aca="false">FALSE()</f>
        <v>0</v>
      </c>
      <c r="O14" s="9" t="n">
        <f aca="false">N54/10</f>
        <v>0</v>
      </c>
      <c r="P14" s="23" t="b">
        <f aca="false">FALSE()</f>
        <v>0</v>
      </c>
      <c r="Q14" s="9" t="n">
        <f aca="false">P54/10</f>
        <v>0</v>
      </c>
    </row>
    <row r="15" customFormat="false" ht="27" hidden="false" customHeight="true" outlineLevel="0" collapsed="false">
      <c r="A15" s="10" t="s">
        <v>21</v>
      </c>
      <c r="B15" s="11" t="str">
        <f aca="false">IFERROR(INDEX(成員名單!$B$5:$B$34,MATCH($A15,成員名單!$A$5:$A$34,0))&amp;"","")</f>
        <v/>
      </c>
      <c r="C15" s="23" t="b">
        <f aca="false">FALSE()</f>
        <v>0</v>
      </c>
      <c r="D15" s="23" t="b">
        <f aca="false">FALSE()</f>
        <v>0</v>
      </c>
      <c r="E15" s="11" t="n">
        <f aca="false">D55/10</f>
        <v>0</v>
      </c>
      <c r="F15" s="23" t="b">
        <f aca="false">FALSE()</f>
        <v>0</v>
      </c>
      <c r="G15" s="11" t="n">
        <f aca="false">F55/10</f>
        <v>0</v>
      </c>
      <c r="H15" s="23" t="b">
        <f aca="false">FALSE()</f>
        <v>0</v>
      </c>
      <c r="I15" s="11" t="n">
        <f aca="false">H55/10</f>
        <v>0</v>
      </c>
      <c r="J15" s="23" t="b">
        <f aca="false">FALSE()</f>
        <v>0</v>
      </c>
      <c r="K15" s="11" t="n">
        <f aca="false">J55/10</f>
        <v>0</v>
      </c>
      <c r="L15" s="23" t="b">
        <f aca="false">FALSE()</f>
        <v>0</v>
      </c>
      <c r="M15" s="11" t="n">
        <f aca="false">L55/10</f>
        <v>0</v>
      </c>
      <c r="N15" s="23" t="b">
        <f aca="false">FALSE()</f>
        <v>0</v>
      </c>
      <c r="O15" s="11" t="n">
        <f aca="false">N55/10</f>
        <v>0</v>
      </c>
      <c r="P15" s="23" t="b">
        <f aca="false">FALSE()</f>
        <v>0</v>
      </c>
      <c r="Q15" s="11" t="n">
        <f aca="false">P55/10</f>
        <v>0</v>
      </c>
    </row>
    <row r="16" customFormat="false" ht="27" hidden="false" customHeight="true" outlineLevel="0" collapsed="false">
      <c r="A16" s="8" t="s">
        <v>22</v>
      </c>
      <c r="B16" s="9" t="str">
        <f aca="false">IFERROR(INDEX(成員名單!$B$5:$B$34,MATCH($A16,成員名單!$A$5:$A$34,0))&amp;"","")</f>
        <v/>
      </c>
      <c r="C16" s="23" t="b">
        <f aca="false">FALSE()</f>
        <v>0</v>
      </c>
      <c r="D16" s="23" t="b">
        <f aca="false">FALSE()</f>
        <v>0</v>
      </c>
      <c r="E16" s="9" t="n">
        <f aca="false">D56/10</f>
        <v>0</v>
      </c>
      <c r="F16" s="23" t="b">
        <f aca="false">FALSE()</f>
        <v>0</v>
      </c>
      <c r="G16" s="9" t="n">
        <f aca="false">F56/10</f>
        <v>0</v>
      </c>
      <c r="H16" s="23" t="b">
        <f aca="false">FALSE()</f>
        <v>0</v>
      </c>
      <c r="I16" s="9" t="n">
        <f aca="false">H56/10</f>
        <v>0</v>
      </c>
      <c r="J16" s="23" t="b">
        <f aca="false">FALSE()</f>
        <v>0</v>
      </c>
      <c r="K16" s="9" t="n">
        <f aca="false">J56/10</f>
        <v>0</v>
      </c>
      <c r="L16" s="23" t="b">
        <f aca="false">FALSE()</f>
        <v>0</v>
      </c>
      <c r="M16" s="9" t="n">
        <f aca="false">L56/10</f>
        <v>0</v>
      </c>
      <c r="N16" s="23" t="b">
        <f aca="false">FALSE()</f>
        <v>0</v>
      </c>
      <c r="O16" s="9" t="n">
        <f aca="false">N56/10</f>
        <v>0</v>
      </c>
      <c r="P16" s="23" t="b">
        <f aca="false">FALSE()</f>
        <v>0</v>
      </c>
      <c r="Q16" s="9" t="n">
        <f aca="false">P56/10</f>
        <v>0</v>
      </c>
    </row>
    <row r="17" customFormat="false" ht="27" hidden="false" customHeight="true" outlineLevel="0" collapsed="false">
      <c r="A17" s="10" t="s">
        <v>23</v>
      </c>
      <c r="B17" s="11" t="str">
        <f aca="false">IFERROR(INDEX(成員名單!$B$5:$B$34,MATCH($A17,成員名單!$A$5:$A$34,0))&amp;"","")</f>
        <v/>
      </c>
      <c r="C17" s="23" t="b">
        <f aca="false">FALSE()</f>
        <v>0</v>
      </c>
      <c r="D17" s="23" t="b">
        <f aca="false">FALSE()</f>
        <v>0</v>
      </c>
      <c r="E17" s="11" t="n">
        <f aca="false">D57/10</f>
        <v>0</v>
      </c>
      <c r="F17" s="23" t="b">
        <f aca="false">FALSE()</f>
        <v>0</v>
      </c>
      <c r="G17" s="11" t="n">
        <f aca="false">F57/10</f>
        <v>0</v>
      </c>
      <c r="H17" s="23" t="b">
        <f aca="false">FALSE()</f>
        <v>0</v>
      </c>
      <c r="I17" s="11" t="n">
        <f aca="false">H57/10</f>
        <v>0</v>
      </c>
      <c r="J17" s="23" t="b">
        <f aca="false">FALSE()</f>
        <v>0</v>
      </c>
      <c r="K17" s="11" t="n">
        <f aca="false">J57/10</f>
        <v>0</v>
      </c>
      <c r="L17" s="23" t="b">
        <f aca="false">FALSE()</f>
        <v>0</v>
      </c>
      <c r="M17" s="11" t="n">
        <f aca="false">L57/10</f>
        <v>0</v>
      </c>
      <c r="N17" s="23" t="b">
        <f aca="false">FALSE()</f>
        <v>0</v>
      </c>
      <c r="O17" s="11" t="n">
        <f aca="false">N57/10</f>
        <v>0</v>
      </c>
      <c r="P17" s="23" t="b">
        <f aca="false">FALSE()</f>
        <v>0</v>
      </c>
      <c r="Q17" s="11" t="n">
        <f aca="false">P57/10</f>
        <v>0</v>
      </c>
    </row>
    <row r="18" customFormat="false" ht="27" hidden="false" customHeight="true" outlineLevel="0" collapsed="false">
      <c r="A18" s="8" t="s">
        <v>24</v>
      </c>
      <c r="B18" s="9" t="str">
        <f aca="false">IFERROR(INDEX(成員名單!$B$5:$B$34,MATCH($A18,成員名單!$A$5:$A$34,0))&amp;"","")</f>
        <v/>
      </c>
      <c r="C18" s="23" t="b">
        <f aca="false">FALSE()</f>
        <v>0</v>
      </c>
      <c r="D18" s="23" t="b">
        <f aca="false">FALSE()</f>
        <v>0</v>
      </c>
      <c r="E18" s="9" t="n">
        <f aca="false">D58/10</f>
        <v>0</v>
      </c>
      <c r="F18" s="23" t="b">
        <f aca="false">FALSE()</f>
        <v>0</v>
      </c>
      <c r="G18" s="9" t="n">
        <f aca="false">F58/10</f>
        <v>0</v>
      </c>
      <c r="H18" s="23" t="b">
        <f aca="false">FALSE()</f>
        <v>0</v>
      </c>
      <c r="I18" s="9" t="n">
        <f aca="false">H58/10</f>
        <v>0</v>
      </c>
      <c r="J18" s="23" t="b">
        <f aca="false">FALSE()</f>
        <v>0</v>
      </c>
      <c r="K18" s="9" t="n">
        <f aca="false">J58/10</f>
        <v>0</v>
      </c>
      <c r="L18" s="23" t="b">
        <f aca="false">FALSE()</f>
        <v>0</v>
      </c>
      <c r="M18" s="9" t="n">
        <f aca="false">L58/10</f>
        <v>0</v>
      </c>
      <c r="N18" s="23" t="b">
        <f aca="false">FALSE()</f>
        <v>0</v>
      </c>
      <c r="O18" s="9" t="n">
        <f aca="false">N58/10</f>
        <v>0</v>
      </c>
      <c r="P18" s="23" t="b">
        <f aca="false">FALSE()</f>
        <v>0</v>
      </c>
      <c r="Q18" s="9" t="n">
        <f aca="false">P58/10</f>
        <v>0</v>
      </c>
    </row>
    <row r="19" customFormat="false" ht="27" hidden="false" customHeight="true" outlineLevel="0" collapsed="false">
      <c r="A19" s="10" t="s">
        <v>25</v>
      </c>
      <c r="B19" s="11" t="str">
        <f aca="false">IFERROR(INDEX(成員名單!$B$5:$B$34,MATCH($A19,成員名單!$A$5:$A$34,0))&amp;"","")</f>
        <v/>
      </c>
      <c r="C19" s="23" t="b">
        <f aca="false">FALSE()</f>
        <v>0</v>
      </c>
      <c r="D19" s="23" t="b">
        <f aca="false">FALSE()</f>
        <v>0</v>
      </c>
      <c r="E19" s="11" t="n">
        <f aca="false">D59/10</f>
        <v>0</v>
      </c>
      <c r="F19" s="23" t="b">
        <f aca="false">FALSE()</f>
        <v>0</v>
      </c>
      <c r="G19" s="11" t="n">
        <f aca="false">F59/10</f>
        <v>0</v>
      </c>
      <c r="H19" s="23" t="b">
        <f aca="false">FALSE()</f>
        <v>0</v>
      </c>
      <c r="I19" s="11" t="n">
        <f aca="false">H59/10</f>
        <v>0</v>
      </c>
      <c r="J19" s="23" t="b">
        <f aca="false">FALSE()</f>
        <v>0</v>
      </c>
      <c r="K19" s="11" t="n">
        <f aca="false">J59/10</f>
        <v>0</v>
      </c>
      <c r="L19" s="23" t="b">
        <f aca="false">FALSE()</f>
        <v>0</v>
      </c>
      <c r="M19" s="11" t="n">
        <f aca="false">L59/10</f>
        <v>0</v>
      </c>
      <c r="N19" s="23" t="b">
        <f aca="false">FALSE()</f>
        <v>0</v>
      </c>
      <c r="O19" s="11" t="n">
        <f aca="false">N59/10</f>
        <v>0</v>
      </c>
      <c r="P19" s="23" t="b">
        <f aca="false">FALSE()</f>
        <v>0</v>
      </c>
      <c r="Q19" s="11" t="n">
        <f aca="false">P59/10</f>
        <v>0</v>
      </c>
    </row>
    <row r="20" customFormat="false" ht="27" hidden="false" customHeight="true" outlineLevel="0" collapsed="false">
      <c r="A20" s="8" t="s">
        <v>26</v>
      </c>
      <c r="B20" s="9" t="str">
        <f aca="false">IFERROR(INDEX(成員名單!$B$5:$B$34,MATCH($A20,成員名單!$A$5:$A$34,0))&amp;"","")</f>
        <v/>
      </c>
      <c r="C20" s="23" t="b">
        <f aca="false">FALSE()</f>
        <v>0</v>
      </c>
      <c r="D20" s="23" t="b">
        <f aca="false">FALSE()</f>
        <v>0</v>
      </c>
      <c r="E20" s="9" t="n">
        <f aca="false">D60/10</f>
        <v>0</v>
      </c>
      <c r="F20" s="23" t="b">
        <f aca="false">FALSE()</f>
        <v>0</v>
      </c>
      <c r="G20" s="9" t="n">
        <f aca="false">F60/10</f>
        <v>0</v>
      </c>
      <c r="H20" s="23" t="b">
        <f aca="false">FALSE()</f>
        <v>0</v>
      </c>
      <c r="I20" s="9" t="n">
        <f aca="false">H60/10</f>
        <v>0</v>
      </c>
      <c r="J20" s="23" t="b">
        <f aca="false">FALSE()</f>
        <v>0</v>
      </c>
      <c r="K20" s="9" t="n">
        <f aca="false">J60/10</f>
        <v>0</v>
      </c>
      <c r="L20" s="23" t="b">
        <f aca="false">FALSE()</f>
        <v>0</v>
      </c>
      <c r="M20" s="9" t="n">
        <f aca="false">L60/10</f>
        <v>0</v>
      </c>
      <c r="N20" s="23" t="b">
        <f aca="false">FALSE()</f>
        <v>0</v>
      </c>
      <c r="O20" s="9" t="n">
        <f aca="false">N60/10</f>
        <v>0</v>
      </c>
      <c r="P20" s="23" t="b">
        <f aca="false">FALSE()</f>
        <v>0</v>
      </c>
      <c r="Q20" s="9" t="n">
        <f aca="false">P60/10</f>
        <v>0</v>
      </c>
    </row>
    <row r="21" customFormat="false" ht="27" hidden="false" customHeight="true" outlineLevel="0" collapsed="false">
      <c r="A21" s="10" t="s">
        <v>27</v>
      </c>
      <c r="B21" s="11" t="str">
        <f aca="false">IFERROR(INDEX(成員名單!$B$5:$B$34,MATCH($A21,成員名單!$A$5:$A$34,0))&amp;"","")</f>
        <v/>
      </c>
      <c r="C21" s="23" t="b">
        <f aca="false">FALSE()</f>
        <v>0</v>
      </c>
      <c r="D21" s="23" t="b">
        <f aca="false">FALSE()</f>
        <v>0</v>
      </c>
      <c r="E21" s="11" t="n">
        <f aca="false">D61/10</f>
        <v>0</v>
      </c>
      <c r="F21" s="23" t="b">
        <f aca="false">FALSE()</f>
        <v>0</v>
      </c>
      <c r="G21" s="11" t="n">
        <f aca="false">F61/10</f>
        <v>0</v>
      </c>
      <c r="H21" s="23" t="b">
        <f aca="false">FALSE()</f>
        <v>0</v>
      </c>
      <c r="I21" s="11" t="n">
        <f aca="false">H61/10</f>
        <v>0</v>
      </c>
      <c r="J21" s="23" t="b">
        <f aca="false">FALSE()</f>
        <v>0</v>
      </c>
      <c r="K21" s="11" t="n">
        <f aca="false">J61/10</f>
        <v>0</v>
      </c>
      <c r="L21" s="23" t="b">
        <f aca="false">FALSE()</f>
        <v>0</v>
      </c>
      <c r="M21" s="11" t="n">
        <f aca="false">L61/10</f>
        <v>0</v>
      </c>
      <c r="N21" s="23" t="b">
        <f aca="false">FALSE()</f>
        <v>0</v>
      </c>
      <c r="O21" s="11" t="n">
        <f aca="false">N61/10</f>
        <v>0</v>
      </c>
      <c r="P21" s="23" t="b">
        <f aca="false">FALSE()</f>
        <v>0</v>
      </c>
      <c r="Q21" s="11" t="n">
        <f aca="false">P61/10</f>
        <v>0</v>
      </c>
    </row>
    <row r="22" customFormat="false" ht="27" hidden="false" customHeight="true" outlineLevel="0" collapsed="false">
      <c r="A22" s="8" t="s">
        <v>28</v>
      </c>
      <c r="B22" s="9" t="str">
        <f aca="false">IFERROR(INDEX(成員名單!$B$5:$B$34,MATCH($A22,成員名單!$A$5:$A$34,0))&amp;"","")</f>
        <v/>
      </c>
      <c r="C22" s="23" t="b">
        <f aca="false">FALSE()</f>
        <v>0</v>
      </c>
      <c r="D22" s="23" t="b">
        <f aca="false">FALSE()</f>
        <v>0</v>
      </c>
      <c r="E22" s="9" t="n">
        <f aca="false">D62/10</f>
        <v>0</v>
      </c>
      <c r="F22" s="23" t="b">
        <f aca="false">FALSE()</f>
        <v>0</v>
      </c>
      <c r="G22" s="9" t="n">
        <f aca="false">F62/10</f>
        <v>0</v>
      </c>
      <c r="H22" s="23" t="b">
        <f aca="false">FALSE()</f>
        <v>0</v>
      </c>
      <c r="I22" s="9" t="n">
        <f aca="false">H62/10</f>
        <v>0</v>
      </c>
      <c r="J22" s="23" t="b">
        <f aca="false">FALSE()</f>
        <v>0</v>
      </c>
      <c r="K22" s="9" t="n">
        <f aca="false">J62/10</f>
        <v>0</v>
      </c>
      <c r="L22" s="23" t="b">
        <f aca="false">FALSE()</f>
        <v>0</v>
      </c>
      <c r="M22" s="9" t="n">
        <f aca="false">L62/10</f>
        <v>0</v>
      </c>
      <c r="N22" s="23" t="b">
        <f aca="false">FALSE()</f>
        <v>0</v>
      </c>
      <c r="O22" s="9" t="n">
        <f aca="false">N62/10</f>
        <v>0</v>
      </c>
      <c r="P22" s="23" t="b">
        <f aca="false">FALSE()</f>
        <v>0</v>
      </c>
      <c r="Q22" s="9" t="n">
        <f aca="false">P62/10</f>
        <v>0</v>
      </c>
    </row>
    <row r="23" customFormat="false" ht="27" hidden="false" customHeight="true" outlineLevel="0" collapsed="false">
      <c r="A23" s="10" t="s">
        <v>29</v>
      </c>
      <c r="B23" s="11" t="str">
        <f aca="false">IFERROR(INDEX(成員名單!$B$5:$B$34,MATCH($A23,成員名單!$A$5:$A$34,0))&amp;"","")</f>
        <v/>
      </c>
      <c r="C23" s="23" t="b">
        <f aca="false">FALSE()</f>
        <v>0</v>
      </c>
      <c r="D23" s="23" t="b">
        <f aca="false">FALSE()</f>
        <v>0</v>
      </c>
      <c r="E23" s="11" t="n">
        <f aca="false">D63/10</f>
        <v>0</v>
      </c>
      <c r="F23" s="23" t="b">
        <f aca="false">FALSE()</f>
        <v>0</v>
      </c>
      <c r="G23" s="11" t="n">
        <f aca="false">F63/10</f>
        <v>0</v>
      </c>
      <c r="H23" s="23" t="b">
        <f aca="false">FALSE()</f>
        <v>0</v>
      </c>
      <c r="I23" s="11" t="n">
        <f aca="false">H63/10</f>
        <v>0</v>
      </c>
      <c r="J23" s="23" t="b">
        <f aca="false">FALSE()</f>
        <v>0</v>
      </c>
      <c r="K23" s="11" t="n">
        <f aca="false">J63/10</f>
        <v>0</v>
      </c>
      <c r="L23" s="23" t="b">
        <f aca="false">FALSE()</f>
        <v>0</v>
      </c>
      <c r="M23" s="11" t="n">
        <f aca="false">L63/10</f>
        <v>0</v>
      </c>
      <c r="N23" s="23" t="b">
        <f aca="false">FALSE()</f>
        <v>0</v>
      </c>
      <c r="O23" s="11" t="n">
        <f aca="false">N63/10</f>
        <v>0</v>
      </c>
      <c r="P23" s="23" t="b">
        <f aca="false">FALSE()</f>
        <v>0</v>
      </c>
      <c r="Q23" s="11" t="n">
        <f aca="false">P63/10</f>
        <v>0</v>
      </c>
    </row>
    <row r="24" customFormat="false" ht="27" hidden="false" customHeight="true" outlineLevel="0" collapsed="false">
      <c r="A24" s="8" t="s">
        <v>30</v>
      </c>
      <c r="B24" s="9" t="str">
        <f aca="false">IFERROR(INDEX(成員名單!$B$5:$B$34,MATCH($A24,成員名單!$A$5:$A$34,0))&amp;"","")</f>
        <v/>
      </c>
      <c r="C24" s="23" t="b">
        <f aca="false">FALSE()</f>
        <v>0</v>
      </c>
      <c r="D24" s="23" t="b">
        <f aca="false">FALSE()</f>
        <v>0</v>
      </c>
      <c r="E24" s="9" t="n">
        <f aca="false">D64/10</f>
        <v>0</v>
      </c>
      <c r="F24" s="23" t="b">
        <f aca="false">FALSE()</f>
        <v>0</v>
      </c>
      <c r="G24" s="9" t="n">
        <f aca="false">F64/10</f>
        <v>0</v>
      </c>
      <c r="H24" s="23" t="b">
        <f aca="false">FALSE()</f>
        <v>0</v>
      </c>
      <c r="I24" s="9" t="n">
        <f aca="false">H64/10</f>
        <v>0</v>
      </c>
      <c r="J24" s="23" t="b">
        <f aca="false">FALSE()</f>
        <v>0</v>
      </c>
      <c r="K24" s="9" t="n">
        <f aca="false">J64/10</f>
        <v>0</v>
      </c>
      <c r="L24" s="23" t="b">
        <f aca="false">FALSE()</f>
        <v>0</v>
      </c>
      <c r="M24" s="9" t="n">
        <f aca="false">L64/10</f>
        <v>0</v>
      </c>
      <c r="N24" s="23" t="b">
        <f aca="false">FALSE()</f>
        <v>0</v>
      </c>
      <c r="O24" s="9" t="n">
        <f aca="false">N64/10</f>
        <v>0</v>
      </c>
      <c r="P24" s="23" t="b">
        <f aca="false">FALSE()</f>
        <v>0</v>
      </c>
      <c r="Q24" s="9" t="n">
        <f aca="false">P64/10</f>
        <v>0</v>
      </c>
    </row>
    <row r="25" customFormat="false" ht="27" hidden="false" customHeight="true" outlineLevel="0" collapsed="false">
      <c r="A25" s="10" t="s">
        <v>31</v>
      </c>
      <c r="B25" s="11" t="str">
        <f aca="false">IFERROR(INDEX(成員名單!$B$5:$B$34,MATCH($A25,成員名單!$A$5:$A$34,0))&amp;"","")</f>
        <v/>
      </c>
      <c r="C25" s="23" t="b">
        <f aca="false">FALSE()</f>
        <v>0</v>
      </c>
      <c r="D25" s="23" t="b">
        <f aca="false">FALSE()</f>
        <v>0</v>
      </c>
      <c r="E25" s="11" t="n">
        <f aca="false">D65/10</f>
        <v>0</v>
      </c>
      <c r="F25" s="23" t="b">
        <f aca="false">FALSE()</f>
        <v>0</v>
      </c>
      <c r="G25" s="11" t="n">
        <f aca="false">F65/10</f>
        <v>0</v>
      </c>
      <c r="H25" s="23" t="b">
        <f aca="false">FALSE()</f>
        <v>0</v>
      </c>
      <c r="I25" s="11" t="n">
        <f aca="false">H65/10</f>
        <v>0</v>
      </c>
      <c r="J25" s="23" t="b">
        <f aca="false">FALSE()</f>
        <v>0</v>
      </c>
      <c r="K25" s="11" t="n">
        <f aca="false">J65/10</f>
        <v>0</v>
      </c>
      <c r="L25" s="23" t="b">
        <f aca="false">FALSE()</f>
        <v>0</v>
      </c>
      <c r="M25" s="11" t="n">
        <f aca="false">L65/10</f>
        <v>0</v>
      </c>
      <c r="N25" s="23" t="b">
        <f aca="false">FALSE()</f>
        <v>0</v>
      </c>
      <c r="O25" s="11" t="n">
        <f aca="false">N65/10</f>
        <v>0</v>
      </c>
      <c r="P25" s="23" t="b">
        <f aca="false">FALSE()</f>
        <v>0</v>
      </c>
      <c r="Q25" s="11" t="n">
        <f aca="false">P65/10</f>
        <v>0</v>
      </c>
    </row>
    <row r="26" customFormat="false" ht="27" hidden="false" customHeight="true" outlineLevel="0" collapsed="false">
      <c r="A26" s="8" t="s">
        <v>32</v>
      </c>
      <c r="B26" s="9" t="str">
        <f aca="false">IFERROR(INDEX(成員名單!$B$5:$B$34,MATCH($A26,成員名單!$A$5:$A$34,0))&amp;"","")</f>
        <v/>
      </c>
      <c r="C26" s="23" t="b">
        <f aca="false">FALSE()</f>
        <v>0</v>
      </c>
      <c r="D26" s="23" t="b">
        <f aca="false">FALSE()</f>
        <v>0</v>
      </c>
      <c r="E26" s="9" t="n">
        <f aca="false">D66/10</f>
        <v>0</v>
      </c>
      <c r="F26" s="23" t="b">
        <f aca="false">FALSE()</f>
        <v>0</v>
      </c>
      <c r="G26" s="9" t="n">
        <f aca="false">F66/10</f>
        <v>0</v>
      </c>
      <c r="H26" s="23" t="b">
        <f aca="false">FALSE()</f>
        <v>0</v>
      </c>
      <c r="I26" s="9" t="n">
        <f aca="false">H66/10</f>
        <v>0</v>
      </c>
      <c r="J26" s="23" t="b">
        <f aca="false">FALSE()</f>
        <v>0</v>
      </c>
      <c r="K26" s="9" t="n">
        <f aca="false">J66/10</f>
        <v>0</v>
      </c>
      <c r="L26" s="23" t="b">
        <f aca="false">FALSE()</f>
        <v>0</v>
      </c>
      <c r="M26" s="9" t="n">
        <f aca="false">L66/10</f>
        <v>0</v>
      </c>
      <c r="N26" s="23" t="b">
        <f aca="false">FALSE()</f>
        <v>0</v>
      </c>
      <c r="O26" s="9" t="n">
        <f aca="false">N66/10</f>
        <v>0</v>
      </c>
      <c r="P26" s="23" t="b">
        <f aca="false">FALSE()</f>
        <v>0</v>
      </c>
      <c r="Q26" s="9" t="n">
        <f aca="false">P66/10</f>
        <v>0</v>
      </c>
    </row>
    <row r="27" customFormat="false" ht="27" hidden="false" customHeight="true" outlineLevel="0" collapsed="false">
      <c r="A27" s="10" t="s">
        <v>33</v>
      </c>
      <c r="B27" s="11" t="str">
        <f aca="false">IFERROR(INDEX(成員名單!$B$5:$B$34,MATCH($A27,成員名單!$A$5:$A$34,0))&amp;"","")</f>
        <v/>
      </c>
      <c r="C27" s="23" t="b">
        <f aca="false">FALSE()</f>
        <v>0</v>
      </c>
      <c r="D27" s="23" t="b">
        <f aca="false">FALSE()</f>
        <v>0</v>
      </c>
      <c r="E27" s="11" t="n">
        <f aca="false">D67/10</f>
        <v>0</v>
      </c>
      <c r="F27" s="23" t="b">
        <f aca="false">FALSE()</f>
        <v>0</v>
      </c>
      <c r="G27" s="11" t="n">
        <f aca="false">F67/10</f>
        <v>0</v>
      </c>
      <c r="H27" s="23" t="b">
        <f aca="false">FALSE()</f>
        <v>0</v>
      </c>
      <c r="I27" s="11" t="n">
        <f aca="false">H67/10</f>
        <v>0</v>
      </c>
      <c r="J27" s="23" t="b">
        <f aca="false">FALSE()</f>
        <v>0</v>
      </c>
      <c r="K27" s="11" t="n">
        <f aca="false">J67/10</f>
        <v>0</v>
      </c>
      <c r="L27" s="23" t="b">
        <f aca="false">FALSE()</f>
        <v>0</v>
      </c>
      <c r="M27" s="11" t="n">
        <f aca="false">L67/10</f>
        <v>0</v>
      </c>
      <c r="N27" s="23" t="b">
        <f aca="false">FALSE()</f>
        <v>0</v>
      </c>
      <c r="O27" s="11" t="n">
        <f aca="false">N67/10</f>
        <v>0</v>
      </c>
      <c r="P27" s="23" t="b">
        <f aca="false">FALSE()</f>
        <v>0</v>
      </c>
      <c r="Q27" s="11" t="n">
        <f aca="false">P67/10</f>
        <v>0</v>
      </c>
    </row>
    <row r="28" customFormat="false" ht="27" hidden="false" customHeight="true" outlineLevel="0" collapsed="false">
      <c r="A28" s="8" t="s">
        <v>34</v>
      </c>
      <c r="B28" s="9" t="str">
        <f aca="false">IFERROR(INDEX(成員名單!$B$5:$B$34,MATCH($A28,成員名單!$A$5:$A$34,0))&amp;"","")</f>
        <v/>
      </c>
      <c r="C28" s="23" t="b">
        <f aca="false">FALSE()</f>
        <v>0</v>
      </c>
      <c r="D28" s="23" t="b">
        <f aca="false">FALSE()</f>
        <v>0</v>
      </c>
      <c r="E28" s="9" t="n">
        <f aca="false">D68/10</f>
        <v>0</v>
      </c>
      <c r="F28" s="23" t="b">
        <f aca="false">FALSE()</f>
        <v>0</v>
      </c>
      <c r="G28" s="9" t="n">
        <f aca="false">F68/10</f>
        <v>0</v>
      </c>
      <c r="H28" s="23" t="b">
        <f aca="false">FALSE()</f>
        <v>0</v>
      </c>
      <c r="I28" s="9" t="n">
        <f aca="false">H68/10</f>
        <v>0</v>
      </c>
      <c r="J28" s="23" t="b">
        <f aca="false">FALSE()</f>
        <v>0</v>
      </c>
      <c r="K28" s="9" t="n">
        <f aca="false">J68/10</f>
        <v>0</v>
      </c>
      <c r="L28" s="23" t="b">
        <f aca="false">FALSE()</f>
        <v>0</v>
      </c>
      <c r="M28" s="9" t="n">
        <f aca="false">L68/10</f>
        <v>0</v>
      </c>
      <c r="N28" s="23" t="b">
        <f aca="false">FALSE()</f>
        <v>0</v>
      </c>
      <c r="O28" s="9" t="n">
        <f aca="false">N68/10</f>
        <v>0</v>
      </c>
      <c r="P28" s="23" t="b">
        <f aca="false">FALSE()</f>
        <v>0</v>
      </c>
      <c r="Q28" s="9" t="n">
        <f aca="false">P68/10</f>
        <v>0</v>
      </c>
    </row>
    <row r="29" customFormat="false" ht="27" hidden="false" customHeight="true" outlineLevel="0" collapsed="false">
      <c r="A29" s="10" t="s">
        <v>35</v>
      </c>
      <c r="B29" s="11" t="str">
        <f aca="false">IFERROR(INDEX(成員名單!$B$5:$B$34,MATCH($A29,成員名單!$A$5:$A$34,0))&amp;"","")</f>
        <v/>
      </c>
      <c r="C29" s="23" t="b">
        <f aca="false">FALSE()</f>
        <v>0</v>
      </c>
      <c r="D29" s="23" t="b">
        <f aca="false">FALSE()</f>
        <v>0</v>
      </c>
      <c r="E29" s="11" t="n">
        <f aca="false">D69/10</f>
        <v>0</v>
      </c>
      <c r="F29" s="23" t="b">
        <f aca="false">FALSE()</f>
        <v>0</v>
      </c>
      <c r="G29" s="11" t="n">
        <f aca="false">F69/10</f>
        <v>0</v>
      </c>
      <c r="H29" s="23" t="b">
        <f aca="false">FALSE()</f>
        <v>0</v>
      </c>
      <c r="I29" s="11" t="n">
        <f aca="false">H69/10</f>
        <v>0</v>
      </c>
      <c r="J29" s="23" t="b">
        <f aca="false">FALSE()</f>
        <v>0</v>
      </c>
      <c r="K29" s="11" t="n">
        <f aca="false">J69/10</f>
        <v>0</v>
      </c>
      <c r="L29" s="23" t="b">
        <f aca="false">FALSE()</f>
        <v>0</v>
      </c>
      <c r="M29" s="11" t="n">
        <f aca="false">L69/10</f>
        <v>0</v>
      </c>
      <c r="N29" s="23" t="b">
        <f aca="false">FALSE()</f>
        <v>0</v>
      </c>
      <c r="O29" s="11" t="n">
        <f aca="false">N69/10</f>
        <v>0</v>
      </c>
      <c r="P29" s="23" t="b">
        <f aca="false">FALSE()</f>
        <v>0</v>
      </c>
      <c r="Q29" s="11" t="n">
        <f aca="false">P69/10</f>
        <v>0</v>
      </c>
    </row>
    <row r="30" customFormat="false" ht="27" hidden="false" customHeight="true" outlineLevel="0" collapsed="false">
      <c r="A30" s="8" t="s">
        <v>36</v>
      </c>
      <c r="B30" s="9" t="str">
        <f aca="false">IFERROR(INDEX(成員名單!$B$5:$B$34,MATCH($A30,成員名單!$A$5:$A$34,0))&amp;"","")</f>
        <v/>
      </c>
      <c r="C30" s="23" t="b">
        <f aca="false">FALSE()</f>
        <v>0</v>
      </c>
      <c r="D30" s="23" t="b">
        <f aca="false">FALSE()</f>
        <v>0</v>
      </c>
      <c r="E30" s="9" t="n">
        <f aca="false">D70/10</f>
        <v>0</v>
      </c>
      <c r="F30" s="23" t="b">
        <f aca="false">FALSE()</f>
        <v>0</v>
      </c>
      <c r="G30" s="9" t="n">
        <f aca="false">F70/10</f>
        <v>0</v>
      </c>
      <c r="H30" s="23" t="b">
        <f aca="false">FALSE()</f>
        <v>0</v>
      </c>
      <c r="I30" s="9" t="n">
        <f aca="false">H70/10</f>
        <v>0</v>
      </c>
      <c r="J30" s="23" t="b">
        <f aca="false">FALSE()</f>
        <v>0</v>
      </c>
      <c r="K30" s="9" t="n">
        <f aca="false">J70/10</f>
        <v>0</v>
      </c>
      <c r="L30" s="23" t="b">
        <f aca="false">FALSE()</f>
        <v>0</v>
      </c>
      <c r="M30" s="9" t="n">
        <f aca="false">L70/10</f>
        <v>0</v>
      </c>
      <c r="N30" s="23" t="b">
        <f aca="false">FALSE()</f>
        <v>0</v>
      </c>
      <c r="O30" s="9" t="n">
        <f aca="false">N70/10</f>
        <v>0</v>
      </c>
      <c r="P30" s="23" t="b">
        <f aca="false">FALSE()</f>
        <v>0</v>
      </c>
      <c r="Q30" s="9" t="n">
        <f aca="false">P70/10</f>
        <v>0</v>
      </c>
    </row>
    <row r="31" customFormat="false" ht="27" hidden="false" customHeight="true" outlineLevel="0" collapsed="false">
      <c r="A31" s="10" t="s">
        <v>37</v>
      </c>
      <c r="B31" s="11" t="str">
        <f aca="false">IFERROR(INDEX(成員名單!$B$5:$B$34,MATCH($A31,成員名單!$A$5:$A$34,0))&amp;"","")</f>
        <v/>
      </c>
      <c r="C31" s="23" t="b">
        <f aca="false">FALSE()</f>
        <v>0</v>
      </c>
      <c r="D31" s="23" t="b">
        <f aca="false">FALSE()</f>
        <v>0</v>
      </c>
      <c r="E31" s="11" t="n">
        <f aca="false">D71/10</f>
        <v>0</v>
      </c>
      <c r="F31" s="23" t="b">
        <f aca="false">FALSE()</f>
        <v>0</v>
      </c>
      <c r="G31" s="11" t="n">
        <f aca="false">F71/10</f>
        <v>0</v>
      </c>
      <c r="H31" s="23" t="b">
        <f aca="false">FALSE()</f>
        <v>0</v>
      </c>
      <c r="I31" s="11" t="n">
        <f aca="false">H71/10</f>
        <v>0</v>
      </c>
      <c r="J31" s="23" t="b">
        <f aca="false">FALSE()</f>
        <v>0</v>
      </c>
      <c r="K31" s="11" t="n">
        <f aca="false">J71/10</f>
        <v>0</v>
      </c>
      <c r="L31" s="23" t="b">
        <f aca="false">FALSE()</f>
        <v>0</v>
      </c>
      <c r="M31" s="11" t="n">
        <f aca="false">L71/10</f>
        <v>0</v>
      </c>
      <c r="N31" s="23" t="b">
        <f aca="false">FALSE()</f>
        <v>0</v>
      </c>
      <c r="O31" s="11" t="n">
        <f aca="false">N71/10</f>
        <v>0</v>
      </c>
      <c r="P31" s="23" t="b">
        <f aca="false">FALSE()</f>
        <v>0</v>
      </c>
      <c r="Q31" s="11" t="n">
        <f aca="false">P71/10</f>
        <v>0</v>
      </c>
    </row>
    <row r="32" customFormat="false" ht="27" hidden="false" customHeight="true" outlineLevel="0" collapsed="false">
      <c r="A32" s="8" t="s">
        <v>38</v>
      </c>
      <c r="B32" s="9" t="str">
        <f aca="false">IFERROR(INDEX(成員名單!$B$5:$B$34,MATCH($A32,成員名單!$A$5:$A$34,0))&amp;"","")</f>
        <v/>
      </c>
      <c r="C32" s="23" t="b">
        <f aca="false">FALSE()</f>
        <v>0</v>
      </c>
      <c r="D32" s="23" t="b">
        <f aca="false">FALSE()</f>
        <v>0</v>
      </c>
      <c r="E32" s="9" t="n">
        <f aca="false">D72/10</f>
        <v>0</v>
      </c>
      <c r="F32" s="23" t="b">
        <f aca="false">FALSE()</f>
        <v>0</v>
      </c>
      <c r="G32" s="9" t="n">
        <f aca="false">F72/10</f>
        <v>0</v>
      </c>
      <c r="H32" s="23" t="b">
        <f aca="false">FALSE()</f>
        <v>0</v>
      </c>
      <c r="I32" s="9" t="n">
        <f aca="false">H72/10</f>
        <v>0</v>
      </c>
      <c r="J32" s="23" t="b">
        <f aca="false">FALSE()</f>
        <v>0</v>
      </c>
      <c r="K32" s="9" t="n">
        <f aca="false">J72/10</f>
        <v>0</v>
      </c>
      <c r="L32" s="23" t="b">
        <f aca="false">FALSE()</f>
        <v>0</v>
      </c>
      <c r="M32" s="9" t="n">
        <f aca="false">L72/10</f>
        <v>0</v>
      </c>
      <c r="N32" s="23" t="b">
        <f aca="false">FALSE()</f>
        <v>0</v>
      </c>
      <c r="O32" s="9" t="n">
        <f aca="false">N72/10</f>
        <v>0</v>
      </c>
      <c r="P32" s="23" t="b">
        <f aca="false">FALSE()</f>
        <v>0</v>
      </c>
      <c r="Q32" s="9" t="n">
        <f aca="false">P72/10</f>
        <v>0</v>
      </c>
    </row>
    <row r="33" customFormat="false" ht="27" hidden="false" customHeight="true" outlineLevel="0" collapsed="false">
      <c r="A33" s="10" t="s">
        <v>39</v>
      </c>
      <c r="B33" s="11" t="str">
        <f aca="false">IFERROR(INDEX(成員名單!$B$5:$B$34,MATCH($A33,成員名單!$A$5:$A$34,0))&amp;"","")</f>
        <v/>
      </c>
      <c r="C33" s="23" t="b">
        <f aca="false">FALSE()</f>
        <v>0</v>
      </c>
      <c r="D33" s="23" t="b">
        <f aca="false">FALSE()</f>
        <v>0</v>
      </c>
      <c r="E33" s="11" t="n">
        <f aca="false">D73/10</f>
        <v>0</v>
      </c>
      <c r="F33" s="23" t="b">
        <f aca="false">FALSE()</f>
        <v>0</v>
      </c>
      <c r="G33" s="11" t="n">
        <f aca="false">F73/10</f>
        <v>0</v>
      </c>
      <c r="H33" s="23" t="b">
        <f aca="false">FALSE()</f>
        <v>0</v>
      </c>
      <c r="I33" s="11" t="n">
        <f aca="false">H73/10</f>
        <v>0</v>
      </c>
      <c r="J33" s="23" t="b">
        <f aca="false">FALSE()</f>
        <v>0</v>
      </c>
      <c r="K33" s="11" t="n">
        <f aca="false">J73/10</f>
        <v>0</v>
      </c>
      <c r="L33" s="23" t="b">
        <f aca="false">FALSE()</f>
        <v>0</v>
      </c>
      <c r="M33" s="11" t="n">
        <f aca="false">L73/10</f>
        <v>0</v>
      </c>
      <c r="N33" s="23" t="b">
        <f aca="false">FALSE()</f>
        <v>0</v>
      </c>
      <c r="O33" s="11" t="n">
        <f aca="false">N73/10</f>
        <v>0</v>
      </c>
      <c r="P33" s="23" t="b">
        <f aca="false">FALSE()</f>
        <v>0</v>
      </c>
      <c r="Q33" s="11" t="n">
        <f aca="false">P73/10</f>
        <v>0</v>
      </c>
    </row>
    <row r="34" customFormat="false" ht="27" hidden="false" customHeight="true" outlineLevel="0" collapsed="false">
      <c r="A34" s="8" t="s">
        <v>40</v>
      </c>
      <c r="B34" s="9" t="str">
        <f aca="false">IFERROR(INDEX(成員名單!$B$5:$B$34,MATCH($A34,成員名單!$A$5:$A$34,0))&amp;"","")</f>
        <v/>
      </c>
      <c r="C34" s="23" t="b">
        <f aca="false">FALSE()</f>
        <v>0</v>
      </c>
      <c r="D34" s="23" t="b">
        <f aca="false">FALSE()</f>
        <v>0</v>
      </c>
      <c r="E34" s="9" t="n">
        <f aca="false">D74/10</f>
        <v>0</v>
      </c>
      <c r="F34" s="23" t="b">
        <f aca="false">FALSE()</f>
        <v>0</v>
      </c>
      <c r="G34" s="9" t="n">
        <f aca="false">F74/10</f>
        <v>0</v>
      </c>
      <c r="H34" s="23" t="b">
        <f aca="false">FALSE()</f>
        <v>0</v>
      </c>
      <c r="I34" s="9" t="n">
        <f aca="false">H74/10</f>
        <v>0</v>
      </c>
      <c r="J34" s="23" t="b">
        <f aca="false">FALSE()</f>
        <v>0</v>
      </c>
      <c r="K34" s="9" t="n">
        <f aca="false">J74/10</f>
        <v>0</v>
      </c>
      <c r="L34" s="23" t="b">
        <f aca="false">FALSE()</f>
        <v>0</v>
      </c>
      <c r="M34" s="9" t="n">
        <f aca="false">L74/10</f>
        <v>0</v>
      </c>
      <c r="N34" s="23" t="b">
        <f aca="false">FALSE()</f>
        <v>0</v>
      </c>
      <c r="O34" s="9" t="n">
        <f aca="false">N74/10</f>
        <v>0</v>
      </c>
      <c r="P34" s="23" t="b">
        <f aca="false">FALSE()</f>
        <v>0</v>
      </c>
      <c r="Q34" s="9" t="n">
        <f aca="false">P74/10</f>
        <v>0</v>
      </c>
    </row>
    <row r="35" customFormat="false" ht="27" hidden="false" customHeight="true" outlineLevel="0" collapsed="false">
      <c r="A35" s="10" t="s">
        <v>41</v>
      </c>
      <c r="B35" s="11" t="str">
        <f aca="false">IFERROR(INDEX(成員名單!$B$5:$B$34,MATCH($A35,成員名單!$A$5:$A$34,0))&amp;"","")</f>
        <v/>
      </c>
      <c r="C35" s="23" t="b">
        <f aca="false">FALSE()</f>
        <v>0</v>
      </c>
      <c r="D35" s="23" t="b">
        <f aca="false">FALSE()</f>
        <v>0</v>
      </c>
      <c r="E35" s="11" t="n">
        <f aca="false">D75/10</f>
        <v>0</v>
      </c>
      <c r="F35" s="23" t="b">
        <f aca="false">FALSE()</f>
        <v>0</v>
      </c>
      <c r="G35" s="11" t="n">
        <f aca="false">F75/10</f>
        <v>0</v>
      </c>
      <c r="H35" s="23" t="b">
        <f aca="false">FALSE()</f>
        <v>0</v>
      </c>
      <c r="I35" s="11" t="n">
        <f aca="false">H75/10</f>
        <v>0</v>
      </c>
      <c r="J35" s="23" t="b">
        <f aca="false">FALSE()</f>
        <v>0</v>
      </c>
      <c r="K35" s="11" t="n">
        <f aca="false">J75/10</f>
        <v>0</v>
      </c>
      <c r="L35" s="23" t="b">
        <f aca="false">FALSE()</f>
        <v>0</v>
      </c>
      <c r="M35" s="11" t="n">
        <f aca="false">L75/10</f>
        <v>0</v>
      </c>
      <c r="N35" s="23" t="b">
        <f aca="false">FALSE()</f>
        <v>0</v>
      </c>
      <c r="O35" s="11" t="n">
        <f aca="false">N75/10</f>
        <v>0</v>
      </c>
      <c r="P35" s="23" t="b">
        <f aca="false">FALSE()</f>
        <v>0</v>
      </c>
      <c r="Q35" s="11" t="n">
        <f aca="false">P75/10</f>
        <v>0</v>
      </c>
    </row>
    <row r="36" customFormat="false" ht="27" hidden="false" customHeight="true" outlineLevel="0" collapsed="false">
      <c r="A36" s="8" t="s">
        <v>42</v>
      </c>
      <c r="B36" s="9" t="str">
        <f aca="false">IFERROR(INDEX(成員名單!$B$5:$B$34,MATCH($A36,成員名單!$A$5:$A$34,0))&amp;"","")</f>
        <v/>
      </c>
      <c r="C36" s="23" t="b">
        <f aca="false">FALSE()</f>
        <v>0</v>
      </c>
      <c r="D36" s="23" t="b">
        <f aca="false">FALSE()</f>
        <v>0</v>
      </c>
      <c r="E36" s="9" t="n">
        <f aca="false">D76/10</f>
        <v>0</v>
      </c>
      <c r="F36" s="23" t="b">
        <f aca="false">FALSE()</f>
        <v>0</v>
      </c>
      <c r="G36" s="9" t="n">
        <f aca="false">F76/10</f>
        <v>0</v>
      </c>
      <c r="H36" s="23" t="b">
        <f aca="false">FALSE()</f>
        <v>0</v>
      </c>
      <c r="I36" s="9" t="n">
        <f aca="false">H76/10</f>
        <v>0</v>
      </c>
      <c r="J36" s="23" t="b">
        <f aca="false">FALSE()</f>
        <v>0</v>
      </c>
      <c r="K36" s="9" t="n">
        <f aca="false">J76/10</f>
        <v>0</v>
      </c>
      <c r="L36" s="23" t="b">
        <f aca="false">FALSE()</f>
        <v>0</v>
      </c>
      <c r="M36" s="9" t="n">
        <f aca="false">L76/10</f>
        <v>0</v>
      </c>
      <c r="N36" s="23" t="b">
        <f aca="false">FALSE()</f>
        <v>0</v>
      </c>
      <c r="O36" s="9" t="n">
        <f aca="false">N76/10</f>
        <v>0</v>
      </c>
      <c r="P36" s="23" t="b">
        <f aca="false">FALSE()</f>
        <v>0</v>
      </c>
      <c r="Q36" s="9" t="n">
        <f aca="false">P76/10</f>
        <v>0</v>
      </c>
    </row>
    <row r="37" customFormat="false" ht="27" hidden="false" customHeight="true" outlineLevel="0" collapsed="false">
      <c r="A37" s="10" t="s">
        <v>43</v>
      </c>
      <c r="B37" s="11" t="str">
        <f aca="false">IFERROR(INDEX(成員名單!$B$5:$B$34,MATCH($A37,成員名單!$A$5:$A$34,0))&amp;"","")</f>
        <v/>
      </c>
      <c r="C37" s="23" t="b">
        <f aca="false">FALSE()</f>
        <v>0</v>
      </c>
      <c r="D37" s="23" t="b">
        <f aca="false">FALSE()</f>
        <v>0</v>
      </c>
      <c r="E37" s="11" t="n">
        <f aca="false">D77/10</f>
        <v>0</v>
      </c>
      <c r="F37" s="23" t="b">
        <f aca="false">FALSE()</f>
        <v>0</v>
      </c>
      <c r="G37" s="11" t="n">
        <f aca="false">F77/10</f>
        <v>0</v>
      </c>
      <c r="H37" s="23" t="b">
        <f aca="false">FALSE()</f>
        <v>0</v>
      </c>
      <c r="I37" s="11" t="n">
        <f aca="false">H77/10</f>
        <v>0</v>
      </c>
      <c r="J37" s="23" t="b">
        <f aca="false">FALSE()</f>
        <v>0</v>
      </c>
      <c r="K37" s="11" t="n">
        <f aca="false">J77/10</f>
        <v>0</v>
      </c>
      <c r="L37" s="23" t="b">
        <f aca="false">FALSE()</f>
        <v>0</v>
      </c>
      <c r="M37" s="11" t="n">
        <f aca="false">L77/10</f>
        <v>0</v>
      </c>
      <c r="N37" s="23" t="b">
        <f aca="false">FALSE()</f>
        <v>0</v>
      </c>
      <c r="O37" s="11" t="n">
        <f aca="false">N77/10</f>
        <v>0</v>
      </c>
      <c r="P37" s="23" t="b">
        <f aca="false">FALSE()</f>
        <v>0</v>
      </c>
      <c r="Q37" s="11" t="n">
        <f aca="false">P77/10</f>
        <v>0</v>
      </c>
    </row>
    <row r="38" customFormat="false" ht="27" hidden="false" customHeight="true" outlineLevel="0" collapsed="false">
      <c r="A38" s="8" t="s">
        <v>44</v>
      </c>
      <c r="B38" s="9" t="str">
        <f aca="false">IFERROR(INDEX(成員名單!$B$5:$B$34,MATCH($A38,成員名單!$A$5:$A$34,0))&amp;"","")</f>
        <v/>
      </c>
      <c r="C38" s="23" t="b">
        <f aca="false">FALSE()</f>
        <v>0</v>
      </c>
      <c r="D38" s="23" t="b">
        <f aca="false">FALSE()</f>
        <v>0</v>
      </c>
      <c r="E38" s="9" t="n">
        <f aca="false">D78/10</f>
        <v>0</v>
      </c>
      <c r="F38" s="23" t="b">
        <f aca="false">FALSE()</f>
        <v>0</v>
      </c>
      <c r="G38" s="9" t="n">
        <f aca="false">F78/10</f>
        <v>0</v>
      </c>
      <c r="H38" s="23" t="b">
        <f aca="false">FALSE()</f>
        <v>0</v>
      </c>
      <c r="I38" s="9" t="n">
        <f aca="false">H78/10</f>
        <v>0</v>
      </c>
      <c r="J38" s="23" t="b">
        <f aca="false">FALSE()</f>
        <v>0</v>
      </c>
      <c r="K38" s="9" t="n">
        <f aca="false">J78/10</f>
        <v>0</v>
      </c>
      <c r="L38" s="23" t="b">
        <f aca="false">FALSE()</f>
        <v>0</v>
      </c>
      <c r="M38" s="9" t="n">
        <f aca="false">L78/10</f>
        <v>0</v>
      </c>
      <c r="N38" s="23" t="b">
        <f aca="false">FALSE()</f>
        <v>0</v>
      </c>
      <c r="O38" s="9" t="n">
        <f aca="false">N78/10</f>
        <v>0</v>
      </c>
      <c r="P38" s="23" t="b">
        <f aca="false">FALSE()</f>
        <v>0</v>
      </c>
      <c r="Q38" s="9" t="n">
        <f aca="false">P78/10</f>
        <v>0</v>
      </c>
    </row>
    <row r="39" customFormat="false" ht="27" hidden="false" customHeight="true" outlineLevel="0" collapsed="false">
      <c r="A39" s="10" t="s">
        <v>45</v>
      </c>
      <c r="B39" s="11" t="str">
        <f aca="false">IFERROR(INDEX(成員名單!$B$5:$B$34,MATCH($A39,成員名單!$A$5:$A$34,0))&amp;"","")</f>
        <v/>
      </c>
      <c r="C39" s="23" t="b">
        <f aca="false">FALSE()</f>
        <v>0</v>
      </c>
      <c r="D39" s="23" t="b">
        <f aca="false">FALSE()</f>
        <v>0</v>
      </c>
      <c r="E39" s="11" t="n">
        <f aca="false">D79/10</f>
        <v>0</v>
      </c>
      <c r="F39" s="23" t="b">
        <f aca="false">FALSE()</f>
        <v>0</v>
      </c>
      <c r="G39" s="11" t="n">
        <f aca="false">F79/10</f>
        <v>0</v>
      </c>
      <c r="H39" s="23" t="b">
        <f aca="false">FALSE()</f>
        <v>0</v>
      </c>
      <c r="I39" s="11" t="n">
        <f aca="false">H79/10</f>
        <v>0</v>
      </c>
      <c r="J39" s="23" t="b">
        <f aca="false">FALSE()</f>
        <v>0</v>
      </c>
      <c r="K39" s="11" t="n">
        <f aca="false">J79/10</f>
        <v>0</v>
      </c>
      <c r="L39" s="23" t="b">
        <f aca="false">FALSE()</f>
        <v>0</v>
      </c>
      <c r="M39" s="11" t="n">
        <f aca="false">L79/10</f>
        <v>0</v>
      </c>
      <c r="N39" s="23" t="b">
        <f aca="false">FALSE()</f>
        <v>0</v>
      </c>
      <c r="O39" s="11" t="n">
        <f aca="false">N79/10</f>
        <v>0</v>
      </c>
      <c r="P39" s="23" t="b">
        <f aca="false">FALSE()</f>
        <v>0</v>
      </c>
      <c r="Q39" s="11" t="n">
        <f aca="false">P79/10</f>
        <v>0</v>
      </c>
    </row>
    <row r="40" customFormat="false" ht="27" hidden="false" customHeight="true" outlineLevel="0" collapsed="false">
      <c r="A40" s="8" t="s">
        <v>46</v>
      </c>
      <c r="B40" s="9" t="str">
        <f aca="false">IFERROR(INDEX(成員名單!$B$5:$B$34,MATCH($A40,成員名單!$A$5:$A$34,0))&amp;"","")</f>
        <v/>
      </c>
      <c r="C40" s="23" t="b">
        <f aca="false">FALSE()</f>
        <v>0</v>
      </c>
      <c r="D40" s="23" t="b">
        <f aca="false">FALSE()</f>
        <v>0</v>
      </c>
      <c r="E40" s="9" t="n">
        <f aca="false">D80/10</f>
        <v>0</v>
      </c>
      <c r="F40" s="23" t="b">
        <f aca="false">FALSE()</f>
        <v>0</v>
      </c>
      <c r="G40" s="9" t="n">
        <f aca="false">F80/10</f>
        <v>0</v>
      </c>
      <c r="H40" s="23" t="b">
        <f aca="false">FALSE()</f>
        <v>0</v>
      </c>
      <c r="I40" s="9" t="n">
        <f aca="false">H80/10</f>
        <v>0</v>
      </c>
      <c r="J40" s="23" t="b">
        <f aca="false">FALSE()</f>
        <v>0</v>
      </c>
      <c r="K40" s="9" t="n">
        <f aca="false">J80/10</f>
        <v>0</v>
      </c>
      <c r="L40" s="23" t="b">
        <f aca="false">FALSE()</f>
        <v>0</v>
      </c>
      <c r="M40" s="9" t="n">
        <f aca="false">L80/10</f>
        <v>0</v>
      </c>
      <c r="N40" s="23" t="b">
        <f aca="false">FALSE()</f>
        <v>0</v>
      </c>
      <c r="O40" s="9" t="n">
        <f aca="false">N80/10</f>
        <v>0</v>
      </c>
      <c r="P40" s="23" t="b">
        <f aca="false">FALSE()</f>
        <v>0</v>
      </c>
      <c r="Q40" s="9" t="n">
        <f aca="false">P80/10</f>
        <v>0</v>
      </c>
    </row>
    <row r="41" customFormat="false" ht="27" hidden="false" customHeight="true" outlineLevel="0" collapsed="false">
      <c r="A41" s="10" t="s">
        <v>47</v>
      </c>
      <c r="B41" s="11" t="str">
        <f aca="false">IFERROR(INDEX(成員名單!$B$5:$B$34,MATCH($A41,成員名單!$A$5:$A$34,0))&amp;"","")</f>
        <v/>
      </c>
      <c r="C41" s="23" t="b">
        <f aca="false">FALSE()</f>
        <v>0</v>
      </c>
      <c r="D41" s="23" t="b">
        <f aca="false">FALSE()</f>
        <v>0</v>
      </c>
      <c r="E41" s="11" t="n">
        <f aca="false">D81/10</f>
        <v>0</v>
      </c>
      <c r="F41" s="23" t="b">
        <f aca="false">FALSE()</f>
        <v>0</v>
      </c>
      <c r="G41" s="11" t="n">
        <f aca="false">F81/10</f>
        <v>0</v>
      </c>
      <c r="H41" s="23" t="b">
        <f aca="false">FALSE()</f>
        <v>0</v>
      </c>
      <c r="I41" s="11" t="n">
        <f aca="false">H81/10</f>
        <v>0</v>
      </c>
      <c r="J41" s="23" t="b">
        <f aca="false">FALSE()</f>
        <v>0</v>
      </c>
      <c r="K41" s="11" t="n">
        <f aca="false">J81/10</f>
        <v>0</v>
      </c>
      <c r="L41" s="23" t="b">
        <f aca="false">FALSE()</f>
        <v>0</v>
      </c>
      <c r="M41" s="11" t="n">
        <f aca="false">L81/10</f>
        <v>0</v>
      </c>
      <c r="N41" s="23" t="b">
        <f aca="false">FALSE()</f>
        <v>0</v>
      </c>
      <c r="O41" s="11" t="n">
        <f aca="false">N81/10</f>
        <v>0</v>
      </c>
      <c r="P41" s="23" t="b">
        <f aca="false">FALSE()</f>
        <v>0</v>
      </c>
      <c r="Q41" s="11" t="n">
        <f aca="false">P81/10</f>
        <v>0</v>
      </c>
    </row>
    <row r="42" customFormat="false" ht="27" hidden="false" customHeight="true" outlineLevel="0" collapsed="false">
      <c r="A42" s="12"/>
      <c r="B42" s="8" t="s">
        <v>88</v>
      </c>
      <c r="C42" s="12"/>
      <c r="D42" s="12"/>
      <c r="E42" s="9" t="n">
        <f aca="false">D51/10</f>
        <v>0</v>
      </c>
      <c r="F42" s="12"/>
      <c r="G42" s="9" t="n">
        <f aca="false">F51/10</f>
        <v>0</v>
      </c>
      <c r="H42" s="12"/>
      <c r="I42" s="9" t="n">
        <f aca="false">H51/10</f>
        <v>0</v>
      </c>
      <c r="J42" s="12"/>
      <c r="K42" s="9" t="n">
        <f aca="false">J51/10</f>
        <v>0</v>
      </c>
      <c r="L42" s="12"/>
      <c r="M42" s="9" t="n">
        <f aca="false">L51/10</f>
        <v>0</v>
      </c>
      <c r="N42" s="12"/>
      <c r="O42" s="9" t="n">
        <f aca="false">N51/10</f>
        <v>0</v>
      </c>
      <c r="P42" s="12"/>
      <c r="Q42" s="9" t="n">
        <f aca="false">P51/10</f>
        <v>0</v>
      </c>
    </row>
    <row r="46" customFormat="false" ht="15" hidden="true" customHeight="false" outlineLevel="0" collapsed="false">
      <c r="D46" s="14" t="n">
        <f aca="false">IFERROR(IF(D$47,ROUND(D$6*10,0),0),0)</f>
        <v>0</v>
      </c>
      <c r="F46" s="14" t="n">
        <f aca="false">IFERROR(IF(F$47,ROUND(F$6*10,0),0),0)</f>
        <v>0</v>
      </c>
      <c r="H46" s="14" t="n">
        <f aca="false">IFERROR(IF(H$47,ROUND(H$6*10,0),0),0)</f>
        <v>0</v>
      </c>
      <c r="J46" s="14" t="n">
        <f aca="false">IFERROR(IF(J$47,ROUND(J$6*10,0),0),0)</f>
        <v>0</v>
      </c>
      <c r="L46" s="14" t="n">
        <f aca="false">IFERROR(IF(L$47,ROUND(L$6*10,0),0),0)</f>
        <v>0</v>
      </c>
      <c r="N46" s="14" t="n">
        <f aca="false">IFERROR(IF(N$47,ROUND(N$6*10,0),0),0)</f>
        <v>0</v>
      </c>
      <c r="P46" s="14" t="n">
        <f aca="false">IFERROR(IF(P$47,ROUND(P$6*10,0),0),0)</f>
        <v>0</v>
      </c>
    </row>
    <row r="47" customFormat="false" ht="15" hidden="true" customHeight="false" outlineLevel="0" collapsed="false">
      <c r="D47" s="14" t="n">
        <f aca="false">IF(LEN(TRIM(D$6&amp;""))=0,TRUE(),IFERROR(AND(ISNUMBER(D$6),D$6&gt;=0,D$6&lt;=100000000,ROUND(D$6,1)=D$6),FALSE()))</f>
        <v>1</v>
      </c>
      <c r="F47" s="14" t="n">
        <f aca="false">IF(LEN(TRIM(F$6&amp;""))=0,TRUE(),IFERROR(AND(ISNUMBER(F$6),F$6&gt;=0,F$6&lt;=100000000,ROUND(F$6,1)=F$6),FALSE()))</f>
        <v>1</v>
      </c>
      <c r="H47" s="14" t="n">
        <f aca="false">IF(LEN(TRIM(H$6&amp;""))=0,TRUE(),IFERROR(AND(ISNUMBER(H$6),H$6&gt;=0,H$6&lt;=100000000,ROUND(H$6,1)=H$6),FALSE()))</f>
        <v>1</v>
      </c>
      <c r="J47" s="14" t="n">
        <f aca="false">IF(LEN(TRIM(J$6&amp;""))=0,TRUE(),IFERROR(AND(ISNUMBER(J$6),J$6&gt;=0,J$6&lt;=100000000,ROUND(J$6,1)=J$6),FALSE()))</f>
        <v>1</v>
      </c>
      <c r="L47" s="14" t="n">
        <f aca="false">IF(LEN(TRIM(L$6&amp;""))=0,TRUE(),IFERROR(AND(ISNUMBER(L$6),L$6&gt;=0,L$6&lt;=100000000,ROUND(L$6,1)=L$6),FALSE()))</f>
        <v>1</v>
      </c>
      <c r="N47" s="14" t="n">
        <f aca="false">IF(LEN(TRIM(N$6&amp;""))=0,TRUE(),IFERROR(AND(ISNUMBER(N$6),N$6&gt;=0,N$6&lt;=100000000,ROUND(N$6,1)=N$6),FALSE()))</f>
        <v>1</v>
      </c>
      <c r="P47" s="14" t="n">
        <f aca="false">IF(LEN(TRIM(P$6&amp;""))=0,TRUE(),IFERROR(AND(ISNUMBER(P$6),P$6&gt;=0,P$6&lt;=100000000,ROUND(P$6,1)=P$6),FALSE()))</f>
        <v>1</v>
      </c>
    </row>
    <row r="48" customFormat="false" ht="15" hidden="true" customHeight="false" outlineLevel="0" collapsed="false">
      <c r="D48" s="14" t="n">
        <f aca="false">IF(D$50,IF(AND($C$3=TRUE(),$C$49&gt;0),SUMPRODUCT(--(LEN(TRIM($B$12:$B$41))&gt;0),--(D$12:D$41=TRUE()),--($C$12:$C$41&lt;&gt;TRUE())),0),SUMPRODUCT(--(LEN(TRIM($B$12:$B$41))&gt;0),--(D$12:D$41=TRUE())))</f>
        <v>0</v>
      </c>
      <c r="F48" s="14" t="n">
        <f aca="false">IF(F$50,IF(AND($C$3=TRUE(),$C$49&gt;0),SUMPRODUCT(--(LEN(TRIM($B$12:$B$41))&gt;0),--(F$12:F$41=TRUE()),--($C$12:$C$41&lt;&gt;TRUE())),0),SUMPRODUCT(--(LEN(TRIM($B$12:$B$41))&gt;0),--(F$12:F$41=TRUE())))</f>
        <v>0</v>
      </c>
      <c r="H48" s="14" t="n">
        <f aca="false">IF(H$50,IF(AND($C$3=TRUE(),$C$49&gt;0),SUMPRODUCT(--(LEN(TRIM($B$12:$B$41))&gt;0),--(H$12:H$41=TRUE()),--($C$12:$C$41&lt;&gt;TRUE())),0),SUMPRODUCT(--(LEN(TRIM($B$12:$B$41))&gt;0),--(H$12:H$41=TRUE())))</f>
        <v>0</v>
      </c>
      <c r="J48" s="14" t="n">
        <f aca="false">IF(J$50,IF(AND($C$3=TRUE(),$C$49&gt;0),SUMPRODUCT(--(LEN(TRIM($B$12:$B$41))&gt;0),--(J$12:J$41=TRUE()),--($C$12:$C$41&lt;&gt;TRUE())),0),SUMPRODUCT(--(LEN(TRIM($B$12:$B$41))&gt;0),--(J$12:J$41=TRUE())))</f>
        <v>0</v>
      </c>
      <c r="L48" s="14" t="n">
        <f aca="false">IF(L$50,IF(AND($C$3=TRUE(),$C$49&gt;0),SUMPRODUCT(--(LEN(TRIM($B$12:$B$41))&gt;0),--(L$12:L$41=TRUE()),--($C$12:$C$41&lt;&gt;TRUE())),0),SUMPRODUCT(--(LEN(TRIM($B$12:$B$41))&gt;0),--(L$12:L$41=TRUE())))</f>
        <v>0</v>
      </c>
      <c r="N48" s="14" t="n">
        <f aca="false">IF(N$50,IF(AND($C$3=TRUE(),$C$49&gt;0),SUMPRODUCT(--(LEN(TRIM($B$12:$B$41))&gt;0),--(N$12:N$41=TRUE()),--($C$12:$C$41&lt;&gt;TRUE())),0),SUMPRODUCT(--(LEN(TRIM($B$12:$B$41))&gt;0),--(N$12:N$41=TRUE())))</f>
        <v>0</v>
      </c>
      <c r="P48" s="14" t="n">
        <f aca="false">IF(P$50,IF(AND($C$3=TRUE(),$C$49&gt;0),SUMPRODUCT(--(LEN(TRIM($B$12:$B$41))&gt;0),--(P$12:P$41=TRUE()),--($C$12:$C$41&lt;&gt;TRUE())),0),SUMPRODUCT(--(LEN(TRIM($B$12:$B$41))&gt;0),--(P$12:P$41=TRUE())))</f>
        <v>0</v>
      </c>
    </row>
    <row r="49" customFormat="false" ht="15" hidden="true" customHeight="false" outlineLevel="0" collapsed="false">
      <c r="C49" s="14" t="n">
        <f aca="false">SUMPRODUCT(--(LEN(TRIM($B$12:$B$41))&gt;0),--($C$12:$C$41=TRUE()))</f>
        <v>0</v>
      </c>
    </row>
    <row r="50" customFormat="false" ht="15" hidden="true" customHeight="false" outlineLevel="0" collapsed="false">
      <c r="D50" s="14" t="n">
        <f aca="false">OR(D$5="油錢",D$5="租車費")</f>
        <v>0</v>
      </c>
      <c r="F50" s="14" t="n">
        <f aca="false">OR(F$5="油錢",F$5="租車費")</f>
        <v>0</v>
      </c>
      <c r="H50" s="14" t="n">
        <f aca="false">OR(H$5="油錢",H$5="租車費")</f>
        <v>0</v>
      </c>
      <c r="J50" s="14" t="n">
        <f aca="false">OR(J$5="油錢",J$5="租車費")</f>
        <v>1</v>
      </c>
      <c r="L50" s="14" t="n">
        <f aca="false">OR(L$5="油錢",L$5="租車費")</f>
        <v>1</v>
      </c>
      <c r="N50" s="14" t="n">
        <f aca="false">OR(N$5="油錢",N$5="租車費")</f>
        <v>0</v>
      </c>
      <c r="P50" s="14" t="n">
        <f aca="false">OR(P$5="油錢",P$5="租車費")</f>
        <v>0</v>
      </c>
    </row>
    <row r="51" customFormat="false" ht="15" hidden="true" customHeight="false" outlineLevel="0" collapsed="false">
      <c r="D51" s="14" t="n">
        <f aca="false">SUM(D52:D81)</f>
        <v>0</v>
      </c>
      <c r="F51" s="14" t="n">
        <f aca="false">SUM(F52:F81)</f>
        <v>0</v>
      </c>
      <c r="H51" s="14" t="n">
        <f aca="false">SUM(H52:H81)</f>
        <v>0</v>
      </c>
      <c r="J51" s="14" t="n">
        <f aca="false">SUM(J52:J81)</f>
        <v>0</v>
      </c>
      <c r="L51" s="14" t="n">
        <f aca="false">SUM(L52:L81)</f>
        <v>0</v>
      </c>
      <c r="N51" s="14" t="n">
        <f aca="false">SUM(N52:N81)</f>
        <v>0</v>
      </c>
      <c r="P51" s="14" t="n">
        <f aca="false">SUM(P52:P81)</f>
        <v>0</v>
      </c>
    </row>
    <row r="52" customFormat="false" ht="15" hidden="true" customHeight="false" outlineLevel="0" collapsed="false">
      <c r="A52" s="13" t="s">
        <v>18</v>
      </c>
      <c r="D52" s="14" t="n">
        <f aca="false">IF(AND(D$47,D$48&gt;0,LEN(TRIM($B12))&gt;0,D12=TRUE(),IF(D$50,$C12&lt;&gt;TRUE(),TRUE())),QUOTIENT(D$46,MAX(1,D$48))+IF(IF(D$50,SUMPRODUCT(--(LEN(TRIM($B$12:$B12))&gt;0),--(D$12:D12=TRUE()),--($C$12:$C12&lt;&gt;TRUE())),SUMPRODUCT(--(LEN(TRIM($B$12:$B12))&gt;0),--(D$12:D12=TRUE())))&lt;=MOD(D$46,MAX(1,D$48)),1,0),0)</f>
        <v>0</v>
      </c>
      <c r="F52" s="14" t="n">
        <f aca="false">IF(AND(F$47,F$48&gt;0,LEN(TRIM($B12))&gt;0,F12=TRUE(),IF(F$50,$C12&lt;&gt;TRUE(),TRUE())),QUOTIENT(F$46,MAX(1,F$48))+IF(IF(F$50,SUMPRODUCT(--(LEN(TRIM($B$12:$B12))&gt;0),--(F$12:F12=TRUE()),--($C$12:$C12&lt;&gt;TRUE())),SUMPRODUCT(--(LEN(TRIM($B$12:$B12))&gt;0),--(F$12:F12=TRUE())))&lt;=MOD(F$46,MAX(1,F$48)),1,0),0)</f>
        <v>0</v>
      </c>
      <c r="H52" s="14" t="n">
        <f aca="false">IF(AND(H$47,H$48&gt;0,LEN(TRIM($B12))&gt;0,H12=TRUE(),IF(H$50,$C12&lt;&gt;TRUE(),TRUE())),QUOTIENT(H$46,MAX(1,H$48))+IF(IF(H$50,SUMPRODUCT(--(LEN(TRIM($B$12:$B12))&gt;0),--(H$12:H12=TRUE()),--($C$12:$C12&lt;&gt;TRUE())),SUMPRODUCT(--(LEN(TRIM($B$12:$B12))&gt;0),--(H$12:H12=TRUE())))&lt;=MOD(H$46,MAX(1,H$48)),1,0),0)</f>
        <v>0</v>
      </c>
      <c r="J52" s="14" t="n">
        <f aca="false">IF(AND(J$47,J$48&gt;0,LEN(TRIM($B12))&gt;0,J12=TRUE(),IF(J$50,$C12&lt;&gt;TRUE(),TRUE())),QUOTIENT(J$46,MAX(1,J$48))+IF(IF(J$50,SUMPRODUCT(--(LEN(TRIM($B$12:$B12))&gt;0),--(J$12:J12=TRUE()),--($C$12:$C12&lt;&gt;TRUE())),SUMPRODUCT(--(LEN(TRIM($B$12:$B12))&gt;0),--(J$12:J12=TRUE())))&lt;=MOD(J$46,MAX(1,J$48)),1,0),0)</f>
        <v>0</v>
      </c>
      <c r="L52" s="14" t="n">
        <f aca="false">IF(AND(L$47,L$48&gt;0,LEN(TRIM($B12))&gt;0,L12=TRUE(),IF(L$50,$C12&lt;&gt;TRUE(),TRUE())),QUOTIENT(L$46,MAX(1,L$48))+IF(IF(L$50,SUMPRODUCT(--(LEN(TRIM($B$12:$B12))&gt;0),--(L$12:L12=TRUE()),--($C$12:$C12&lt;&gt;TRUE())),SUMPRODUCT(--(LEN(TRIM($B$12:$B12))&gt;0),--(L$12:L12=TRUE())))&lt;=MOD(L$46,MAX(1,L$48)),1,0),0)</f>
        <v>0</v>
      </c>
      <c r="N52" s="14" t="n">
        <f aca="false">IF(AND(N$47,N$48&gt;0,LEN(TRIM($B12))&gt;0,N12=TRUE(),IF(N$50,$C12&lt;&gt;TRUE(),TRUE())),QUOTIENT(N$46,MAX(1,N$48))+IF(IF(N$50,SUMPRODUCT(--(LEN(TRIM($B$12:$B12))&gt;0),--(N$12:N12=TRUE()),--($C$12:$C12&lt;&gt;TRUE())),SUMPRODUCT(--(LEN(TRIM($B$12:$B12))&gt;0),--(N$12:N12=TRUE())))&lt;=MOD(N$46,MAX(1,N$48)),1,0),0)</f>
        <v>0</v>
      </c>
      <c r="P52" s="14" t="n">
        <f aca="false">IF(AND(P$47,P$48&gt;0,LEN(TRIM($B12))&gt;0,P12=TRUE(),IF(P$50,$C12&lt;&gt;TRUE(),TRUE())),QUOTIENT(P$46,MAX(1,P$48))+IF(IF(P$50,SUMPRODUCT(--(LEN(TRIM($B$12:$B12))&gt;0),--(P$12:P12=TRUE()),--($C$12:$C12&lt;&gt;TRUE())),SUMPRODUCT(--(LEN(TRIM($B$12:$B12))&gt;0),--(P$12:P12=TRUE())))&lt;=MOD(P$46,MAX(1,P$48)),1,0),0)</f>
        <v>0</v>
      </c>
    </row>
    <row r="53" customFormat="false" ht="15" hidden="true" customHeight="false" outlineLevel="0" collapsed="false">
      <c r="A53" s="13" t="s">
        <v>19</v>
      </c>
      <c r="D53" s="14" t="n">
        <f aca="false">IF(AND(D$47,D$48&gt;0,LEN(TRIM($B13))&gt;0,D13=TRUE(),IF(D$50,$C13&lt;&gt;TRUE(),TRUE())),QUOTIENT(D$46,MAX(1,D$48))+IF(IF(D$50,SUMPRODUCT(--(LEN(TRIM($B$12:$B13))&gt;0),--(D$12:D13=TRUE()),--($C$12:$C13&lt;&gt;TRUE())),SUMPRODUCT(--(LEN(TRIM($B$12:$B13))&gt;0),--(D$12:D13=TRUE())))&lt;=MOD(D$46,MAX(1,D$48)),1,0),0)</f>
        <v>0</v>
      </c>
      <c r="F53" s="14" t="n">
        <f aca="false">IF(AND(F$47,F$48&gt;0,LEN(TRIM($B13))&gt;0,F13=TRUE(),IF(F$50,$C13&lt;&gt;TRUE(),TRUE())),QUOTIENT(F$46,MAX(1,F$48))+IF(IF(F$50,SUMPRODUCT(--(LEN(TRIM($B$12:$B13))&gt;0),--(F$12:F13=TRUE()),--($C$12:$C13&lt;&gt;TRUE())),SUMPRODUCT(--(LEN(TRIM($B$12:$B13))&gt;0),--(F$12:F13=TRUE())))&lt;=MOD(F$46,MAX(1,F$48)),1,0),0)</f>
        <v>0</v>
      </c>
      <c r="H53" s="14" t="n">
        <f aca="false">IF(AND(H$47,H$48&gt;0,LEN(TRIM($B13))&gt;0,H13=TRUE(),IF(H$50,$C13&lt;&gt;TRUE(),TRUE())),QUOTIENT(H$46,MAX(1,H$48))+IF(IF(H$50,SUMPRODUCT(--(LEN(TRIM($B$12:$B13))&gt;0),--(H$12:H13=TRUE()),--($C$12:$C13&lt;&gt;TRUE())),SUMPRODUCT(--(LEN(TRIM($B$12:$B13))&gt;0),--(H$12:H13=TRUE())))&lt;=MOD(H$46,MAX(1,H$48)),1,0),0)</f>
        <v>0</v>
      </c>
      <c r="J53" s="14" t="n">
        <f aca="false">IF(AND(J$47,J$48&gt;0,LEN(TRIM($B13))&gt;0,J13=TRUE(),IF(J$50,$C13&lt;&gt;TRUE(),TRUE())),QUOTIENT(J$46,MAX(1,J$48))+IF(IF(J$50,SUMPRODUCT(--(LEN(TRIM($B$12:$B13))&gt;0),--(J$12:J13=TRUE()),--($C$12:$C13&lt;&gt;TRUE())),SUMPRODUCT(--(LEN(TRIM($B$12:$B13))&gt;0),--(J$12:J13=TRUE())))&lt;=MOD(J$46,MAX(1,J$48)),1,0),0)</f>
        <v>0</v>
      </c>
      <c r="L53" s="14" t="n">
        <f aca="false">IF(AND(L$47,L$48&gt;0,LEN(TRIM($B13))&gt;0,L13=TRUE(),IF(L$50,$C13&lt;&gt;TRUE(),TRUE())),QUOTIENT(L$46,MAX(1,L$48))+IF(IF(L$50,SUMPRODUCT(--(LEN(TRIM($B$12:$B13))&gt;0),--(L$12:L13=TRUE()),--($C$12:$C13&lt;&gt;TRUE())),SUMPRODUCT(--(LEN(TRIM($B$12:$B13))&gt;0),--(L$12:L13=TRUE())))&lt;=MOD(L$46,MAX(1,L$48)),1,0),0)</f>
        <v>0</v>
      </c>
      <c r="N53" s="14" t="n">
        <f aca="false">IF(AND(N$47,N$48&gt;0,LEN(TRIM($B13))&gt;0,N13=TRUE(),IF(N$50,$C13&lt;&gt;TRUE(),TRUE())),QUOTIENT(N$46,MAX(1,N$48))+IF(IF(N$50,SUMPRODUCT(--(LEN(TRIM($B$12:$B13))&gt;0),--(N$12:N13=TRUE()),--($C$12:$C13&lt;&gt;TRUE())),SUMPRODUCT(--(LEN(TRIM($B$12:$B13))&gt;0),--(N$12:N13=TRUE())))&lt;=MOD(N$46,MAX(1,N$48)),1,0),0)</f>
        <v>0</v>
      </c>
      <c r="P53" s="14" t="n">
        <f aca="false">IF(AND(P$47,P$48&gt;0,LEN(TRIM($B13))&gt;0,P13=TRUE(),IF(P$50,$C13&lt;&gt;TRUE(),TRUE())),QUOTIENT(P$46,MAX(1,P$48))+IF(IF(P$50,SUMPRODUCT(--(LEN(TRIM($B$12:$B13))&gt;0),--(P$12:P13=TRUE()),--($C$12:$C13&lt;&gt;TRUE())),SUMPRODUCT(--(LEN(TRIM($B$12:$B13))&gt;0),--(P$12:P13=TRUE())))&lt;=MOD(P$46,MAX(1,P$48)),1,0),0)</f>
        <v>0</v>
      </c>
    </row>
    <row r="54" customFormat="false" ht="15" hidden="true" customHeight="false" outlineLevel="0" collapsed="false">
      <c r="A54" s="13" t="s">
        <v>20</v>
      </c>
      <c r="D54" s="14" t="n">
        <f aca="false">IF(AND(D$47,D$48&gt;0,LEN(TRIM($B14))&gt;0,D14=TRUE(),IF(D$50,$C14&lt;&gt;TRUE(),TRUE())),QUOTIENT(D$46,MAX(1,D$48))+IF(IF(D$50,SUMPRODUCT(--(LEN(TRIM($B$12:$B14))&gt;0),--(D$12:D14=TRUE()),--($C$12:$C14&lt;&gt;TRUE())),SUMPRODUCT(--(LEN(TRIM($B$12:$B14))&gt;0),--(D$12:D14=TRUE())))&lt;=MOD(D$46,MAX(1,D$48)),1,0),0)</f>
        <v>0</v>
      </c>
      <c r="F54" s="14" t="n">
        <f aca="false">IF(AND(F$47,F$48&gt;0,LEN(TRIM($B14))&gt;0,F14=TRUE(),IF(F$50,$C14&lt;&gt;TRUE(),TRUE())),QUOTIENT(F$46,MAX(1,F$48))+IF(IF(F$50,SUMPRODUCT(--(LEN(TRIM($B$12:$B14))&gt;0),--(F$12:F14=TRUE()),--($C$12:$C14&lt;&gt;TRUE())),SUMPRODUCT(--(LEN(TRIM($B$12:$B14))&gt;0),--(F$12:F14=TRUE())))&lt;=MOD(F$46,MAX(1,F$48)),1,0),0)</f>
        <v>0</v>
      </c>
      <c r="H54" s="14" t="n">
        <f aca="false">IF(AND(H$47,H$48&gt;0,LEN(TRIM($B14))&gt;0,H14=TRUE(),IF(H$50,$C14&lt;&gt;TRUE(),TRUE())),QUOTIENT(H$46,MAX(1,H$48))+IF(IF(H$50,SUMPRODUCT(--(LEN(TRIM($B$12:$B14))&gt;0),--(H$12:H14=TRUE()),--($C$12:$C14&lt;&gt;TRUE())),SUMPRODUCT(--(LEN(TRIM($B$12:$B14))&gt;0),--(H$12:H14=TRUE())))&lt;=MOD(H$46,MAX(1,H$48)),1,0),0)</f>
        <v>0</v>
      </c>
      <c r="J54" s="14" t="n">
        <f aca="false">IF(AND(J$47,J$48&gt;0,LEN(TRIM($B14))&gt;0,J14=TRUE(),IF(J$50,$C14&lt;&gt;TRUE(),TRUE())),QUOTIENT(J$46,MAX(1,J$48))+IF(IF(J$50,SUMPRODUCT(--(LEN(TRIM($B$12:$B14))&gt;0),--(J$12:J14=TRUE()),--($C$12:$C14&lt;&gt;TRUE())),SUMPRODUCT(--(LEN(TRIM($B$12:$B14))&gt;0),--(J$12:J14=TRUE())))&lt;=MOD(J$46,MAX(1,J$48)),1,0),0)</f>
        <v>0</v>
      </c>
      <c r="L54" s="14" t="n">
        <f aca="false">IF(AND(L$47,L$48&gt;0,LEN(TRIM($B14))&gt;0,L14=TRUE(),IF(L$50,$C14&lt;&gt;TRUE(),TRUE())),QUOTIENT(L$46,MAX(1,L$48))+IF(IF(L$50,SUMPRODUCT(--(LEN(TRIM($B$12:$B14))&gt;0),--(L$12:L14=TRUE()),--($C$12:$C14&lt;&gt;TRUE())),SUMPRODUCT(--(LEN(TRIM($B$12:$B14))&gt;0),--(L$12:L14=TRUE())))&lt;=MOD(L$46,MAX(1,L$48)),1,0),0)</f>
        <v>0</v>
      </c>
      <c r="N54" s="14" t="n">
        <f aca="false">IF(AND(N$47,N$48&gt;0,LEN(TRIM($B14))&gt;0,N14=TRUE(),IF(N$50,$C14&lt;&gt;TRUE(),TRUE())),QUOTIENT(N$46,MAX(1,N$48))+IF(IF(N$50,SUMPRODUCT(--(LEN(TRIM($B$12:$B14))&gt;0),--(N$12:N14=TRUE()),--($C$12:$C14&lt;&gt;TRUE())),SUMPRODUCT(--(LEN(TRIM($B$12:$B14))&gt;0),--(N$12:N14=TRUE())))&lt;=MOD(N$46,MAX(1,N$48)),1,0),0)</f>
        <v>0</v>
      </c>
      <c r="P54" s="14" t="n">
        <f aca="false">IF(AND(P$47,P$48&gt;0,LEN(TRIM($B14))&gt;0,P14=TRUE(),IF(P$50,$C14&lt;&gt;TRUE(),TRUE())),QUOTIENT(P$46,MAX(1,P$48))+IF(IF(P$50,SUMPRODUCT(--(LEN(TRIM($B$12:$B14))&gt;0),--(P$12:P14=TRUE()),--($C$12:$C14&lt;&gt;TRUE())),SUMPRODUCT(--(LEN(TRIM($B$12:$B14))&gt;0),--(P$12:P14=TRUE())))&lt;=MOD(P$46,MAX(1,P$48)),1,0),0)</f>
        <v>0</v>
      </c>
    </row>
    <row r="55" customFormat="false" ht="15" hidden="true" customHeight="false" outlineLevel="0" collapsed="false">
      <c r="A55" s="13" t="s">
        <v>21</v>
      </c>
      <c r="D55" s="14" t="n">
        <f aca="false">IF(AND(D$47,D$48&gt;0,LEN(TRIM($B15))&gt;0,D15=TRUE(),IF(D$50,$C15&lt;&gt;TRUE(),TRUE())),QUOTIENT(D$46,MAX(1,D$48))+IF(IF(D$50,SUMPRODUCT(--(LEN(TRIM($B$12:$B15))&gt;0),--(D$12:D15=TRUE()),--($C$12:$C15&lt;&gt;TRUE())),SUMPRODUCT(--(LEN(TRIM($B$12:$B15))&gt;0),--(D$12:D15=TRUE())))&lt;=MOD(D$46,MAX(1,D$48)),1,0),0)</f>
        <v>0</v>
      </c>
      <c r="F55" s="14" t="n">
        <f aca="false">IF(AND(F$47,F$48&gt;0,LEN(TRIM($B15))&gt;0,F15=TRUE(),IF(F$50,$C15&lt;&gt;TRUE(),TRUE())),QUOTIENT(F$46,MAX(1,F$48))+IF(IF(F$50,SUMPRODUCT(--(LEN(TRIM($B$12:$B15))&gt;0),--(F$12:F15=TRUE()),--($C$12:$C15&lt;&gt;TRUE())),SUMPRODUCT(--(LEN(TRIM($B$12:$B15))&gt;0),--(F$12:F15=TRUE())))&lt;=MOD(F$46,MAX(1,F$48)),1,0),0)</f>
        <v>0</v>
      </c>
      <c r="H55" s="14" t="n">
        <f aca="false">IF(AND(H$47,H$48&gt;0,LEN(TRIM($B15))&gt;0,H15=TRUE(),IF(H$50,$C15&lt;&gt;TRUE(),TRUE())),QUOTIENT(H$46,MAX(1,H$48))+IF(IF(H$50,SUMPRODUCT(--(LEN(TRIM($B$12:$B15))&gt;0),--(H$12:H15=TRUE()),--($C$12:$C15&lt;&gt;TRUE())),SUMPRODUCT(--(LEN(TRIM($B$12:$B15))&gt;0),--(H$12:H15=TRUE())))&lt;=MOD(H$46,MAX(1,H$48)),1,0),0)</f>
        <v>0</v>
      </c>
      <c r="J55" s="14" t="n">
        <f aca="false">IF(AND(J$47,J$48&gt;0,LEN(TRIM($B15))&gt;0,J15=TRUE(),IF(J$50,$C15&lt;&gt;TRUE(),TRUE())),QUOTIENT(J$46,MAX(1,J$48))+IF(IF(J$50,SUMPRODUCT(--(LEN(TRIM($B$12:$B15))&gt;0),--(J$12:J15=TRUE()),--($C$12:$C15&lt;&gt;TRUE())),SUMPRODUCT(--(LEN(TRIM($B$12:$B15))&gt;0),--(J$12:J15=TRUE())))&lt;=MOD(J$46,MAX(1,J$48)),1,0),0)</f>
        <v>0</v>
      </c>
      <c r="L55" s="14" t="n">
        <f aca="false">IF(AND(L$47,L$48&gt;0,LEN(TRIM($B15))&gt;0,L15=TRUE(),IF(L$50,$C15&lt;&gt;TRUE(),TRUE())),QUOTIENT(L$46,MAX(1,L$48))+IF(IF(L$50,SUMPRODUCT(--(LEN(TRIM($B$12:$B15))&gt;0),--(L$12:L15=TRUE()),--($C$12:$C15&lt;&gt;TRUE())),SUMPRODUCT(--(LEN(TRIM($B$12:$B15))&gt;0),--(L$12:L15=TRUE())))&lt;=MOD(L$46,MAX(1,L$48)),1,0),0)</f>
        <v>0</v>
      </c>
      <c r="N55" s="14" t="n">
        <f aca="false">IF(AND(N$47,N$48&gt;0,LEN(TRIM($B15))&gt;0,N15=TRUE(),IF(N$50,$C15&lt;&gt;TRUE(),TRUE())),QUOTIENT(N$46,MAX(1,N$48))+IF(IF(N$50,SUMPRODUCT(--(LEN(TRIM($B$12:$B15))&gt;0),--(N$12:N15=TRUE()),--($C$12:$C15&lt;&gt;TRUE())),SUMPRODUCT(--(LEN(TRIM($B$12:$B15))&gt;0),--(N$12:N15=TRUE())))&lt;=MOD(N$46,MAX(1,N$48)),1,0),0)</f>
        <v>0</v>
      </c>
      <c r="P55" s="14" t="n">
        <f aca="false">IF(AND(P$47,P$48&gt;0,LEN(TRIM($B15))&gt;0,P15=TRUE(),IF(P$50,$C15&lt;&gt;TRUE(),TRUE())),QUOTIENT(P$46,MAX(1,P$48))+IF(IF(P$50,SUMPRODUCT(--(LEN(TRIM($B$12:$B15))&gt;0),--(P$12:P15=TRUE()),--($C$12:$C15&lt;&gt;TRUE())),SUMPRODUCT(--(LEN(TRIM($B$12:$B15))&gt;0),--(P$12:P15=TRUE())))&lt;=MOD(P$46,MAX(1,P$48)),1,0),0)</f>
        <v>0</v>
      </c>
    </row>
    <row r="56" customFormat="false" ht="15" hidden="true" customHeight="false" outlineLevel="0" collapsed="false">
      <c r="A56" s="13" t="s">
        <v>22</v>
      </c>
      <c r="D56" s="14" t="n">
        <f aca="false">IF(AND(D$47,D$48&gt;0,LEN(TRIM($B16))&gt;0,D16=TRUE(),IF(D$50,$C16&lt;&gt;TRUE(),TRUE())),QUOTIENT(D$46,MAX(1,D$48))+IF(IF(D$50,SUMPRODUCT(--(LEN(TRIM($B$12:$B16))&gt;0),--(D$12:D16=TRUE()),--($C$12:$C16&lt;&gt;TRUE())),SUMPRODUCT(--(LEN(TRIM($B$12:$B16))&gt;0),--(D$12:D16=TRUE())))&lt;=MOD(D$46,MAX(1,D$48)),1,0),0)</f>
        <v>0</v>
      </c>
      <c r="F56" s="14" t="n">
        <f aca="false">IF(AND(F$47,F$48&gt;0,LEN(TRIM($B16))&gt;0,F16=TRUE(),IF(F$50,$C16&lt;&gt;TRUE(),TRUE())),QUOTIENT(F$46,MAX(1,F$48))+IF(IF(F$50,SUMPRODUCT(--(LEN(TRIM($B$12:$B16))&gt;0),--(F$12:F16=TRUE()),--($C$12:$C16&lt;&gt;TRUE())),SUMPRODUCT(--(LEN(TRIM($B$12:$B16))&gt;0),--(F$12:F16=TRUE())))&lt;=MOD(F$46,MAX(1,F$48)),1,0),0)</f>
        <v>0</v>
      </c>
      <c r="H56" s="14" t="n">
        <f aca="false">IF(AND(H$47,H$48&gt;0,LEN(TRIM($B16))&gt;0,H16=TRUE(),IF(H$50,$C16&lt;&gt;TRUE(),TRUE())),QUOTIENT(H$46,MAX(1,H$48))+IF(IF(H$50,SUMPRODUCT(--(LEN(TRIM($B$12:$B16))&gt;0),--(H$12:H16=TRUE()),--($C$12:$C16&lt;&gt;TRUE())),SUMPRODUCT(--(LEN(TRIM($B$12:$B16))&gt;0),--(H$12:H16=TRUE())))&lt;=MOD(H$46,MAX(1,H$48)),1,0),0)</f>
        <v>0</v>
      </c>
      <c r="J56" s="14" t="n">
        <f aca="false">IF(AND(J$47,J$48&gt;0,LEN(TRIM($B16))&gt;0,J16=TRUE(),IF(J$50,$C16&lt;&gt;TRUE(),TRUE())),QUOTIENT(J$46,MAX(1,J$48))+IF(IF(J$50,SUMPRODUCT(--(LEN(TRIM($B$12:$B16))&gt;0),--(J$12:J16=TRUE()),--($C$12:$C16&lt;&gt;TRUE())),SUMPRODUCT(--(LEN(TRIM($B$12:$B16))&gt;0),--(J$12:J16=TRUE())))&lt;=MOD(J$46,MAX(1,J$48)),1,0),0)</f>
        <v>0</v>
      </c>
      <c r="L56" s="14" t="n">
        <f aca="false">IF(AND(L$47,L$48&gt;0,LEN(TRIM($B16))&gt;0,L16=TRUE(),IF(L$50,$C16&lt;&gt;TRUE(),TRUE())),QUOTIENT(L$46,MAX(1,L$48))+IF(IF(L$50,SUMPRODUCT(--(LEN(TRIM($B$12:$B16))&gt;0),--(L$12:L16=TRUE()),--($C$12:$C16&lt;&gt;TRUE())),SUMPRODUCT(--(LEN(TRIM($B$12:$B16))&gt;0),--(L$12:L16=TRUE())))&lt;=MOD(L$46,MAX(1,L$48)),1,0),0)</f>
        <v>0</v>
      </c>
      <c r="N56" s="14" t="n">
        <f aca="false">IF(AND(N$47,N$48&gt;0,LEN(TRIM($B16))&gt;0,N16=TRUE(),IF(N$50,$C16&lt;&gt;TRUE(),TRUE())),QUOTIENT(N$46,MAX(1,N$48))+IF(IF(N$50,SUMPRODUCT(--(LEN(TRIM($B$12:$B16))&gt;0),--(N$12:N16=TRUE()),--($C$12:$C16&lt;&gt;TRUE())),SUMPRODUCT(--(LEN(TRIM($B$12:$B16))&gt;0),--(N$12:N16=TRUE())))&lt;=MOD(N$46,MAX(1,N$48)),1,0),0)</f>
        <v>0</v>
      </c>
      <c r="P56" s="14" t="n">
        <f aca="false">IF(AND(P$47,P$48&gt;0,LEN(TRIM($B16))&gt;0,P16=TRUE(),IF(P$50,$C16&lt;&gt;TRUE(),TRUE())),QUOTIENT(P$46,MAX(1,P$48))+IF(IF(P$50,SUMPRODUCT(--(LEN(TRIM($B$12:$B16))&gt;0),--(P$12:P16=TRUE()),--($C$12:$C16&lt;&gt;TRUE())),SUMPRODUCT(--(LEN(TRIM($B$12:$B16))&gt;0),--(P$12:P16=TRUE())))&lt;=MOD(P$46,MAX(1,P$48)),1,0),0)</f>
        <v>0</v>
      </c>
    </row>
    <row r="57" customFormat="false" ht="15" hidden="true" customHeight="false" outlineLevel="0" collapsed="false">
      <c r="A57" s="13" t="s">
        <v>23</v>
      </c>
      <c r="D57" s="14" t="n">
        <f aca="false">IF(AND(D$47,D$48&gt;0,LEN(TRIM($B17))&gt;0,D17=TRUE(),IF(D$50,$C17&lt;&gt;TRUE(),TRUE())),QUOTIENT(D$46,MAX(1,D$48))+IF(IF(D$50,SUMPRODUCT(--(LEN(TRIM($B$12:$B17))&gt;0),--(D$12:D17=TRUE()),--($C$12:$C17&lt;&gt;TRUE())),SUMPRODUCT(--(LEN(TRIM($B$12:$B17))&gt;0),--(D$12:D17=TRUE())))&lt;=MOD(D$46,MAX(1,D$48)),1,0),0)</f>
        <v>0</v>
      </c>
      <c r="F57" s="14" t="n">
        <f aca="false">IF(AND(F$47,F$48&gt;0,LEN(TRIM($B17))&gt;0,F17=TRUE(),IF(F$50,$C17&lt;&gt;TRUE(),TRUE())),QUOTIENT(F$46,MAX(1,F$48))+IF(IF(F$50,SUMPRODUCT(--(LEN(TRIM($B$12:$B17))&gt;0),--(F$12:F17=TRUE()),--($C$12:$C17&lt;&gt;TRUE())),SUMPRODUCT(--(LEN(TRIM($B$12:$B17))&gt;0),--(F$12:F17=TRUE())))&lt;=MOD(F$46,MAX(1,F$48)),1,0),0)</f>
        <v>0</v>
      </c>
      <c r="H57" s="14" t="n">
        <f aca="false">IF(AND(H$47,H$48&gt;0,LEN(TRIM($B17))&gt;0,H17=TRUE(),IF(H$50,$C17&lt;&gt;TRUE(),TRUE())),QUOTIENT(H$46,MAX(1,H$48))+IF(IF(H$50,SUMPRODUCT(--(LEN(TRIM($B$12:$B17))&gt;0),--(H$12:H17=TRUE()),--($C$12:$C17&lt;&gt;TRUE())),SUMPRODUCT(--(LEN(TRIM($B$12:$B17))&gt;0),--(H$12:H17=TRUE())))&lt;=MOD(H$46,MAX(1,H$48)),1,0),0)</f>
        <v>0</v>
      </c>
      <c r="J57" s="14" t="n">
        <f aca="false">IF(AND(J$47,J$48&gt;0,LEN(TRIM($B17))&gt;0,J17=TRUE(),IF(J$50,$C17&lt;&gt;TRUE(),TRUE())),QUOTIENT(J$46,MAX(1,J$48))+IF(IF(J$50,SUMPRODUCT(--(LEN(TRIM($B$12:$B17))&gt;0),--(J$12:J17=TRUE()),--($C$12:$C17&lt;&gt;TRUE())),SUMPRODUCT(--(LEN(TRIM($B$12:$B17))&gt;0),--(J$12:J17=TRUE())))&lt;=MOD(J$46,MAX(1,J$48)),1,0),0)</f>
        <v>0</v>
      </c>
      <c r="L57" s="14" t="n">
        <f aca="false">IF(AND(L$47,L$48&gt;0,LEN(TRIM($B17))&gt;0,L17=TRUE(),IF(L$50,$C17&lt;&gt;TRUE(),TRUE())),QUOTIENT(L$46,MAX(1,L$48))+IF(IF(L$50,SUMPRODUCT(--(LEN(TRIM($B$12:$B17))&gt;0),--(L$12:L17=TRUE()),--($C$12:$C17&lt;&gt;TRUE())),SUMPRODUCT(--(LEN(TRIM($B$12:$B17))&gt;0),--(L$12:L17=TRUE())))&lt;=MOD(L$46,MAX(1,L$48)),1,0),0)</f>
        <v>0</v>
      </c>
      <c r="N57" s="14" t="n">
        <f aca="false">IF(AND(N$47,N$48&gt;0,LEN(TRIM($B17))&gt;0,N17=TRUE(),IF(N$50,$C17&lt;&gt;TRUE(),TRUE())),QUOTIENT(N$46,MAX(1,N$48))+IF(IF(N$50,SUMPRODUCT(--(LEN(TRIM($B$12:$B17))&gt;0),--(N$12:N17=TRUE()),--($C$12:$C17&lt;&gt;TRUE())),SUMPRODUCT(--(LEN(TRIM($B$12:$B17))&gt;0),--(N$12:N17=TRUE())))&lt;=MOD(N$46,MAX(1,N$48)),1,0),0)</f>
        <v>0</v>
      </c>
      <c r="P57" s="14" t="n">
        <f aca="false">IF(AND(P$47,P$48&gt;0,LEN(TRIM($B17))&gt;0,P17=TRUE(),IF(P$50,$C17&lt;&gt;TRUE(),TRUE())),QUOTIENT(P$46,MAX(1,P$48))+IF(IF(P$50,SUMPRODUCT(--(LEN(TRIM($B$12:$B17))&gt;0),--(P$12:P17=TRUE()),--($C$12:$C17&lt;&gt;TRUE())),SUMPRODUCT(--(LEN(TRIM($B$12:$B17))&gt;0),--(P$12:P17=TRUE())))&lt;=MOD(P$46,MAX(1,P$48)),1,0),0)</f>
        <v>0</v>
      </c>
    </row>
    <row r="58" customFormat="false" ht="15" hidden="true" customHeight="false" outlineLevel="0" collapsed="false">
      <c r="A58" s="13" t="s">
        <v>24</v>
      </c>
      <c r="D58" s="14" t="n">
        <f aca="false">IF(AND(D$47,D$48&gt;0,LEN(TRIM($B18))&gt;0,D18=TRUE(),IF(D$50,$C18&lt;&gt;TRUE(),TRUE())),QUOTIENT(D$46,MAX(1,D$48))+IF(IF(D$50,SUMPRODUCT(--(LEN(TRIM($B$12:$B18))&gt;0),--(D$12:D18=TRUE()),--($C$12:$C18&lt;&gt;TRUE())),SUMPRODUCT(--(LEN(TRIM($B$12:$B18))&gt;0),--(D$12:D18=TRUE())))&lt;=MOD(D$46,MAX(1,D$48)),1,0),0)</f>
        <v>0</v>
      </c>
      <c r="F58" s="14" t="n">
        <f aca="false">IF(AND(F$47,F$48&gt;0,LEN(TRIM($B18))&gt;0,F18=TRUE(),IF(F$50,$C18&lt;&gt;TRUE(),TRUE())),QUOTIENT(F$46,MAX(1,F$48))+IF(IF(F$50,SUMPRODUCT(--(LEN(TRIM($B$12:$B18))&gt;0),--(F$12:F18=TRUE()),--($C$12:$C18&lt;&gt;TRUE())),SUMPRODUCT(--(LEN(TRIM($B$12:$B18))&gt;0),--(F$12:F18=TRUE())))&lt;=MOD(F$46,MAX(1,F$48)),1,0),0)</f>
        <v>0</v>
      </c>
      <c r="H58" s="14" t="n">
        <f aca="false">IF(AND(H$47,H$48&gt;0,LEN(TRIM($B18))&gt;0,H18=TRUE(),IF(H$50,$C18&lt;&gt;TRUE(),TRUE())),QUOTIENT(H$46,MAX(1,H$48))+IF(IF(H$50,SUMPRODUCT(--(LEN(TRIM($B$12:$B18))&gt;0),--(H$12:H18=TRUE()),--($C$12:$C18&lt;&gt;TRUE())),SUMPRODUCT(--(LEN(TRIM($B$12:$B18))&gt;0),--(H$12:H18=TRUE())))&lt;=MOD(H$46,MAX(1,H$48)),1,0),0)</f>
        <v>0</v>
      </c>
      <c r="J58" s="14" t="n">
        <f aca="false">IF(AND(J$47,J$48&gt;0,LEN(TRIM($B18))&gt;0,J18=TRUE(),IF(J$50,$C18&lt;&gt;TRUE(),TRUE())),QUOTIENT(J$46,MAX(1,J$48))+IF(IF(J$50,SUMPRODUCT(--(LEN(TRIM($B$12:$B18))&gt;0),--(J$12:J18=TRUE()),--($C$12:$C18&lt;&gt;TRUE())),SUMPRODUCT(--(LEN(TRIM($B$12:$B18))&gt;0),--(J$12:J18=TRUE())))&lt;=MOD(J$46,MAX(1,J$48)),1,0),0)</f>
        <v>0</v>
      </c>
      <c r="L58" s="14" t="n">
        <f aca="false">IF(AND(L$47,L$48&gt;0,LEN(TRIM($B18))&gt;0,L18=TRUE(),IF(L$50,$C18&lt;&gt;TRUE(),TRUE())),QUOTIENT(L$46,MAX(1,L$48))+IF(IF(L$50,SUMPRODUCT(--(LEN(TRIM($B$12:$B18))&gt;0),--(L$12:L18=TRUE()),--($C$12:$C18&lt;&gt;TRUE())),SUMPRODUCT(--(LEN(TRIM($B$12:$B18))&gt;0),--(L$12:L18=TRUE())))&lt;=MOD(L$46,MAX(1,L$48)),1,0),0)</f>
        <v>0</v>
      </c>
      <c r="N58" s="14" t="n">
        <f aca="false">IF(AND(N$47,N$48&gt;0,LEN(TRIM($B18))&gt;0,N18=TRUE(),IF(N$50,$C18&lt;&gt;TRUE(),TRUE())),QUOTIENT(N$46,MAX(1,N$48))+IF(IF(N$50,SUMPRODUCT(--(LEN(TRIM($B$12:$B18))&gt;0),--(N$12:N18=TRUE()),--($C$12:$C18&lt;&gt;TRUE())),SUMPRODUCT(--(LEN(TRIM($B$12:$B18))&gt;0),--(N$12:N18=TRUE())))&lt;=MOD(N$46,MAX(1,N$48)),1,0),0)</f>
        <v>0</v>
      </c>
      <c r="P58" s="14" t="n">
        <f aca="false">IF(AND(P$47,P$48&gt;0,LEN(TRIM($B18))&gt;0,P18=TRUE(),IF(P$50,$C18&lt;&gt;TRUE(),TRUE())),QUOTIENT(P$46,MAX(1,P$48))+IF(IF(P$50,SUMPRODUCT(--(LEN(TRIM($B$12:$B18))&gt;0),--(P$12:P18=TRUE()),--($C$12:$C18&lt;&gt;TRUE())),SUMPRODUCT(--(LEN(TRIM($B$12:$B18))&gt;0),--(P$12:P18=TRUE())))&lt;=MOD(P$46,MAX(1,P$48)),1,0),0)</f>
        <v>0</v>
      </c>
    </row>
    <row r="59" customFormat="false" ht="15" hidden="true" customHeight="false" outlineLevel="0" collapsed="false">
      <c r="A59" s="13" t="s">
        <v>25</v>
      </c>
      <c r="D59" s="14" t="n">
        <f aca="false">IF(AND(D$47,D$48&gt;0,LEN(TRIM($B19))&gt;0,D19=TRUE(),IF(D$50,$C19&lt;&gt;TRUE(),TRUE())),QUOTIENT(D$46,MAX(1,D$48))+IF(IF(D$50,SUMPRODUCT(--(LEN(TRIM($B$12:$B19))&gt;0),--(D$12:D19=TRUE()),--($C$12:$C19&lt;&gt;TRUE())),SUMPRODUCT(--(LEN(TRIM($B$12:$B19))&gt;0),--(D$12:D19=TRUE())))&lt;=MOD(D$46,MAX(1,D$48)),1,0),0)</f>
        <v>0</v>
      </c>
      <c r="F59" s="14" t="n">
        <f aca="false">IF(AND(F$47,F$48&gt;0,LEN(TRIM($B19))&gt;0,F19=TRUE(),IF(F$50,$C19&lt;&gt;TRUE(),TRUE())),QUOTIENT(F$46,MAX(1,F$48))+IF(IF(F$50,SUMPRODUCT(--(LEN(TRIM($B$12:$B19))&gt;0),--(F$12:F19=TRUE()),--($C$12:$C19&lt;&gt;TRUE())),SUMPRODUCT(--(LEN(TRIM($B$12:$B19))&gt;0),--(F$12:F19=TRUE())))&lt;=MOD(F$46,MAX(1,F$48)),1,0),0)</f>
        <v>0</v>
      </c>
      <c r="H59" s="14" t="n">
        <f aca="false">IF(AND(H$47,H$48&gt;0,LEN(TRIM($B19))&gt;0,H19=TRUE(),IF(H$50,$C19&lt;&gt;TRUE(),TRUE())),QUOTIENT(H$46,MAX(1,H$48))+IF(IF(H$50,SUMPRODUCT(--(LEN(TRIM($B$12:$B19))&gt;0),--(H$12:H19=TRUE()),--($C$12:$C19&lt;&gt;TRUE())),SUMPRODUCT(--(LEN(TRIM($B$12:$B19))&gt;0),--(H$12:H19=TRUE())))&lt;=MOD(H$46,MAX(1,H$48)),1,0),0)</f>
        <v>0</v>
      </c>
      <c r="J59" s="14" t="n">
        <f aca="false">IF(AND(J$47,J$48&gt;0,LEN(TRIM($B19))&gt;0,J19=TRUE(),IF(J$50,$C19&lt;&gt;TRUE(),TRUE())),QUOTIENT(J$46,MAX(1,J$48))+IF(IF(J$50,SUMPRODUCT(--(LEN(TRIM($B$12:$B19))&gt;0),--(J$12:J19=TRUE()),--($C$12:$C19&lt;&gt;TRUE())),SUMPRODUCT(--(LEN(TRIM($B$12:$B19))&gt;0),--(J$12:J19=TRUE())))&lt;=MOD(J$46,MAX(1,J$48)),1,0),0)</f>
        <v>0</v>
      </c>
      <c r="L59" s="14" t="n">
        <f aca="false">IF(AND(L$47,L$48&gt;0,LEN(TRIM($B19))&gt;0,L19=TRUE(),IF(L$50,$C19&lt;&gt;TRUE(),TRUE())),QUOTIENT(L$46,MAX(1,L$48))+IF(IF(L$50,SUMPRODUCT(--(LEN(TRIM($B$12:$B19))&gt;0),--(L$12:L19=TRUE()),--($C$12:$C19&lt;&gt;TRUE())),SUMPRODUCT(--(LEN(TRIM($B$12:$B19))&gt;0),--(L$12:L19=TRUE())))&lt;=MOD(L$46,MAX(1,L$48)),1,0),0)</f>
        <v>0</v>
      </c>
      <c r="N59" s="14" t="n">
        <f aca="false">IF(AND(N$47,N$48&gt;0,LEN(TRIM($B19))&gt;0,N19=TRUE(),IF(N$50,$C19&lt;&gt;TRUE(),TRUE())),QUOTIENT(N$46,MAX(1,N$48))+IF(IF(N$50,SUMPRODUCT(--(LEN(TRIM($B$12:$B19))&gt;0),--(N$12:N19=TRUE()),--($C$12:$C19&lt;&gt;TRUE())),SUMPRODUCT(--(LEN(TRIM($B$12:$B19))&gt;0),--(N$12:N19=TRUE())))&lt;=MOD(N$46,MAX(1,N$48)),1,0),0)</f>
        <v>0</v>
      </c>
      <c r="P59" s="14" t="n">
        <f aca="false">IF(AND(P$47,P$48&gt;0,LEN(TRIM($B19))&gt;0,P19=TRUE(),IF(P$50,$C19&lt;&gt;TRUE(),TRUE())),QUOTIENT(P$46,MAX(1,P$48))+IF(IF(P$50,SUMPRODUCT(--(LEN(TRIM($B$12:$B19))&gt;0),--(P$12:P19=TRUE()),--($C$12:$C19&lt;&gt;TRUE())),SUMPRODUCT(--(LEN(TRIM($B$12:$B19))&gt;0),--(P$12:P19=TRUE())))&lt;=MOD(P$46,MAX(1,P$48)),1,0),0)</f>
        <v>0</v>
      </c>
    </row>
    <row r="60" customFormat="false" ht="15" hidden="true" customHeight="false" outlineLevel="0" collapsed="false">
      <c r="A60" s="13" t="s">
        <v>26</v>
      </c>
      <c r="D60" s="14" t="n">
        <f aca="false">IF(AND(D$47,D$48&gt;0,LEN(TRIM($B20))&gt;0,D20=TRUE(),IF(D$50,$C20&lt;&gt;TRUE(),TRUE())),QUOTIENT(D$46,MAX(1,D$48))+IF(IF(D$50,SUMPRODUCT(--(LEN(TRIM($B$12:$B20))&gt;0),--(D$12:D20=TRUE()),--($C$12:$C20&lt;&gt;TRUE())),SUMPRODUCT(--(LEN(TRIM($B$12:$B20))&gt;0),--(D$12:D20=TRUE())))&lt;=MOD(D$46,MAX(1,D$48)),1,0),0)</f>
        <v>0</v>
      </c>
      <c r="F60" s="14" t="n">
        <f aca="false">IF(AND(F$47,F$48&gt;0,LEN(TRIM($B20))&gt;0,F20=TRUE(),IF(F$50,$C20&lt;&gt;TRUE(),TRUE())),QUOTIENT(F$46,MAX(1,F$48))+IF(IF(F$50,SUMPRODUCT(--(LEN(TRIM($B$12:$B20))&gt;0),--(F$12:F20=TRUE()),--($C$12:$C20&lt;&gt;TRUE())),SUMPRODUCT(--(LEN(TRIM($B$12:$B20))&gt;0),--(F$12:F20=TRUE())))&lt;=MOD(F$46,MAX(1,F$48)),1,0),0)</f>
        <v>0</v>
      </c>
      <c r="H60" s="14" t="n">
        <f aca="false">IF(AND(H$47,H$48&gt;0,LEN(TRIM($B20))&gt;0,H20=TRUE(),IF(H$50,$C20&lt;&gt;TRUE(),TRUE())),QUOTIENT(H$46,MAX(1,H$48))+IF(IF(H$50,SUMPRODUCT(--(LEN(TRIM($B$12:$B20))&gt;0),--(H$12:H20=TRUE()),--($C$12:$C20&lt;&gt;TRUE())),SUMPRODUCT(--(LEN(TRIM($B$12:$B20))&gt;0),--(H$12:H20=TRUE())))&lt;=MOD(H$46,MAX(1,H$48)),1,0),0)</f>
        <v>0</v>
      </c>
      <c r="J60" s="14" t="n">
        <f aca="false">IF(AND(J$47,J$48&gt;0,LEN(TRIM($B20))&gt;0,J20=TRUE(),IF(J$50,$C20&lt;&gt;TRUE(),TRUE())),QUOTIENT(J$46,MAX(1,J$48))+IF(IF(J$50,SUMPRODUCT(--(LEN(TRIM($B$12:$B20))&gt;0),--(J$12:J20=TRUE()),--($C$12:$C20&lt;&gt;TRUE())),SUMPRODUCT(--(LEN(TRIM($B$12:$B20))&gt;0),--(J$12:J20=TRUE())))&lt;=MOD(J$46,MAX(1,J$48)),1,0),0)</f>
        <v>0</v>
      </c>
      <c r="L60" s="14" t="n">
        <f aca="false">IF(AND(L$47,L$48&gt;0,LEN(TRIM($B20))&gt;0,L20=TRUE(),IF(L$50,$C20&lt;&gt;TRUE(),TRUE())),QUOTIENT(L$46,MAX(1,L$48))+IF(IF(L$50,SUMPRODUCT(--(LEN(TRIM($B$12:$B20))&gt;0),--(L$12:L20=TRUE()),--($C$12:$C20&lt;&gt;TRUE())),SUMPRODUCT(--(LEN(TRIM($B$12:$B20))&gt;0),--(L$12:L20=TRUE())))&lt;=MOD(L$46,MAX(1,L$48)),1,0),0)</f>
        <v>0</v>
      </c>
      <c r="N60" s="14" t="n">
        <f aca="false">IF(AND(N$47,N$48&gt;0,LEN(TRIM($B20))&gt;0,N20=TRUE(),IF(N$50,$C20&lt;&gt;TRUE(),TRUE())),QUOTIENT(N$46,MAX(1,N$48))+IF(IF(N$50,SUMPRODUCT(--(LEN(TRIM($B$12:$B20))&gt;0),--(N$12:N20=TRUE()),--($C$12:$C20&lt;&gt;TRUE())),SUMPRODUCT(--(LEN(TRIM($B$12:$B20))&gt;0),--(N$12:N20=TRUE())))&lt;=MOD(N$46,MAX(1,N$48)),1,0),0)</f>
        <v>0</v>
      </c>
      <c r="P60" s="14" t="n">
        <f aca="false">IF(AND(P$47,P$48&gt;0,LEN(TRIM($B20))&gt;0,P20=TRUE(),IF(P$50,$C20&lt;&gt;TRUE(),TRUE())),QUOTIENT(P$46,MAX(1,P$48))+IF(IF(P$50,SUMPRODUCT(--(LEN(TRIM($B$12:$B20))&gt;0),--(P$12:P20=TRUE()),--($C$12:$C20&lt;&gt;TRUE())),SUMPRODUCT(--(LEN(TRIM($B$12:$B20))&gt;0),--(P$12:P20=TRUE())))&lt;=MOD(P$46,MAX(1,P$48)),1,0),0)</f>
        <v>0</v>
      </c>
    </row>
    <row r="61" customFormat="false" ht="15" hidden="true" customHeight="false" outlineLevel="0" collapsed="false">
      <c r="A61" s="13" t="s">
        <v>27</v>
      </c>
      <c r="D61" s="14" t="n">
        <f aca="false">IF(AND(D$47,D$48&gt;0,LEN(TRIM($B21))&gt;0,D21=TRUE(),IF(D$50,$C21&lt;&gt;TRUE(),TRUE())),QUOTIENT(D$46,MAX(1,D$48))+IF(IF(D$50,SUMPRODUCT(--(LEN(TRIM($B$12:$B21))&gt;0),--(D$12:D21=TRUE()),--($C$12:$C21&lt;&gt;TRUE())),SUMPRODUCT(--(LEN(TRIM($B$12:$B21))&gt;0),--(D$12:D21=TRUE())))&lt;=MOD(D$46,MAX(1,D$48)),1,0),0)</f>
        <v>0</v>
      </c>
      <c r="F61" s="14" t="n">
        <f aca="false">IF(AND(F$47,F$48&gt;0,LEN(TRIM($B21))&gt;0,F21=TRUE(),IF(F$50,$C21&lt;&gt;TRUE(),TRUE())),QUOTIENT(F$46,MAX(1,F$48))+IF(IF(F$50,SUMPRODUCT(--(LEN(TRIM($B$12:$B21))&gt;0),--(F$12:F21=TRUE()),--($C$12:$C21&lt;&gt;TRUE())),SUMPRODUCT(--(LEN(TRIM($B$12:$B21))&gt;0),--(F$12:F21=TRUE())))&lt;=MOD(F$46,MAX(1,F$48)),1,0),0)</f>
        <v>0</v>
      </c>
      <c r="H61" s="14" t="n">
        <f aca="false">IF(AND(H$47,H$48&gt;0,LEN(TRIM($B21))&gt;0,H21=TRUE(),IF(H$50,$C21&lt;&gt;TRUE(),TRUE())),QUOTIENT(H$46,MAX(1,H$48))+IF(IF(H$50,SUMPRODUCT(--(LEN(TRIM($B$12:$B21))&gt;0),--(H$12:H21=TRUE()),--($C$12:$C21&lt;&gt;TRUE())),SUMPRODUCT(--(LEN(TRIM($B$12:$B21))&gt;0),--(H$12:H21=TRUE())))&lt;=MOD(H$46,MAX(1,H$48)),1,0),0)</f>
        <v>0</v>
      </c>
      <c r="J61" s="14" t="n">
        <f aca="false">IF(AND(J$47,J$48&gt;0,LEN(TRIM($B21))&gt;0,J21=TRUE(),IF(J$50,$C21&lt;&gt;TRUE(),TRUE())),QUOTIENT(J$46,MAX(1,J$48))+IF(IF(J$50,SUMPRODUCT(--(LEN(TRIM($B$12:$B21))&gt;0),--(J$12:J21=TRUE()),--($C$12:$C21&lt;&gt;TRUE())),SUMPRODUCT(--(LEN(TRIM($B$12:$B21))&gt;0),--(J$12:J21=TRUE())))&lt;=MOD(J$46,MAX(1,J$48)),1,0),0)</f>
        <v>0</v>
      </c>
      <c r="L61" s="14" t="n">
        <f aca="false">IF(AND(L$47,L$48&gt;0,LEN(TRIM($B21))&gt;0,L21=TRUE(),IF(L$50,$C21&lt;&gt;TRUE(),TRUE())),QUOTIENT(L$46,MAX(1,L$48))+IF(IF(L$50,SUMPRODUCT(--(LEN(TRIM($B$12:$B21))&gt;0),--(L$12:L21=TRUE()),--($C$12:$C21&lt;&gt;TRUE())),SUMPRODUCT(--(LEN(TRIM($B$12:$B21))&gt;0),--(L$12:L21=TRUE())))&lt;=MOD(L$46,MAX(1,L$48)),1,0),0)</f>
        <v>0</v>
      </c>
      <c r="N61" s="14" t="n">
        <f aca="false">IF(AND(N$47,N$48&gt;0,LEN(TRIM($B21))&gt;0,N21=TRUE(),IF(N$50,$C21&lt;&gt;TRUE(),TRUE())),QUOTIENT(N$46,MAX(1,N$48))+IF(IF(N$50,SUMPRODUCT(--(LEN(TRIM($B$12:$B21))&gt;0),--(N$12:N21=TRUE()),--($C$12:$C21&lt;&gt;TRUE())),SUMPRODUCT(--(LEN(TRIM($B$12:$B21))&gt;0),--(N$12:N21=TRUE())))&lt;=MOD(N$46,MAX(1,N$48)),1,0),0)</f>
        <v>0</v>
      </c>
      <c r="P61" s="14" t="n">
        <f aca="false">IF(AND(P$47,P$48&gt;0,LEN(TRIM($B21))&gt;0,P21=TRUE(),IF(P$50,$C21&lt;&gt;TRUE(),TRUE())),QUOTIENT(P$46,MAX(1,P$48))+IF(IF(P$50,SUMPRODUCT(--(LEN(TRIM($B$12:$B21))&gt;0),--(P$12:P21=TRUE()),--($C$12:$C21&lt;&gt;TRUE())),SUMPRODUCT(--(LEN(TRIM($B$12:$B21))&gt;0),--(P$12:P21=TRUE())))&lt;=MOD(P$46,MAX(1,P$48)),1,0),0)</f>
        <v>0</v>
      </c>
    </row>
    <row r="62" customFormat="false" ht="15" hidden="true" customHeight="false" outlineLevel="0" collapsed="false">
      <c r="A62" s="13" t="s">
        <v>28</v>
      </c>
      <c r="D62" s="14" t="n">
        <f aca="false">IF(AND(D$47,D$48&gt;0,LEN(TRIM($B22))&gt;0,D22=TRUE(),IF(D$50,$C22&lt;&gt;TRUE(),TRUE())),QUOTIENT(D$46,MAX(1,D$48))+IF(IF(D$50,SUMPRODUCT(--(LEN(TRIM($B$12:$B22))&gt;0),--(D$12:D22=TRUE()),--($C$12:$C22&lt;&gt;TRUE())),SUMPRODUCT(--(LEN(TRIM($B$12:$B22))&gt;0),--(D$12:D22=TRUE())))&lt;=MOD(D$46,MAX(1,D$48)),1,0),0)</f>
        <v>0</v>
      </c>
      <c r="F62" s="14" t="n">
        <f aca="false">IF(AND(F$47,F$48&gt;0,LEN(TRIM($B22))&gt;0,F22=TRUE(),IF(F$50,$C22&lt;&gt;TRUE(),TRUE())),QUOTIENT(F$46,MAX(1,F$48))+IF(IF(F$50,SUMPRODUCT(--(LEN(TRIM($B$12:$B22))&gt;0),--(F$12:F22=TRUE()),--($C$12:$C22&lt;&gt;TRUE())),SUMPRODUCT(--(LEN(TRIM($B$12:$B22))&gt;0),--(F$12:F22=TRUE())))&lt;=MOD(F$46,MAX(1,F$48)),1,0),0)</f>
        <v>0</v>
      </c>
      <c r="H62" s="14" t="n">
        <f aca="false">IF(AND(H$47,H$48&gt;0,LEN(TRIM($B22))&gt;0,H22=TRUE(),IF(H$50,$C22&lt;&gt;TRUE(),TRUE())),QUOTIENT(H$46,MAX(1,H$48))+IF(IF(H$50,SUMPRODUCT(--(LEN(TRIM($B$12:$B22))&gt;0),--(H$12:H22=TRUE()),--($C$12:$C22&lt;&gt;TRUE())),SUMPRODUCT(--(LEN(TRIM($B$12:$B22))&gt;0),--(H$12:H22=TRUE())))&lt;=MOD(H$46,MAX(1,H$48)),1,0),0)</f>
        <v>0</v>
      </c>
      <c r="J62" s="14" t="n">
        <f aca="false">IF(AND(J$47,J$48&gt;0,LEN(TRIM($B22))&gt;0,J22=TRUE(),IF(J$50,$C22&lt;&gt;TRUE(),TRUE())),QUOTIENT(J$46,MAX(1,J$48))+IF(IF(J$50,SUMPRODUCT(--(LEN(TRIM($B$12:$B22))&gt;0),--(J$12:J22=TRUE()),--($C$12:$C22&lt;&gt;TRUE())),SUMPRODUCT(--(LEN(TRIM($B$12:$B22))&gt;0),--(J$12:J22=TRUE())))&lt;=MOD(J$46,MAX(1,J$48)),1,0),0)</f>
        <v>0</v>
      </c>
      <c r="L62" s="14" t="n">
        <f aca="false">IF(AND(L$47,L$48&gt;0,LEN(TRIM($B22))&gt;0,L22=TRUE(),IF(L$50,$C22&lt;&gt;TRUE(),TRUE())),QUOTIENT(L$46,MAX(1,L$48))+IF(IF(L$50,SUMPRODUCT(--(LEN(TRIM($B$12:$B22))&gt;0),--(L$12:L22=TRUE()),--($C$12:$C22&lt;&gt;TRUE())),SUMPRODUCT(--(LEN(TRIM($B$12:$B22))&gt;0),--(L$12:L22=TRUE())))&lt;=MOD(L$46,MAX(1,L$48)),1,0),0)</f>
        <v>0</v>
      </c>
      <c r="N62" s="14" t="n">
        <f aca="false">IF(AND(N$47,N$48&gt;0,LEN(TRIM($B22))&gt;0,N22=TRUE(),IF(N$50,$C22&lt;&gt;TRUE(),TRUE())),QUOTIENT(N$46,MAX(1,N$48))+IF(IF(N$50,SUMPRODUCT(--(LEN(TRIM($B$12:$B22))&gt;0),--(N$12:N22=TRUE()),--($C$12:$C22&lt;&gt;TRUE())),SUMPRODUCT(--(LEN(TRIM($B$12:$B22))&gt;0),--(N$12:N22=TRUE())))&lt;=MOD(N$46,MAX(1,N$48)),1,0),0)</f>
        <v>0</v>
      </c>
      <c r="P62" s="14" t="n">
        <f aca="false">IF(AND(P$47,P$48&gt;0,LEN(TRIM($B22))&gt;0,P22=TRUE(),IF(P$50,$C22&lt;&gt;TRUE(),TRUE())),QUOTIENT(P$46,MAX(1,P$48))+IF(IF(P$50,SUMPRODUCT(--(LEN(TRIM($B$12:$B22))&gt;0),--(P$12:P22=TRUE()),--($C$12:$C22&lt;&gt;TRUE())),SUMPRODUCT(--(LEN(TRIM($B$12:$B22))&gt;0),--(P$12:P22=TRUE())))&lt;=MOD(P$46,MAX(1,P$48)),1,0),0)</f>
        <v>0</v>
      </c>
    </row>
    <row r="63" customFormat="false" ht="15" hidden="true" customHeight="false" outlineLevel="0" collapsed="false">
      <c r="A63" s="13" t="s">
        <v>29</v>
      </c>
      <c r="D63" s="14" t="n">
        <f aca="false">IF(AND(D$47,D$48&gt;0,LEN(TRIM($B23))&gt;0,D23=TRUE(),IF(D$50,$C23&lt;&gt;TRUE(),TRUE())),QUOTIENT(D$46,MAX(1,D$48))+IF(IF(D$50,SUMPRODUCT(--(LEN(TRIM($B$12:$B23))&gt;0),--(D$12:D23=TRUE()),--($C$12:$C23&lt;&gt;TRUE())),SUMPRODUCT(--(LEN(TRIM($B$12:$B23))&gt;0),--(D$12:D23=TRUE())))&lt;=MOD(D$46,MAX(1,D$48)),1,0),0)</f>
        <v>0</v>
      </c>
      <c r="F63" s="14" t="n">
        <f aca="false">IF(AND(F$47,F$48&gt;0,LEN(TRIM($B23))&gt;0,F23=TRUE(),IF(F$50,$C23&lt;&gt;TRUE(),TRUE())),QUOTIENT(F$46,MAX(1,F$48))+IF(IF(F$50,SUMPRODUCT(--(LEN(TRIM($B$12:$B23))&gt;0),--(F$12:F23=TRUE()),--($C$12:$C23&lt;&gt;TRUE())),SUMPRODUCT(--(LEN(TRIM($B$12:$B23))&gt;0),--(F$12:F23=TRUE())))&lt;=MOD(F$46,MAX(1,F$48)),1,0),0)</f>
        <v>0</v>
      </c>
      <c r="H63" s="14" t="n">
        <f aca="false">IF(AND(H$47,H$48&gt;0,LEN(TRIM($B23))&gt;0,H23=TRUE(),IF(H$50,$C23&lt;&gt;TRUE(),TRUE())),QUOTIENT(H$46,MAX(1,H$48))+IF(IF(H$50,SUMPRODUCT(--(LEN(TRIM($B$12:$B23))&gt;0),--(H$12:H23=TRUE()),--($C$12:$C23&lt;&gt;TRUE())),SUMPRODUCT(--(LEN(TRIM($B$12:$B23))&gt;0),--(H$12:H23=TRUE())))&lt;=MOD(H$46,MAX(1,H$48)),1,0),0)</f>
        <v>0</v>
      </c>
      <c r="J63" s="14" t="n">
        <f aca="false">IF(AND(J$47,J$48&gt;0,LEN(TRIM($B23))&gt;0,J23=TRUE(),IF(J$50,$C23&lt;&gt;TRUE(),TRUE())),QUOTIENT(J$46,MAX(1,J$48))+IF(IF(J$50,SUMPRODUCT(--(LEN(TRIM($B$12:$B23))&gt;0),--(J$12:J23=TRUE()),--($C$12:$C23&lt;&gt;TRUE())),SUMPRODUCT(--(LEN(TRIM($B$12:$B23))&gt;0),--(J$12:J23=TRUE())))&lt;=MOD(J$46,MAX(1,J$48)),1,0),0)</f>
        <v>0</v>
      </c>
      <c r="L63" s="14" t="n">
        <f aca="false">IF(AND(L$47,L$48&gt;0,LEN(TRIM($B23))&gt;0,L23=TRUE(),IF(L$50,$C23&lt;&gt;TRUE(),TRUE())),QUOTIENT(L$46,MAX(1,L$48))+IF(IF(L$50,SUMPRODUCT(--(LEN(TRIM($B$12:$B23))&gt;0),--(L$12:L23=TRUE()),--($C$12:$C23&lt;&gt;TRUE())),SUMPRODUCT(--(LEN(TRIM($B$12:$B23))&gt;0),--(L$12:L23=TRUE())))&lt;=MOD(L$46,MAX(1,L$48)),1,0),0)</f>
        <v>0</v>
      </c>
      <c r="N63" s="14" t="n">
        <f aca="false">IF(AND(N$47,N$48&gt;0,LEN(TRIM($B23))&gt;0,N23=TRUE(),IF(N$50,$C23&lt;&gt;TRUE(),TRUE())),QUOTIENT(N$46,MAX(1,N$48))+IF(IF(N$50,SUMPRODUCT(--(LEN(TRIM($B$12:$B23))&gt;0),--(N$12:N23=TRUE()),--($C$12:$C23&lt;&gt;TRUE())),SUMPRODUCT(--(LEN(TRIM($B$12:$B23))&gt;0),--(N$12:N23=TRUE())))&lt;=MOD(N$46,MAX(1,N$48)),1,0),0)</f>
        <v>0</v>
      </c>
      <c r="P63" s="14" t="n">
        <f aca="false">IF(AND(P$47,P$48&gt;0,LEN(TRIM($B23))&gt;0,P23=TRUE(),IF(P$50,$C23&lt;&gt;TRUE(),TRUE())),QUOTIENT(P$46,MAX(1,P$48))+IF(IF(P$50,SUMPRODUCT(--(LEN(TRIM($B$12:$B23))&gt;0),--(P$12:P23=TRUE()),--($C$12:$C23&lt;&gt;TRUE())),SUMPRODUCT(--(LEN(TRIM($B$12:$B23))&gt;0),--(P$12:P23=TRUE())))&lt;=MOD(P$46,MAX(1,P$48)),1,0),0)</f>
        <v>0</v>
      </c>
    </row>
    <row r="64" customFormat="false" ht="15" hidden="true" customHeight="false" outlineLevel="0" collapsed="false">
      <c r="A64" s="13" t="s">
        <v>30</v>
      </c>
      <c r="D64" s="14" t="n">
        <f aca="false">IF(AND(D$47,D$48&gt;0,LEN(TRIM($B24))&gt;0,D24=TRUE(),IF(D$50,$C24&lt;&gt;TRUE(),TRUE())),QUOTIENT(D$46,MAX(1,D$48))+IF(IF(D$50,SUMPRODUCT(--(LEN(TRIM($B$12:$B24))&gt;0),--(D$12:D24=TRUE()),--($C$12:$C24&lt;&gt;TRUE())),SUMPRODUCT(--(LEN(TRIM($B$12:$B24))&gt;0),--(D$12:D24=TRUE())))&lt;=MOD(D$46,MAX(1,D$48)),1,0),0)</f>
        <v>0</v>
      </c>
      <c r="F64" s="14" t="n">
        <f aca="false">IF(AND(F$47,F$48&gt;0,LEN(TRIM($B24))&gt;0,F24=TRUE(),IF(F$50,$C24&lt;&gt;TRUE(),TRUE())),QUOTIENT(F$46,MAX(1,F$48))+IF(IF(F$50,SUMPRODUCT(--(LEN(TRIM($B$12:$B24))&gt;0),--(F$12:F24=TRUE()),--($C$12:$C24&lt;&gt;TRUE())),SUMPRODUCT(--(LEN(TRIM($B$12:$B24))&gt;0),--(F$12:F24=TRUE())))&lt;=MOD(F$46,MAX(1,F$48)),1,0),0)</f>
        <v>0</v>
      </c>
      <c r="H64" s="14" t="n">
        <f aca="false">IF(AND(H$47,H$48&gt;0,LEN(TRIM($B24))&gt;0,H24=TRUE(),IF(H$50,$C24&lt;&gt;TRUE(),TRUE())),QUOTIENT(H$46,MAX(1,H$48))+IF(IF(H$50,SUMPRODUCT(--(LEN(TRIM($B$12:$B24))&gt;0),--(H$12:H24=TRUE()),--($C$12:$C24&lt;&gt;TRUE())),SUMPRODUCT(--(LEN(TRIM($B$12:$B24))&gt;0),--(H$12:H24=TRUE())))&lt;=MOD(H$46,MAX(1,H$48)),1,0),0)</f>
        <v>0</v>
      </c>
      <c r="J64" s="14" t="n">
        <f aca="false">IF(AND(J$47,J$48&gt;0,LEN(TRIM($B24))&gt;0,J24=TRUE(),IF(J$50,$C24&lt;&gt;TRUE(),TRUE())),QUOTIENT(J$46,MAX(1,J$48))+IF(IF(J$50,SUMPRODUCT(--(LEN(TRIM($B$12:$B24))&gt;0),--(J$12:J24=TRUE()),--($C$12:$C24&lt;&gt;TRUE())),SUMPRODUCT(--(LEN(TRIM($B$12:$B24))&gt;0),--(J$12:J24=TRUE())))&lt;=MOD(J$46,MAX(1,J$48)),1,0),0)</f>
        <v>0</v>
      </c>
      <c r="L64" s="14" t="n">
        <f aca="false">IF(AND(L$47,L$48&gt;0,LEN(TRIM($B24))&gt;0,L24=TRUE(),IF(L$50,$C24&lt;&gt;TRUE(),TRUE())),QUOTIENT(L$46,MAX(1,L$48))+IF(IF(L$50,SUMPRODUCT(--(LEN(TRIM($B$12:$B24))&gt;0),--(L$12:L24=TRUE()),--($C$12:$C24&lt;&gt;TRUE())),SUMPRODUCT(--(LEN(TRIM($B$12:$B24))&gt;0),--(L$12:L24=TRUE())))&lt;=MOD(L$46,MAX(1,L$48)),1,0),0)</f>
        <v>0</v>
      </c>
      <c r="N64" s="14" t="n">
        <f aca="false">IF(AND(N$47,N$48&gt;0,LEN(TRIM($B24))&gt;0,N24=TRUE(),IF(N$50,$C24&lt;&gt;TRUE(),TRUE())),QUOTIENT(N$46,MAX(1,N$48))+IF(IF(N$50,SUMPRODUCT(--(LEN(TRIM($B$12:$B24))&gt;0),--(N$12:N24=TRUE()),--($C$12:$C24&lt;&gt;TRUE())),SUMPRODUCT(--(LEN(TRIM($B$12:$B24))&gt;0),--(N$12:N24=TRUE())))&lt;=MOD(N$46,MAX(1,N$48)),1,0),0)</f>
        <v>0</v>
      </c>
      <c r="P64" s="14" t="n">
        <f aca="false">IF(AND(P$47,P$48&gt;0,LEN(TRIM($B24))&gt;0,P24=TRUE(),IF(P$50,$C24&lt;&gt;TRUE(),TRUE())),QUOTIENT(P$46,MAX(1,P$48))+IF(IF(P$50,SUMPRODUCT(--(LEN(TRIM($B$12:$B24))&gt;0),--(P$12:P24=TRUE()),--($C$12:$C24&lt;&gt;TRUE())),SUMPRODUCT(--(LEN(TRIM($B$12:$B24))&gt;0),--(P$12:P24=TRUE())))&lt;=MOD(P$46,MAX(1,P$48)),1,0),0)</f>
        <v>0</v>
      </c>
    </row>
    <row r="65" customFormat="false" ht="15" hidden="true" customHeight="false" outlineLevel="0" collapsed="false">
      <c r="A65" s="13" t="s">
        <v>31</v>
      </c>
      <c r="D65" s="14" t="n">
        <f aca="false">IF(AND(D$47,D$48&gt;0,LEN(TRIM($B25))&gt;0,D25=TRUE(),IF(D$50,$C25&lt;&gt;TRUE(),TRUE())),QUOTIENT(D$46,MAX(1,D$48))+IF(IF(D$50,SUMPRODUCT(--(LEN(TRIM($B$12:$B25))&gt;0),--(D$12:D25=TRUE()),--($C$12:$C25&lt;&gt;TRUE())),SUMPRODUCT(--(LEN(TRIM($B$12:$B25))&gt;0),--(D$12:D25=TRUE())))&lt;=MOD(D$46,MAX(1,D$48)),1,0),0)</f>
        <v>0</v>
      </c>
      <c r="F65" s="14" t="n">
        <f aca="false">IF(AND(F$47,F$48&gt;0,LEN(TRIM($B25))&gt;0,F25=TRUE(),IF(F$50,$C25&lt;&gt;TRUE(),TRUE())),QUOTIENT(F$46,MAX(1,F$48))+IF(IF(F$50,SUMPRODUCT(--(LEN(TRIM($B$12:$B25))&gt;0),--(F$12:F25=TRUE()),--($C$12:$C25&lt;&gt;TRUE())),SUMPRODUCT(--(LEN(TRIM($B$12:$B25))&gt;0),--(F$12:F25=TRUE())))&lt;=MOD(F$46,MAX(1,F$48)),1,0),0)</f>
        <v>0</v>
      </c>
      <c r="H65" s="14" t="n">
        <f aca="false">IF(AND(H$47,H$48&gt;0,LEN(TRIM($B25))&gt;0,H25=TRUE(),IF(H$50,$C25&lt;&gt;TRUE(),TRUE())),QUOTIENT(H$46,MAX(1,H$48))+IF(IF(H$50,SUMPRODUCT(--(LEN(TRIM($B$12:$B25))&gt;0),--(H$12:H25=TRUE()),--($C$12:$C25&lt;&gt;TRUE())),SUMPRODUCT(--(LEN(TRIM($B$12:$B25))&gt;0),--(H$12:H25=TRUE())))&lt;=MOD(H$46,MAX(1,H$48)),1,0),0)</f>
        <v>0</v>
      </c>
      <c r="J65" s="14" t="n">
        <f aca="false">IF(AND(J$47,J$48&gt;0,LEN(TRIM($B25))&gt;0,J25=TRUE(),IF(J$50,$C25&lt;&gt;TRUE(),TRUE())),QUOTIENT(J$46,MAX(1,J$48))+IF(IF(J$50,SUMPRODUCT(--(LEN(TRIM($B$12:$B25))&gt;0),--(J$12:J25=TRUE()),--($C$12:$C25&lt;&gt;TRUE())),SUMPRODUCT(--(LEN(TRIM($B$12:$B25))&gt;0),--(J$12:J25=TRUE())))&lt;=MOD(J$46,MAX(1,J$48)),1,0),0)</f>
        <v>0</v>
      </c>
      <c r="L65" s="14" t="n">
        <f aca="false">IF(AND(L$47,L$48&gt;0,LEN(TRIM($B25))&gt;0,L25=TRUE(),IF(L$50,$C25&lt;&gt;TRUE(),TRUE())),QUOTIENT(L$46,MAX(1,L$48))+IF(IF(L$50,SUMPRODUCT(--(LEN(TRIM($B$12:$B25))&gt;0),--(L$12:L25=TRUE()),--($C$12:$C25&lt;&gt;TRUE())),SUMPRODUCT(--(LEN(TRIM($B$12:$B25))&gt;0),--(L$12:L25=TRUE())))&lt;=MOD(L$46,MAX(1,L$48)),1,0),0)</f>
        <v>0</v>
      </c>
      <c r="N65" s="14" t="n">
        <f aca="false">IF(AND(N$47,N$48&gt;0,LEN(TRIM($B25))&gt;0,N25=TRUE(),IF(N$50,$C25&lt;&gt;TRUE(),TRUE())),QUOTIENT(N$46,MAX(1,N$48))+IF(IF(N$50,SUMPRODUCT(--(LEN(TRIM($B$12:$B25))&gt;0),--(N$12:N25=TRUE()),--($C$12:$C25&lt;&gt;TRUE())),SUMPRODUCT(--(LEN(TRIM($B$12:$B25))&gt;0),--(N$12:N25=TRUE())))&lt;=MOD(N$46,MAX(1,N$48)),1,0),0)</f>
        <v>0</v>
      </c>
      <c r="P65" s="14" t="n">
        <f aca="false">IF(AND(P$47,P$48&gt;0,LEN(TRIM($B25))&gt;0,P25=TRUE(),IF(P$50,$C25&lt;&gt;TRUE(),TRUE())),QUOTIENT(P$46,MAX(1,P$48))+IF(IF(P$50,SUMPRODUCT(--(LEN(TRIM($B$12:$B25))&gt;0),--(P$12:P25=TRUE()),--($C$12:$C25&lt;&gt;TRUE())),SUMPRODUCT(--(LEN(TRIM($B$12:$B25))&gt;0),--(P$12:P25=TRUE())))&lt;=MOD(P$46,MAX(1,P$48)),1,0),0)</f>
        <v>0</v>
      </c>
    </row>
    <row r="66" customFormat="false" ht="15" hidden="true" customHeight="false" outlineLevel="0" collapsed="false">
      <c r="A66" s="13" t="s">
        <v>32</v>
      </c>
      <c r="D66" s="14" t="n">
        <f aca="false">IF(AND(D$47,D$48&gt;0,LEN(TRIM($B26))&gt;0,D26=TRUE(),IF(D$50,$C26&lt;&gt;TRUE(),TRUE())),QUOTIENT(D$46,MAX(1,D$48))+IF(IF(D$50,SUMPRODUCT(--(LEN(TRIM($B$12:$B26))&gt;0),--(D$12:D26=TRUE()),--($C$12:$C26&lt;&gt;TRUE())),SUMPRODUCT(--(LEN(TRIM($B$12:$B26))&gt;0),--(D$12:D26=TRUE())))&lt;=MOD(D$46,MAX(1,D$48)),1,0),0)</f>
        <v>0</v>
      </c>
      <c r="F66" s="14" t="n">
        <f aca="false">IF(AND(F$47,F$48&gt;0,LEN(TRIM($B26))&gt;0,F26=TRUE(),IF(F$50,$C26&lt;&gt;TRUE(),TRUE())),QUOTIENT(F$46,MAX(1,F$48))+IF(IF(F$50,SUMPRODUCT(--(LEN(TRIM($B$12:$B26))&gt;0),--(F$12:F26=TRUE()),--($C$12:$C26&lt;&gt;TRUE())),SUMPRODUCT(--(LEN(TRIM($B$12:$B26))&gt;0),--(F$12:F26=TRUE())))&lt;=MOD(F$46,MAX(1,F$48)),1,0),0)</f>
        <v>0</v>
      </c>
      <c r="H66" s="14" t="n">
        <f aca="false">IF(AND(H$47,H$48&gt;0,LEN(TRIM($B26))&gt;0,H26=TRUE(),IF(H$50,$C26&lt;&gt;TRUE(),TRUE())),QUOTIENT(H$46,MAX(1,H$48))+IF(IF(H$50,SUMPRODUCT(--(LEN(TRIM($B$12:$B26))&gt;0),--(H$12:H26=TRUE()),--($C$12:$C26&lt;&gt;TRUE())),SUMPRODUCT(--(LEN(TRIM($B$12:$B26))&gt;0),--(H$12:H26=TRUE())))&lt;=MOD(H$46,MAX(1,H$48)),1,0),0)</f>
        <v>0</v>
      </c>
      <c r="J66" s="14" t="n">
        <f aca="false">IF(AND(J$47,J$48&gt;0,LEN(TRIM($B26))&gt;0,J26=TRUE(),IF(J$50,$C26&lt;&gt;TRUE(),TRUE())),QUOTIENT(J$46,MAX(1,J$48))+IF(IF(J$50,SUMPRODUCT(--(LEN(TRIM($B$12:$B26))&gt;0),--(J$12:J26=TRUE()),--($C$12:$C26&lt;&gt;TRUE())),SUMPRODUCT(--(LEN(TRIM($B$12:$B26))&gt;0),--(J$12:J26=TRUE())))&lt;=MOD(J$46,MAX(1,J$48)),1,0),0)</f>
        <v>0</v>
      </c>
      <c r="L66" s="14" t="n">
        <f aca="false">IF(AND(L$47,L$48&gt;0,LEN(TRIM($B26))&gt;0,L26=TRUE(),IF(L$50,$C26&lt;&gt;TRUE(),TRUE())),QUOTIENT(L$46,MAX(1,L$48))+IF(IF(L$50,SUMPRODUCT(--(LEN(TRIM($B$12:$B26))&gt;0),--(L$12:L26=TRUE()),--($C$12:$C26&lt;&gt;TRUE())),SUMPRODUCT(--(LEN(TRIM($B$12:$B26))&gt;0),--(L$12:L26=TRUE())))&lt;=MOD(L$46,MAX(1,L$48)),1,0),0)</f>
        <v>0</v>
      </c>
      <c r="N66" s="14" t="n">
        <f aca="false">IF(AND(N$47,N$48&gt;0,LEN(TRIM($B26))&gt;0,N26=TRUE(),IF(N$50,$C26&lt;&gt;TRUE(),TRUE())),QUOTIENT(N$46,MAX(1,N$48))+IF(IF(N$50,SUMPRODUCT(--(LEN(TRIM($B$12:$B26))&gt;0),--(N$12:N26=TRUE()),--($C$12:$C26&lt;&gt;TRUE())),SUMPRODUCT(--(LEN(TRIM($B$12:$B26))&gt;0),--(N$12:N26=TRUE())))&lt;=MOD(N$46,MAX(1,N$48)),1,0),0)</f>
        <v>0</v>
      </c>
      <c r="P66" s="14" t="n">
        <f aca="false">IF(AND(P$47,P$48&gt;0,LEN(TRIM($B26))&gt;0,P26=TRUE(),IF(P$50,$C26&lt;&gt;TRUE(),TRUE())),QUOTIENT(P$46,MAX(1,P$48))+IF(IF(P$50,SUMPRODUCT(--(LEN(TRIM($B$12:$B26))&gt;0),--(P$12:P26=TRUE()),--($C$12:$C26&lt;&gt;TRUE())),SUMPRODUCT(--(LEN(TRIM($B$12:$B26))&gt;0),--(P$12:P26=TRUE())))&lt;=MOD(P$46,MAX(1,P$48)),1,0),0)</f>
        <v>0</v>
      </c>
    </row>
    <row r="67" customFormat="false" ht="15" hidden="true" customHeight="false" outlineLevel="0" collapsed="false">
      <c r="A67" s="13" t="s">
        <v>33</v>
      </c>
      <c r="D67" s="14" t="n">
        <f aca="false">IF(AND(D$47,D$48&gt;0,LEN(TRIM($B27))&gt;0,D27=TRUE(),IF(D$50,$C27&lt;&gt;TRUE(),TRUE())),QUOTIENT(D$46,MAX(1,D$48))+IF(IF(D$50,SUMPRODUCT(--(LEN(TRIM($B$12:$B27))&gt;0),--(D$12:D27=TRUE()),--($C$12:$C27&lt;&gt;TRUE())),SUMPRODUCT(--(LEN(TRIM($B$12:$B27))&gt;0),--(D$12:D27=TRUE())))&lt;=MOD(D$46,MAX(1,D$48)),1,0),0)</f>
        <v>0</v>
      </c>
      <c r="F67" s="14" t="n">
        <f aca="false">IF(AND(F$47,F$48&gt;0,LEN(TRIM($B27))&gt;0,F27=TRUE(),IF(F$50,$C27&lt;&gt;TRUE(),TRUE())),QUOTIENT(F$46,MAX(1,F$48))+IF(IF(F$50,SUMPRODUCT(--(LEN(TRIM($B$12:$B27))&gt;0),--(F$12:F27=TRUE()),--($C$12:$C27&lt;&gt;TRUE())),SUMPRODUCT(--(LEN(TRIM($B$12:$B27))&gt;0),--(F$12:F27=TRUE())))&lt;=MOD(F$46,MAX(1,F$48)),1,0),0)</f>
        <v>0</v>
      </c>
      <c r="H67" s="14" t="n">
        <f aca="false">IF(AND(H$47,H$48&gt;0,LEN(TRIM($B27))&gt;0,H27=TRUE(),IF(H$50,$C27&lt;&gt;TRUE(),TRUE())),QUOTIENT(H$46,MAX(1,H$48))+IF(IF(H$50,SUMPRODUCT(--(LEN(TRIM($B$12:$B27))&gt;0),--(H$12:H27=TRUE()),--($C$12:$C27&lt;&gt;TRUE())),SUMPRODUCT(--(LEN(TRIM($B$12:$B27))&gt;0),--(H$12:H27=TRUE())))&lt;=MOD(H$46,MAX(1,H$48)),1,0),0)</f>
        <v>0</v>
      </c>
      <c r="J67" s="14" t="n">
        <f aca="false">IF(AND(J$47,J$48&gt;0,LEN(TRIM($B27))&gt;0,J27=TRUE(),IF(J$50,$C27&lt;&gt;TRUE(),TRUE())),QUOTIENT(J$46,MAX(1,J$48))+IF(IF(J$50,SUMPRODUCT(--(LEN(TRIM($B$12:$B27))&gt;0),--(J$12:J27=TRUE()),--($C$12:$C27&lt;&gt;TRUE())),SUMPRODUCT(--(LEN(TRIM($B$12:$B27))&gt;0),--(J$12:J27=TRUE())))&lt;=MOD(J$46,MAX(1,J$48)),1,0),0)</f>
        <v>0</v>
      </c>
      <c r="L67" s="14" t="n">
        <f aca="false">IF(AND(L$47,L$48&gt;0,LEN(TRIM($B27))&gt;0,L27=TRUE(),IF(L$50,$C27&lt;&gt;TRUE(),TRUE())),QUOTIENT(L$46,MAX(1,L$48))+IF(IF(L$50,SUMPRODUCT(--(LEN(TRIM($B$12:$B27))&gt;0),--(L$12:L27=TRUE()),--($C$12:$C27&lt;&gt;TRUE())),SUMPRODUCT(--(LEN(TRIM($B$12:$B27))&gt;0),--(L$12:L27=TRUE())))&lt;=MOD(L$46,MAX(1,L$48)),1,0),0)</f>
        <v>0</v>
      </c>
      <c r="N67" s="14" t="n">
        <f aca="false">IF(AND(N$47,N$48&gt;0,LEN(TRIM($B27))&gt;0,N27=TRUE(),IF(N$50,$C27&lt;&gt;TRUE(),TRUE())),QUOTIENT(N$46,MAX(1,N$48))+IF(IF(N$50,SUMPRODUCT(--(LEN(TRIM($B$12:$B27))&gt;0),--(N$12:N27=TRUE()),--($C$12:$C27&lt;&gt;TRUE())),SUMPRODUCT(--(LEN(TRIM($B$12:$B27))&gt;0),--(N$12:N27=TRUE())))&lt;=MOD(N$46,MAX(1,N$48)),1,0),0)</f>
        <v>0</v>
      </c>
      <c r="P67" s="14" t="n">
        <f aca="false">IF(AND(P$47,P$48&gt;0,LEN(TRIM($B27))&gt;0,P27=TRUE(),IF(P$50,$C27&lt;&gt;TRUE(),TRUE())),QUOTIENT(P$46,MAX(1,P$48))+IF(IF(P$50,SUMPRODUCT(--(LEN(TRIM($B$12:$B27))&gt;0),--(P$12:P27=TRUE()),--($C$12:$C27&lt;&gt;TRUE())),SUMPRODUCT(--(LEN(TRIM($B$12:$B27))&gt;0),--(P$12:P27=TRUE())))&lt;=MOD(P$46,MAX(1,P$48)),1,0),0)</f>
        <v>0</v>
      </c>
    </row>
    <row r="68" customFormat="false" ht="15" hidden="true" customHeight="false" outlineLevel="0" collapsed="false">
      <c r="A68" s="13" t="s">
        <v>34</v>
      </c>
      <c r="D68" s="14" t="n">
        <f aca="false">IF(AND(D$47,D$48&gt;0,LEN(TRIM($B28))&gt;0,D28=TRUE(),IF(D$50,$C28&lt;&gt;TRUE(),TRUE())),QUOTIENT(D$46,MAX(1,D$48))+IF(IF(D$50,SUMPRODUCT(--(LEN(TRIM($B$12:$B28))&gt;0),--(D$12:D28=TRUE()),--($C$12:$C28&lt;&gt;TRUE())),SUMPRODUCT(--(LEN(TRIM($B$12:$B28))&gt;0),--(D$12:D28=TRUE())))&lt;=MOD(D$46,MAX(1,D$48)),1,0),0)</f>
        <v>0</v>
      </c>
      <c r="F68" s="14" t="n">
        <f aca="false">IF(AND(F$47,F$48&gt;0,LEN(TRIM($B28))&gt;0,F28=TRUE(),IF(F$50,$C28&lt;&gt;TRUE(),TRUE())),QUOTIENT(F$46,MAX(1,F$48))+IF(IF(F$50,SUMPRODUCT(--(LEN(TRIM($B$12:$B28))&gt;0),--(F$12:F28=TRUE()),--($C$12:$C28&lt;&gt;TRUE())),SUMPRODUCT(--(LEN(TRIM($B$12:$B28))&gt;0),--(F$12:F28=TRUE())))&lt;=MOD(F$46,MAX(1,F$48)),1,0),0)</f>
        <v>0</v>
      </c>
      <c r="H68" s="14" t="n">
        <f aca="false">IF(AND(H$47,H$48&gt;0,LEN(TRIM($B28))&gt;0,H28=TRUE(),IF(H$50,$C28&lt;&gt;TRUE(),TRUE())),QUOTIENT(H$46,MAX(1,H$48))+IF(IF(H$50,SUMPRODUCT(--(LEN(TRIM($B$12:$B28))&gt;0),--(H$12:H28=TRUE()),--($C$12:$C28&lt;&gt;TRUE())),SUMPRODUCT(--(LEN(TRIM($B$12:$B28))&gt;0),--(H$12:H28=TRUE())))&lt;=MOD(H$46,MAX(1,H$48)),1,0),0)</f>
        <v>0</v>
      </c>
      <c r="J68" s="14" t="n">
        <f aca="false">IF(AND(J$47,J$48&gt;0,LEN(TRIM($B28))&gt;0,J28=TRUE(),IF(J$50,$C28&lt;&gt;TRUE(),TRUE())),QUOTIENT(J$46,MAX(1,J$48))+IF(IF(J$50,SUMPRODUCT(--(LEN(TRIM($B$12:$B28))&gt;0),--(J$12:J28=TRUE()),--($C$12:$C28&lt;&gt;TRUE())),SUMPRODUCT(--(LEN(TRIM($B$12:$B28))&gt;0),--(J$12:J28=TRUE())))&lt;=MOD(J$46,MAX(1,J$48)),1,0),0)</f>
        <v>0</v>
      </c>
      <c r="L68" s="14" t="n">
        <f aca="false">IF(AND(L$47,L$48&gt;0,LEN(TRIM($B28))&gt;0,L28=TRUE(),IF(L$50,$C28&lt;&gt;TRUE(),TRUE())),QUOTIENT(L$46,MAX(1,L$48))+IF(IF(L$50,SUMPRODUCT(--(LEN(TRIM($B$12:$B28))&gt;0),--(L$12:L28=TRUE()),--($C$12:$C28&lt;&gt;TRUE())),SUMPRODUCT(--(LEN(TRIM($B$12:$B28))&gt;0),--(L$12:L28=TRUE())))&lt;=MOD(L$46,MAX(1,L$48)),1,0),0)</f>
        <v>0</v>
      </c>
      <c r="N68" s="14" t="n">
        <f aca="false">IF(AND(N$47,N$48&gt;0,LEN(TRIM($B28))&gt;0,N28=TRUE(),IF(N$50,$C28&lt;&gt;TRUE(),TRUE())),QUOTIENT(N$46,MAX(1,N$48))+IF(IF(N$50,SUMPRODUCT(--(LEN(TRIM($B$12:$B28))&gt;0),--(N$12:N28=TRUE()),--($C$12:$C28&lt;&gt;TRUE())),SUMPRODUCT(--(LEN(TRIM($B$12:$B28))&gt;0),--(N$12:N28=TRUE())))&lt;=MOD(N$46,MAX(1,N$48)),1,0),0)</f>
        <v>0</v>
      </c>
      <c r="P68" s="14" t="n">
        <f aca="false">IF(AND(P$47,P$48&gt;0,LEN(TRIM($B28))&gt;0,P28=TRUE(),IF(P$50,$C28&lt;&gt;TRUE(),TRUE())),QUOTIENT(P$46,MAX(1,P$48))+IF(IF(P$50,SUMPRODUCT(--(LEN(TRIM($B$12:$B28))&gt;0),--(P$12:P28=TRUE()),--($C$12:$C28&lt;&gt;TRUE())),SUMPRODUCT(--(LEN(TRIM($B$12:$B28))&gt;0),--(P$12:P28=TRUE())))&lt;=MOD(P$46,MAX(1,P$48)),1,0),0)</f>
        <v>0</v>
      </c>
    </row>
    <row r="69" customFormat="false" ht="15" hidden="true" customHeight="false" outlineLevel="0" collapsed="false">
      <c r="A69" s="13" t="s">
        <v>35</v>
      </c>
      <c r="D69" s="14" t="n">
        <f aca="false">IF(AND(D$47,D$48&gt;0,LEN(TRIM($B29))&gt;0,D29=TRUE(),IF(D$50,$C29&lt;&gt;TRUE(),TRUE())),QUOTIENT(D$46,MAX(1,D$48))+IF(IF(D$50,SUMPRODUCT(--(LEN(TRIM($B$12:$B29))&gt;0),--(D$12:D29=TRUE()),--($C$12:$C29&lt;&gt;TRUE())),SUMPRODUCT(--(LEN(TRIM($B$12:$B29))&gt;0),--(D$12:D29=TRUE())))&lt;=MOD(D$46,MAX(1,D$48)),1,0),0)</f>
        <v>0</v>
      </c>
      <c r="F69" s="14" t="n">
        <f aca="false">IF(AND(F$47,F$48&gt;0,LEN(TRIM($B29))&gt;0,F29=TRUE(),IF(F$50,$C29&lt;&gt;TRUE(),TRUE())),QUOTIENT(F$46,MAX(1,F$48))+IF(IF(F$50,SUMPRODUCT(--(LEN(TRIM($B$12:$B29))&gt;0),--(F$12:F29=TRUE()),--($C$12:$C29&lt;&gt;TRUE())),SUMPRODUCT(--(LEN(TRIM($B$12:$B29))&gt;0),--(F$12:F29=TRUE())))&lt;=MOD(F$46,MAX(1,F$48)),1,0),0)</f>
        <v>0</v>
      </c>
      <c r="H69" s="14" t="n">
        <f aca="false">IF(AND(H$47,H$48&gt;0,LEN(TRIM($B29))&gt;0,H29=TRUE(),IF(H$50,$C29&lt;&gt;TRUE(),TRUE())),QUOTIENT(H$46,MAX(1,H$48))+IF(IF(H$50,SUMPRODUCT(--(LEN(TRIM($B$12:$B29))&gt;0),--(H$12:H29=TRUE()),--($C$12:$C29&lt;&gt;TRUE())),SUMPRODUCT(--(LEN(TRIM($B$12:$B29))&gt;0),--(H$12:H29=TRUE())))&lt;=MOD(H$46,MAX(1,H$48)),1,0),0)</f>
        <v>0</v>
      </c>
      <c r="J69" s="14" t="n">
        <f aca="false">IF(AND(J$47,J$48&gt;0,LEN(TRIM($B29))&gt;0,J29=TRUE(),IF(J$50,$C29&lt;&gt;TRUE(),TRUE())),QUOTIENT(J$46,MAX(1,J$48))+IF(IF(J$50,SUMPRODUCT(--(LEN(TRIM($B$12:$B29))&gt;0),--(J$12:J29=TRUE()),--($C$12:$C29&lt;&gt;TRUE())),SUMPRODUCT(--(LEN(TRIM($B$12:$B29))&gt;0),--(J$12:J29=TRUE())))&lt;=MOD(J$46,MAX(1,J$48)),1,0),0)</f>
        <v>0</v>
      </c>
      <c r="L69" s="14" t="n">
        <f aca="false">IF(AND(L$47,L$48&gt;0,LEN(TRIM($B29))&gt;0,L29=TRUE(),IF(L$50,$C29&lt;&gt;TRUE(),TRUE())),QUOTIENT(L$46,MAX(1,L$48))+IF(IF(L$50,SUMPRODUCT(--(LEN(TRIM($B$12:$B29))&gt;0),--(L$12:L29=TRUE()),--($C$12:$C29&lt;&gt;TRUE())),SUMPRODUCT(--(LEN(TRIM($B$12:$B29))&gt;0),--(L$12:L29=TRUE())))&lt;=MOD(L$46,MAX(1,L$48)),1,0),0)</f>
        <v>0</v>
      </c>
      <c r="N69" s="14" t="n">
        <f aca="false">IF(AND(N$47,N$48&gt;0,LEN(TRIM($B29))&gt;0,N29=TRUE(),IF(N$50,$C29&lt;&gt;TRUE(),TRUE())),QUOTIENT(N$46,MAX(1,N$48))+IF(IF(N$50,SUMPRODUCT(--(LEN(TRIM($B$12:$B29))&gt;0),--(N$12:N29=TRUE()),--($C$12:$C29&lt;&gt;TRUE())),SUMPRODUCT(--(LEN(TRIM($B$12:$B29))&gt;0),--(N$12:N29=TRUE())))&lt;=MOD(N$46,MAX(1,N$48)),1,0),0)</f>
        <v>0</v>
      </c>
      <c r="P69" s="14" t="n">
        <f aca="false">IF(AND(P$47,P$48&gt;0,LEN(TRIM($B29))&gt;0,P29=TRUE(),IF(P$50,$C29&lt;&gt;TRUE(),TRUE())),QUOTIENT(P$46,MAX(1,P$48))+IF(IF(P$50,SUMPRODUCT(--(LEN(TRIM($B$12:$B29))&gt;0),--(P$12:P29=TRUE()),--($C$12:$C29&lt;&gt;TRUE())),SUMPRODUCT(--(LEN(TRIM($B$12:$B29))&gt;0),--(P$12:P29=TRUE())))&lt;=MOD(P$46,MAX(1,P$48)),1,0),0)</f>
        <v>0</v>
      </c>
    </row>
    <row r="70" customFormat="false" ht="15" hidden="true" customHeight="false" outlineLevel="0" collapsed="false">
      <c r="A70" s="13" t="s">
        <v>36</v>
      </c>
      <c r="D70" s="14" t="n">
        <f aca="false">IF(AND(D$47,D$48&gt;0,LEN(TRIM($B30))&gt;0,D30=TRUE(),IF(D$50,$C30&lt;&gt;TRUE(),TRUE())),QUOTIENT(D$46,MAX(1,D$48))+IF(IF(D$50,SUMPRODUCT(--(LEN(TRIM($B$12:$B30))&gt;0),--(D$12:D30=TRUE()),--($C$12:$C30&lt;&gt;TRUE())),SUMPRODUCT(--(LEN(TRIM($B$12:$B30))&gt;0),--(D$12:D30=TRUE())))&lt;=MOD(D$46,MAX(1,D$48)),1,0),0)</f>
        <v>0</v>
      </c>
      <c r="F70" s="14" t="n">
        <f aca="false">IF(AND(F$47,F$48&gt;0,LEN(TRIM($B30))&gt;0,F30=TRUE(),IF(F$50,$C30&lt;&gt;TRUE(),TRUE())),QUOTIENT(F$46,MAX(1,F$48))+IF(IF(F$50,SUMPRODUCT(--(LEN(TRIM($B$12:$B30))&gt;0),--(F$12:F30=TRUE()),--($C$12:$C30&lt;&gt;TRUE())),SUMPRODUCT(--(LEN(TRIM($B$12:$B30))&gt;0),--(F$12:F30=TRUE())))&lt;=MOD(F$46,MAX(1,F$48)),1,0),0)</f>
        <v>0</v>
      </c>
      <c r="H70" s="14" t="n">
        <f aca="false">IF(AND(H$47,H$48&gt;0,LEN(TRIM($B30))&gt;0,H30=TRUE(),IF(H$50,$C30&lt;&gt;TRUE(),TRUE())),QUOTIENT(H$46,MAX(1,H$48))+IF(IF(H$50,SUMPRODUCT(--(LEN(TRIM($B$12:$B30))&gt;0),--(H$12:H30=TRUE()),--($C$12:$C30&lt;&gt;TRUE())),SUMPRODUCT(--(LEN(TRIM($B$12:$B30))&gt;0),--(H$12:H30=TRUE())))&lt;=MOD(H$46,MAX(1,H$48)),1,0),0)</f>
        <v>0</v>
      </c>
      <c r="J70" s="14" t="n">
        <f aca="false">IF(AND(J$47,J$48&gt;0,LEN(TRIM($B30))&gt;0,J30=TRUE(),IF(J$50,$C30&lt;&gt;TRUE(),TRUE())),QUOTIENT(J$46,MAX(1,J$48))+IF(IF(J$50,SUMPRODUCT(--(LEN(TRIM($B$12:$B30))&gt;0),--(J$12:J30=TRUE()),--($C$12:$C30&lt;&gt;TRUE())),SUMPRODUCT(--(LEN(TRIM($B$12:$B30))&gt;0),--(J$12:J30=TRUE())))&lt;=MOD(J$46,MAX(1,J$48)),1,0),0)</f>
        <v>0</v>
      </c>
      <c r="L70" s="14" t="n">
        <f aca="false">IF(AND(L$47,L$48&gt;0,LEN(TRIM($B30))&gt;0,L30=TRUE(),IF(L$50,$C30&lt;&gt;TRUE(),TRUE())),QUOTIENT(L$46,MAX(1,L$48))+IF(IF(L$50,SUMPRODUCT(--(LEN(TRIM($B$12:$B30))&gt;0),--(L$12:L30=TRUE()),--($C$12:$C30&lt;&gt;TRUE())),SUMPRODUCT(--(LEN(TRIM($B$12:$B30))&gt;0),--(L$12:L30=TRUE())))&lt;=MOD(L$46,MAX(1,L$48)),1,0),0)</f>
        <v>0</v>
      </c>
      <c r="N70" s="14" t="n">
        <f aca="false">IF(AND(N$47,N$48&gt;0,LEN(TRIM($B30))&gt;0,N30=TRUE(),IF(N$50,$C30&lt;&gt;TRUE(),TRUE())),QUOTIENT(N$46,MAX(1,N$48))+IF(IF(N$50,SUMPRODUCT(--(LEN(TRIM($B$12:$B30))&gt;0),--(N$12:N30=TRUE()),--($C$12:$C30&lt;&gt;TRUE())),SUMPRODUCT(--(LEN(TRIM($B$12:$B30))&gt;0),--(N$12:N30=TRUE())))&lt;=MOD(N$46,MAX(1,N$48)),1,0),0)</f>
        <v>0</v>
      </c>
      <c r="P70" s="14" t="n">
        <f aca="false">IF(AND(P$47,P$48&gt;0,LEN(TRIM($B30))&gt;0,P30=TRUE(),IF(P$50,$C30&lt;&gt;TRUE(),TRUE())),QUOTIENT(P$46,MAX(1,P$48))+IF(IF(P$50,SUMPRODUCT(--(LEN(TRIM($B$12:$B30))&gt;0),--(P$12:P30=TRUE()),--($C$12:$C30&lt;&gt;TRUE())),SUMPRODUCT(--(LEN(TRIM($B$12:$B30))&gt;0),--(P$12:P30=TRUE())))&lt;=MOD(P$46,MAX(1,P$48)),1,0),0)</f>
        <v>0</v>
      </c>
    </row>
    <row r="71" customFormat="false" ht="15" hidden="true" customHeight="false" outlineLevel="0" collapsed="false">
      <c r="A71" s="13" t="s">
        <v>37</v>
      </c>
      <c r="D71" s="14" t="n">
        <f aca="false">IF(AND(D$47,D$48&gt;0,LEN(TRIM($B31))&gt;0,D31=TRUE(),IF(D$50,$C31&lt;&gt;TRUE(),TRUE())),QUOTIENT(D$46,MAX(1,D$48))+IF(IF(D$50,SUMPRODUCT(--(LEN(TRIM($B$12:$B31))&gt;0),--(D$12:D31=TRUE()),--($C$12:$C31&lt;&gt;TRUE())),SUMPRODUCT(--(LEN(TRIM($B$12:$B31))&gt;0),--(D$12:D31=TRUE())))&lt;=MOD(D$46,MAX(1,D$48)),1,0),0)</f>
        <v>0</v>
      </c>
      <c r="F71" s="14" t="n">
        <f aca="false">IF(AND(F$47,F$48&gt;0,LEN(TRIM($B31))&gt;0,F31=TRUE(),IF(F$50,$C31&lt;&gt;TRUE(),TRUE())),QUOTIENT(F$46,MAX(1,F$48))+IF(IF(F$50,SUMPRODUCT(--(LEN(TRIM($B$12:$B31))&gt;0),--(F$12:F31=TRUE()),--($C$12:$C31&lt;&gt;TRUE())),SUMPRODUCT(--(LEN(TRIM($B$12:$B31))&gt;0),--(F$12:F31=TRUE())))&lt;=MOD(F$46,MAX(1,F$48)),1,0),0)</f>
        <v>0</v>
      </c>
      <c r="H71" s="14" t="n">
        <f aca="false">IF(AND(H$47,H$48&gt;0,LEN(TRIM($B31))&gt;0,H31=TRUE(),IF(H$50,$C31&lt;&gt;TRUE(),TRUE())),QUOTIENT(H$46,MAX(1,H$48))+IF(IF(H$50,SUMPRODUCT(--(LEN(TRIM($B$12:$B31))&gt;0),--(H$12:H31=TRUE()),--($C$12:$C31&lt;&gt;TRUE())),SUMPRODUCT(--(LEN(TRIM($B$12:$B31))&gt;0),--(H$12:H31=TRUE())))&lt;=MOD(H$46,MAX(1,H$48)),1,0),0)</f>
        <v>0</v>
      </c>
      <c r="J71" s="14" t="n">
        <f aca="false">IF(AND(J$47,J$48&gt;0,LEN(TRIM($B31))&gt;0,J31=TRUE(),IF(J$50,$C31&lt;&gt;TRUE(),TRUE())),QUOTIENT(J$46,MAX(1,J$48))+IF(IF(J$50,SUMPRODUCT(--(LEN(TRIM($B$12:$B31))&gt;0),--(J$12:J31=TRUE()),--($C$12:$C31&lt;&gt;TRUE())),SUMPRODUCT(--(LEN(TRIM($B$12:$B31))&gt;0),--(J$12:J31=TRUE())))&lt;=MOD(J$46,MAX(1,J$48)),1,0),0)</f>
        <v>0</v>
      </c>
      <c r="L71" s="14" t="n">
        <f aca="false">IF(AND(L$47,L$48&gt;0,LEN(TRIM($B31))&gt;0,L31=TRUE(),IF(L$50,$C31&lt;&gt;TRUE(),TRUE())),QUOTIENT(L$46,MAX(1,L$48))+IF(IF(L$50,SUMPRODUCT(--(LEN(TRIM($B$12:$B31))&gt;0),--(L$12:L31=TRUE()),--($C$12:$C31&lt;&gt;TRUE())),SUMPRODUCT(--(LEN(TRIM($B$12:$B31))&gt;0),--(L$12:L31=TRUE())))&lt;=MOD(L$46,MAX(1,L$48)),1,0),0)</f>
        <v>0</v>
      </c>
      <c r="N71" s="14" t="n">
        <f aca="false">IF(AND(N$47,N$48&gt;0,LEN(TRIM($B31))&gt;0,N31=TRUE(),IF(N$50,$C31&lt;&gt;TRUE(),TRUE())),QUOTIENT(N$46,MAX(1,N$48))+IF(IF(N$50,SUMPRODUCT(--(LEN(TRIM($B$12:$B31))&gt;0),--(N$12:N31=TRUE()),--($C$12:$C31&lt;&gt;TRUE())),SUMPRODUCT(--(LEN(TRIM($B$12:$B31))&gt;0),--(N$12:N31=TRUE())))&lt;=MOD(N$46,MAX(1,N$48)),1,0),0)</f>
        <v>0</v>
      </c>
      <c r="P71" s="14" t="n">
        <f aca="false">IF(AND(P$47,P$48&gt;0,LEN(TRIM($B31))&gt;0,P31=TRUE(),IF(P$50,$C31&lt;&gt;TRUE(),TRUE())),QUOTIENT(P$46,MAX(1,P$48))+IF(IF(P$50,SUMPRODUCT(--(LEN(TRIM($B$12:$B31))&gt;0),--(P$12:P31=TRUE()),--($C$12:$C31&lt;&gt;TRUE())),SUMPRODUCT(--(LEN(TRIM($B$12:$B31))&gt;0),--(P$12:P31=TRUE())))&lt;=MOD(P$46,MAX(1,P$48)),1,0),0)</f>
        <v>0</v>
      </c>
    </row>
    <row r="72" customFormat="false" ht="15" hidden="true" customHeight="false" outlineLevel="0" collapsed="false">
      <c r="A72" s="13" t="s">
        <v>38</v>
      </c>
      <c r="D72" s="14" t="n">
        <f aca="false">IF(AND(D$47,D$48&gt;0,LEN(TRIM($B32))&gt;0,D32=TRUE(),IF(D$50,$C32&lt;&gt;TRUE(),TRUE())),QUOTIENT(D$46,MAX(1,D$48))+IF(IF(D$50,SUMPRODUCT(--(LEN(TRIM($B$12:$B32))&gt;0),--(D$12:D32=TRUE()),--($C$12:$C32&lt;&gt;TRUE())),SUMPRODUCT(--(LEN(TRIM($B$12:$B32))&gt;0),--(D$12:D32=TRUE())))&lt;=MOD(D$46,MAX(1,D$48)),1,0),0)</f>
        <v>0</v>
      </c>
      <c r="F72" s="14" t="n">
        <f aca="false">IF(AND(F$47,F$48&gt;0,LEN(TRIM($B32))&gt;0,F32=TRUE(),IF(F$50,$C32&lt;&gt;TRUE(),TRUE())),QUOTIENT(F$46,MAX(1,F$48))+IF(IF(F$50,SUMPRODUCT(--(LEN(TRIM($B$12:$B32))&gt;0),--(F$12:F32=TRUE()),--($C$12:$C32&lt;&gt;TRUE())),SUMPRODUCT(--(LEN(TRIM($B$12:$B32))&gt;0),--(F$12:F32=TRUE())))&lt;=MOD(F$46,MAX(1,F$48)),1,0),0)</f>
        <v>0</v>
      </c>
      <c r="H72" s="14" t="n">
        <f aca="false">IF(AND(H$47,H$48&gt;0,LEN(TRIM($B32))&gt;0,H32=TRUE(),IF(H$50,$C32&lt;&gt;TRUE(),TRUE())),QUOTIENT(H$46,MAX(1,H$48))+IF(IF(H$50,SUMPRODUCT(--(LEN(TRIM($B$12:$B32))&gt;0),--(H$12:H32=TRUE()),--($C$12:$C32&lt;&gt;TRUE())),SUMPRODUCT(--(LEN(TRIM($B$12:$B32))&gt;0),--(H$12:H32=TRUE())))&lt;=MOD(H$46,MAX(1,H$48)),1,0),0)</f>
        <v>0</v>
      </c>
      <c r="J72" s="14" t="n">
        <f aca="false">IF(AND(J$47,J$48&gt;0,LEN(TRIM($B32))&gt;0,J32=TRUE(),IF(J$50,$C32&lt;&gt;TRUE(),TRUE())),QUOTIENT(J$46,MAX(1,J$48))+IF(IF(J$50,SUMPRODUCT(--(LEN(TRIM($B$12:$B32))&gt;0),--(J$12:J32=TRUE()),--($C$12:$C32&lt;&gt;TRUE())),SUMPRODUCT(--(LEN(TRIM($B$12:$B32))&gt;0),--(J$12:J32=TRUE())))&lt;=MOD(J$46,MAX(1,J$48)),1,0),0)</f>
        <v>0</v>
      </c>
      <c r="L72" s="14" t="n">
        <f aca="false">IF(AND(L$47,L$48&gt;0,LEN(TRIM($B32))&gt;0,L32=TRUE(),IF(L$50,$C32&lt;&gt;TRUE(),TRUE())),QUOTIENT(L$46,MAX(1,L$48))+IF(IF(L$50,SUMPRODUCT(--(LEN(TRIM($B$12:$B32))&gt;0),--(L$12:L32=TRUE()),--($C$12:$C32&lt;&gt;TRUE())),SUMPRODUCT(--(LEN(TRIM($B$12:$B32))&gt;0),--(L$12:L32=TRUE())))&lt;=MOD(L$46,MAX(1,L$48)),1,0),0)</f>
        <v>0</v>
      </c>
      <c r="N72" s="14" t="n">
        <f aca="false">IF(AND(N$47,N$48&gt;0,LEN(TRIM($B32))&gt;0,N32=TRUE(),IF(N$50,$C32&lt;&gt;TRUE(),TRUE())),QUOTIENT(N$46,MAX(1,N$48))+IF(IF(N$50,SUMPRODUCT(--(LEN(TRIM($B$12:$B32))&gt;0),--(N$12:N32=TRUE()),--($C$12:$C32&lt;&gt;TRUE())),SUMPRODUCT(--(LEN(TRIM($B$12:$B32))&gt;0),--(N$12:N32=TRUE())))&lt;=MOD(N$46,MAX(1,N$48)),1,0),0)</f>
        <v>0</v>
      </c>
      <c r="P72" s="14" t="n">
        <f aca="false">IF(AND(P$47,P$48&gt;0,LEN(TRIM($B32))&gt;0,P32=TRUE(),IF(P$50,$C32&lt;&gt;TRUE(),TRUE())),QUOTIENT(P$46,MAX(1,P$48))+IF(IF(P$50,SUMPRODUCT(--(LEN(TRIM($B$12:$B32))&gt;0),--(P$12:P32=TRUE()),--($C$12:$C32&lt;&gt;TRUE())),SUMPRODUCT(--(LEN(TRIM($B$12:$B32))&gt;0),--(P$12:P32=TRUE())))&lt;=MOD(P$46,MAX(1,P$48)),1,0),0)</f>
        <v>0</v>
      </c>
    </row>
    <row r="73" customFormat="false" ht="15" hidden="true" customHeight="false" outlineLevel="0" collapsed="false">
      <c r="A73" s="13" t="s">
        <v>39</v>
      </c>
      <c r="D73" s="14" t="n">
        <f aca="false">IF(AND(D$47,D$48&gt;0,LEN(TRIM($B33))&gt;0,D33=TRUE(),IF(D$50,$C33&lt;&gt;TRUE(),TRUE())),QUOTIENT(D$46,MAX(1,D$48))+IF(IF(D$50,SUMPRODUCT(--(LEN(TRIM($B$12:$B33))&gt;0),--(D$12:D33=TRUE()),--($C$12:$C33&lt;&gt;TRUE())),SUMPRODUCT(--(LEN(TRIM($B$12:$B33))&gt;0),--(D$12:D33=TRUE())))&lt;=MOD(D$46,MAX(1,D$48)),1,0),0)</f>
        <v>0</v>
      </c>
      <c r="F73" s="14" t="n">
        <f aca="false">IF(AND(F$47,F$48&gt;0,LEN(TRIM($B33))&gt;0,F33=TRUE(),IF(F$50,$C33&lt;&gt;TRUE(),TRUE())),QUOTIENT(F$46,MAX(1,F$48))+IF(IF(F$50,SUMPRODUCT(--(LEN(TRIM($B$12:$B33))&gt;0),--(F$12:F33=TRUE()),--($C$12:$C33&lt;&gt;TRUE())),SUMPRODUCT(--(LEN(TRIM($B$12:$B33))&gt;0),--(F$12:F33=TRUE())))&lt;=MOD(F$46,MAX(1,F$48)),1,0),0)</f>
        <v>0</v>
      </c>
      <c r="H73" s="14" t="n">
        <f aca="false">IF(AND(H$47,H$48&gt;0,LEN(TRIM($B33))&gt;0,H33=TRUE(),IF(H$50,$C33&lt;&gt;TRUE(),TRUE())),QUOTIENT(H$46,MAX(1,H$48))+IF(IF(H$50,SUMPRODUCT(--(LEN(TRIM($B$12:$B33))&gt;0),--(H$12:H33=TRUE()),--($C$12:$C33&lt;&gt;TRUE())),SUMPRODUCT(--(LEN(TRIM($B$12:$B33))&gt;0),--(H$12:H33=TRUE())))&lt;=MOD(H$46,MAX(1,H$48)),1,0),0)</f>
        <v>0</v>
      </c>
      <c r="J73" s="14" t="n">
        <f aca="false">IF(AND(J$47,J$48&gt;0,LEN(TRIM($B33))&gt;0,J33=TRUE(),IF(J$50,$C33&lt;&gt;TRUE(),TRUE())),QUOTIENT(J$46,MAX(1,J$48))+IF(IF(J$50,SUMPRODUCT(--(LEN(TRIM($B$12:$B33))&gt;0),--(J$12:J33=TRUE()),--($C$12:$C33&lt;&gt;TRUE())),SUMPRODUCT(--(LEN(TRIM($B$12:$B33))&gt;0),--(J$12:J33=TRUE())))&lt;=MOD(J$46,MAX(1,J$48)),1,0),0)</f>
        <v>0</v>
      </c>
      <c r="L73" s="14" t="n">
        <f aca="false">IF(AND(L$47,L$48&gt;0,LEN(TRIM($B33))&gt;0,L33=TRUE(),IF(L$50,$C33&lt;&gt;TRUE(),TRUE())),QUOTIENT(L$46,MAX(1,L$48))+IF(IF(L$50,SUMPRODUCT(--(LEN(TRIM($B$12:$B33))&gt;0),--(L$12:L33=TRUE()),--($C$12:$C33&lt;&gt;TRUE())),SUMPRODUCT(--(LEN(TRIM($B$12:$B33))&gt;0),--(L$12:L33=TRUE())))&lt;=MOD(L$46,MAX(1,L$48)),1,0),0)</f>
        <v>0</v>
      </c>
      <c r="N73" s="14" t="n">
        <f aca="false">IF(AND(N$47,N$48&gt;0,LEN(TRIM($B33))&gt;0,N33=TRUE(),IF(N$50,$C33&lt;&gt;TRUE(),TRUE())),QUOTIENT(N$46,MAX(1,N$48))+IF(IF(N$50,SUMPRODUCT(--(LEN(TRIM($B$12:$B33))&gt;0),--(N$12:N33=TRUE()),--($C$12:$C33&lt;&gt;TRUE())),SUMPRODUCT(--(LEN(TRIM($B$12:$B33))&gt;0),--(N$12:N33=TRUE())))&lt;=MOD(N$46,MAX(1,N$48)),1,0),0)</f>
        <v>0</v>
      </c>
      <c r="P73" s="14" t="n">
        <f aca="false">IF(AND(P$47,P$48&gt;0,LEN(TRIM($B33))&gt;0,P33=TRUE(),IF(P$50,$C33&lt;&gt;TRUE(),TRUE())),QUOTIENT(P$46,MAX(1,P$48))+IF(IF(P$50,SUMPRODUCT(--(LEN(TRIM($B$12:$B33))&gt;0),--(P$12:P33=TRUE()),--($C$12:$C33&lt;&gt;TRUE())),SUMPRODUCT(--(LEN(TRIM($B$12:$B33))&gt;0),--(P$12:P33=TRUE())))&lt;=MOD(P$46,MAX(1,P$48)),1,0),0)</f>
        <v>0</v>
      </c>
    </row>
    <row r="74" customFormat="false" ht="15" hidden="true" customHeight="false" outlineLevel="0" collapsed="false">
      <c r="A74" s="13" t="s">
        <v>40</v>
      </c>
      <c r="D74" s="14" t="n">
        <f aca="false">IF(AND(D$47,D$48&gt;0,LEN(TRIM($B34))&gt;0,D34=TRUE(),IF(D$50,$C34&lt;&gt;TRUE(),TRUE())),QUOTIENT(D$46,MAX(1,D$48))+IF(IF(D$50,SUMPRODUCT(--(LEN(TRIM($B$12:$B34))&gt;0),--(D$12:D34=TRUE()),--($C$12:$C34&lt;&gt;TRUE())),SUMPRODUCT(--(LEN(TRIM($B$12:$B34))&gt;0),--(D$12:D34=TRUE())))&lt;=MOD(D$46,MAX(1,D$48)),1,0),0)</f>
        <v>0</v>
      </c>
      <c r="F74" s="14" t="n">
        <f aca="false">IF(AND(F$47,F$48&gt;0,LEN(TRIM($B34))&gt;0,F34=TRUE(),IF(F$50,$C34&lt;&gt;TRUE(),TRUE())),QUOTIENT(F$46,MAX(1,F$48))+IF(IF(F$50,SUMPRODUCT(--(LEN(TRIM($B$12:$B34))&gt;0),--(F$12:F34=TRUE()),--($C$12:$C34&lt;&gt;TRUE())),SUMPRODUCT(--(LEN(TRIM($B$12:$B34))&gt;0),--(F$12:F34=TRUE())))&lt;=MOD(F$46,MAX(1,F$48)),1,0),0)</f>
        <v>0</v>
      </c>
      <c r="H74" s="14" t="n">
        <f aca="false">IF(AND(H$47,H$48&gt;0,LEN(TRIM($B34))&gt;0,H34=TRUE(),IF(H$50,$C34&lt;&gt;TRUE(),TRUE())),QUOTIENT(H$46,MAX(1,H$48))+IF(IF(H$50,SUMPRODUCT(--(LEN(TRIM($B$12:$B34))&gt;0),--(H$12:H34=TRUE()),--($C$12:$C34&lt;&gt;TRUE())),SUMPRODUCT(--(LEN(TRIM($B$12:$B34))&gt;0),--(H$12:H34=TRUE())))&lt;=MOD(H$46,MAX(1,H$48)),1,0),0)</f>
        <v>0</v>
      </c>
      <c r="J74" s="14" t="n">
        <f aca="false">IF(AND(J$47,J$48&gt;0,LEN(TRIM($B34))&gt;0,J34=TRUE(),IF(J$50,$C34&lt;&gt;TRUE(),TRUE())),QUOTIENT(J$46,MAX(1,J$48))+IF(IF(J$50,SUMPRODUCT(--(LEN(TRIM($B$12:$B34))&gt;0),--(J$12:J34=TRUE()),--($C$12:$C34&lt;&gt;TRUE())),SUMPRODUCT(--(LEN(TRIM($B$12:$B34))&gt;0),--(J$12:J34=TRUE())))&lt;=MOD(J$46,MAX(1,J$48)),1,0),0)</f>
        <v>0</v>
      </c>
      <c r="L74" s="14" t="n">
        <f aca="false">IF(AND(L$47,L$48&gt;0,LEN(TRIM($B34))&gt;0,L34=TRUE(),IF(L$50,$C34&lt;&gt;TRUE(),TRUE())),QUOTIENT(L$46,MAX(1,L$48))+IF(IF(L$50,SUMPRODUCT(--(LEN(TRIM($B$12:$B34))&gt;0),--(L$12:L34=TRUE()),--($C$12:$C34&lt;&gt;TRUE())),SUMPRODUCT(--(LEN(TRIM($B$12:$B34))&gt;0),--(L$12:L34=TRUE())))&lt;=MOD(L$46,MAX(1,L$48)),1,0),0)</f>
        <v>0</v>
      </c>
      <c r="N74" s="14" t="n">
        <f aca="false">IF(AND(N$47,N$48&gt;0,LEN(TRIM($B34))&gt;0,N34=TRUE(),IF(N$50,$C34&lt;&gt;TRUE(),TRUE())),QUOTIENT(N$46,MAX(1,N$48))+IF(IF(N$50,SUMPRODUCT(--(LEN(TRIM($B$12:$B34))&gt;0),--(N$12:N34=TRUE()),--($C$12:$C34&lt;&gt;TRUE())),SUMPRODUCT(--(LEN(TRIM($B$12:$B34))&gt;0),--(N$12:N34=TRUE())))&lt;=MOD(N$46,MAX(1,N$48)),1,0),0)</f>
        <v>0</v>
      </c>
      <c r="P74" s="14" t="n">
        <f aca="false">IF(AND(P$47,P$48&gt;0,LEN(TRIM($B34))&gt;0,P34=TRUE(),IF(P$50,$C34&lt;&gt;TRUE(),TRUE())),QUOTIENT(P$46,MAX(1,P$48))+IF(IF(P$50,SUMPRODUCT(--(LEN(TRIM($B$12:$B34))&gt;0),--(P$12:P34=TRUE()),--($C$12:$C34&lt;&gt;TRUE())),SUMPRODUCT(--(LEN(TRIM($B$12:$B34))&gt;0),--(P$12:P34=TRUE())))&lt;=MOD(P$46,MAX(1,P$48)),1,0),0)</f>
        <v>0</v>
      </c>
    </row>
    <row r="75" customFormat="false" ht="15" hidden="true" customHeight="false" outlineLevel="0" collapsed="false">
      <c r="A75" s="13" t="s">
        <v>41</v>
      </c>
      <c r="D75" s="14" t="n">
        <f aca="false">IF(AND(D$47,D$48&gt;0,LEN(TRIM($B35))&gt;0,D35=TRUE(),IF(D$50,$C35&lt;&gt;TRUE(),TRUE())),QUOTIENT(D$46,MAX(1,D$48))+IF(IF(D$50,SUMPRODUCT(--(LEN(TRIM($B$12:$B35))&gt;0),--(D$12:D35=TRUE()),--($C$12:$C35&lt;&gt;TRUE())),SUMPRODUCT(--(LEN(TRIM($B$12:$B35))&gt;0),--(D$12:D35=TRUE())))&lt;=MOD(D$46,MAX(1,D$48)),1,0),0)</f>
        <v>0</v>
      </c>
      <c r="F75" s="14" t="n">
        <f aca="false">IF(AND(F$47,F$48&gt;0,LEN(TRIM($B35))&gt;0,F35=TRUE(),IF(F$50,$C35&lt;&gt;TRUE(),TRUE())),QUOTIENT(F$46,MAX(1,F$48))+IF(IF(F$50,SUMPRODUCT(--(LEN(TRIM($B$12:$B35))&gt;0),--(F$12:F35=TRUE()),--($C$12:$C35&lt;&gt;TRUE())),SUMPRODUCT(--(LEN(TRIM($B$12:$B35))&gt;0),--(F$12:F35=TRUE())))&lt;=MOD(F$46,MAX(1,F$48)),1,0),0)</f>
        <v>0</v>
      </c>
      <c r="H75" s="14" t="n">
        <f aca="false">IF(AND(H$47,H$48&gt;0,LEN(TRIM($B35))&gt;0,H35=TRUE(),IF(H$50,$C35&lt;&gt;TRUE(),TRUE())),QUOTIENT(H$46,MAX(1,H$48))+IF(IF(H$50,SUMPRODUCT(--(LEN(TRIM($B$12:$B35))&gt;0),--(H$12:H35=TRUE()),--($C$12:$C35&lt;&gt;TRUE())),SUMPRODUCT(--(LEN(TRIM($B$12:$B35))&gt;0),--(H$12:H35=TRUE())))&lt;=MOD(H$46,MAX(1,H$48)),1,0),0)</f>
        <v>0</v>
      </c>
      <c r="J75" s="14" t="n">
        <f aca="false">IF(AND(J$47,J$48&gt;0,LEN(TRIM($B35))&gt;0,J35=TRUE(),IF(J$50,$C35&lt;&gt;TRUE(),TRUE())),QUOTIENT(J$46,MAX(1,J$48))+IF(IF(J$50,SUMPRODUCT(--(LEN(TRIM($B$12:$B35))&gt;0),--(J$12:J35=TRUE()),--($C$12:$C35&lt;&gt;TRUE())),SUMPRODUCT(--(LEN(TRIM($B$12:$B35))&gt;0),--(J$12:J35=TRUE())))&lt;=MOD(J$46,MAX(1,J$48)),1,0),0)</f>
        <v>0</v>
      </c>
      <c r="L75" s="14" t="n">
        <f aca="false">IF(AND(L$47,L$48&gt;0,LEN(TRIM($B35))&gt;0,L35=TRUE(),IF(L$50,$C35&lt;&gt;TRUE(),TRUE())),QUOTIENT(L$46,MAX(1,L$48))+IF(IF(L$50,SUMPRODUCT(--(LEN(TRIM($B$12:$B35))&gt;0),--(L$12:L35=TRUE()),--($C$12:$C35&lt;&gt;TRUE())),SUMPRODUCT(--(LEN(TRIM($B$12:$B35))&gt;0),--(L$12:L35=TRUE())))&lt;=MOD(L$46,MAX(1,L$48)),1,0),0)</f>
        <v>0</v>
      </c>
      <c r="N75" s="14" t="n">
        <f aca="false">IF(AND(N$47,N$48&gt;0,LEN(TRIM($B35))&gt;0,N35=TRUE(),IF(N$50,$C35&lt;&gt;TRUE(),TRUE())),QUOTIENT(N$46,MAX(1,N$48))+IF(IF(N$50,SUMPRODUCT(--(LEN(TRIM($B$12:$B35))&gt;0),--(N$12:N35=TRUE()),--($C$12:$C35&lt;&gt;TRUE())),SUMPRODUCT(--(LEN(TRIM($B$12:$B35))&gt;0),--(N$12:N35=TRUE())))&lt;=MOD(N$46,MAX(1,N$48)),1,0),0)</f>
        <v>0</v>
      </c>
      <c r="P75" s="14" t="n">
        <f aca="false">IF(AND(P$47,P$48&gt;0,LEN(TRIM($B35))&gt;0,P35=TRUE(),IF(P$50,$C35&lt;&gt;TRUE(),TRUE())),QUOTIENT(P$46,MAX(1,P$48))+IF(IF(P$50,SUMPRODUCT(--(LEN(TRIM($B$12:$B35))&gt;0),--(P$12:P35=TRUE()),--($C$12:$C35&lt;&gt;TRUE())),SUMPRODUCT(--(LEN(TRIM($B$12:$B35))&gt;0),--(P$12:P35=TRUE())))&lt;=MOD(P$46,MAX(1,P$48)),1,0),0)</f>
        <v>0</v>
      </c>
    </row>
    <row r="76" customFormat="false" ht="15" hidden="true" customHeight="false" outlineLevel="0" collapsed="false">
      <c r="A76" s="13" t="s">
        <v>42</v>
      </c>
      <c r="D76" s="14" t="n">
        <f aca="false">IF(AND(D$47,D$48&gt;0,LEN(TRIM($B36))&gt;0,D36=TRUE(),IF(D$50,$C36&lt;&gt;TRUE(),TRUE())),QUOTIENT(D$46,MAX(1,D$48))+IF(IF(D$50,SUMPRODUCT(--(LEN(TRIM($B$12:$B36))&gt;0),--(D$12:D36=TRUE()),--($C$12:$C36&lt;&gt;TRUE())),SUMPRODUCT(--(LEN(TRIM($B$12:$B36))&gt;0),--(D$12:D36=TRUE())))&lt;=MOD(D$46,MAX(1,D$48)),1,0),0)</f>
        <v>0</v>
      </c>
      <c r="F76" s="14" t="n">
        <f aca="false">IF(AND(F$47,F$48&gt;0,LEN(TRIM($B36))&gt;0,F36=TRUE(),IF(F$50,$C36&lt;&gt;TRUE(),TRUE())),QUOTIENT(F$46,MAX(1,F$48))+IF(IF(F$50,SUMPRODUCT(--(LEN(TRIM($B$12:$B36))&gt;0),--(F$12:F36=TRUE()),--($C$12:$C36&lt;&gt;TRUE())),SUMPRODUCT(--(LEN(TRIM($B$12:$B36))&gt;0),--(F$12:F36=TRUE())))&lt;=MOD(F$46,MAX(1,F$48)),1,0),0)</f>
        <v>0</v>
      </c>
      <c r="H76" s="14" t="n">
        <f aca="false">IF(AND(H$47,H$48&gt;0,LEN(TRIM($B36))&gt;0,H36=TRUE(),IF(H$50,$C36&lt;&gt;TRUE(),TRUE())),QUOTIENT(H$46,MAX(1,H$48))+IF(IF(H$50,SUMPRODUCT(--(LEN(TRIM($B$12:$B36))&gt;0),--(H$12:H36=TRUE()),--($C$12:$C36&lt;&gt;TRUE())),SUMPRODUCT(--(LEN(TRIM($B$12:$B36))&gt;0),--(H$12:H36=TRUE())))&lt;=MOD(H$46,MAX(1,H$48)),1,0),0)</f>
        <v>0</v>
      </c>
      <c r="J76" s="14" t="n">
        <f aca="false">IF(AND(J$47,J$48&gt;0,LEN(TRIM($B36))&gt;0,J36=TRUE(),IF(J$50,$C36&lt;&gt;TRUE(),TRUE())),QUOTIENT(J$46,MAX(1,J$48))+IF(IF(J$50,SUMPRODUCT(--(LEN(TRIM($B$12:$B36))&gt;0),--(J$12:J36=TRUE()),--($C$12:$C36&lt;&gt;TRUE())),SUMPRODUCT(--(LEN(TRIM($B$12:$B36))&gt;0),--(J$12:J36=TRUE())))&lt;=MOD(J$46,MAX(1,J$48)),1,0),0)</f>
        <v>0</v>
      </c>
      <c r="L76" s="14" t="n">
        <f aca="false">IF(AND(L$47,L$48&gt;0,LEN(TRIM($B36))&gt;0,L36=TRUE(),IF(L$50,$C36&lt;&gt;TRUE(),TRUE())),QUOTIENT(L$46,MAX(1,L$48))+IF(IF(L$50,SUMPRODUCT(--(LEN(TRIM($B$12:$B36))&gt;0),--(L$12:L36=TRUE()),--($C$12:$C36&lt;&gt;TRUE())),SUMPRODUCT(--(LEN(TRIM($B$12:$B36))&gt;0),--(L$12:L36=TRUE())))&lt;=MOD(L$46,MAX(1,L$48)),1,0),0)</f>
        <v>0</v>
      </c>
      <c r="N76" s="14" t="n">
        <f aca="false">IF(AND(N$47,N$48&gt;0,LEN(TRIM($B36))&gt;0,N36=TRUE(),IF(N$50,$C36&lt;&gt;TRUE(),TRUE())),QUOTIENT(N$46,MAX(1,N$48))+IF(IF(N$50,SUMPRODUCT(--(LEN(TRIM($B$12:$B36))&gt;0),--(N$12:N36=TRUE()),--($C$12:$C36&lt;&gt;TRUE())),SUMPRODUCT(--(LEN(TRIM($B$12:$B36))&gt;0),--(N$12:N36=TRUE())))&lt;=MOD(N$46,MAX(1,N$48)),1,0),0)</f>
        <v>0</v>
      </c>
      <c r="P76" s="14" t="n">
        <f aca="false">IF(AND(P$47,P$48&gt;0,LEN(TRIM($B36))&gt;0,P36=TRUE(),IF(P$50,$C36&lt;&gt;TRUE(),TRUE())),QUOTIENT(P$46,MAX(1,P$48))+IF(IF(P$50,SUMPRODUCT(--(LEN(TRIM($B$12:$B36))&gt;0),--(P$12:P36=TRUE()),--($C$12:$C36&lt;&gt;TRUE())),SUMPRODUCT(--(LEN(TRIM($B$12:$B36))&gt;0),--(P$12:P36=TRUE())))&lt;=MOD(P$46,MAX(1,P$48)),1,0),0)</f>
        <v>0</v>
      </c>
    </row>
    <row r="77" customFormat="false" ht="15" hidden="true" customHeight="false" outlineLevel="0" collapsed="false">
      <c r="A77" s="13" t="s">
        <v>43</v>
      </c>
      <c r="D77" s="14" t="n">
        <f aca="false">IF(AND(D$47,D$48&gt;0,LEN(TRIM($B37))&gt;0,D37=TRUE(),IF(D$50,$C37&lt;&gt;TRUE(),TRUE())),QUOTIENT(D$46,MAX(1,D$48))+IF(IF(D$50,SUMPRODUCT(--(LEN(TRIM($B$12:$B37))&gt;0),--(D$12:D37=TRUE()),--($C$12:$C37&lt;&gt;TRUE())),SUMPRODUCT(--(LEN(TRIM($B$12:$B37))&gt;0),--(D$12:D37=TRUE())))&lt;=MOD(D$46,MAX(1,D$48)),1,0),0)</f>
        <v>0</v>
      </c>
      <c r="F77" s="14" t="n">
        <f aca="false">IF(AND(F$47,F$48&gt;0,LEN(TRIM($B37))&gt;0,F37=TRUE(),IF(F$50,$C37&lt;&gt;TRUE(),TRUE())),QUOTIENT(F$46,MAX(1,F$48))+IF(IF(F$50,SUMPRODUCT(--(LEN(TRIM($B$12:$B37))&gt;0),--(F$12:F37=TRUE()),--($C$12:$C37&lt;&gt;TRUE())),SUMPRODUCT(--(LEN(TRIM($B$12:$B37))&gt;0),--(F$12:F37=TRUE())))&lt;=MOD(F$46,MAX(1,F$48)),1,0),0)</f>
        <v>0</v>
      </c>
      <c r="H77" s="14" t="n">
        <f aca="false">IF(AND(H$47,H$48&gt;0,LEN(TRIM($B37))&gt;0,H37=TRUE(),IF(H$50,$C37&lt;&gt;TRUE(),TRUE())),QUOTIENT(H$46,MAX(1,H$48))+IF(IF(H$50,SUMPRODUCT(--(LEN(TRIM($B$12:$B37))&gt;0),--(H$12:H37=TRUE()),--($C$12:$C37&lt;&gt;TRUE())),SUMPRODUCT(--(LEN(TRIM($B$12:$B37))&gt;0),--(H$12:H37=TRUE())))&lt;=MOD(H$46,MAX(1,H$48)),1,0),0)</f>
        <v>0</v>
      </c>
      <c r="J77" s="14" t="n">
        <f aca="false">IF(AND(J$47,J$48&gt;0,LEN(TRIM($B37))&gt;0,J37=TRUE(),IF(J$50,$C37&lt;&gt;TRUE(),TRUE())),QUOTIENT(J$46,MAX(1,J$48))+IF(IF(J$50,SUMPRODUCT(--(LEN(TRIM($B$12:$B37))&gt;0),--(J$12:J37=TRUE()),--($C$12:$C37&lt;&gt;TRUE())),SUMPRODUCT(--(LEN(TRIM($B$12:$B37))&gt;0),--(J$12:J37=TRUE())))&lt;=MOD(J$46,MAX(1,J$48)),1,0),0)</f>
        <v>0</v>
      </c>
      <c r="L77" s="14" t="n">
        <f aca="false">IF(AND(L$47,L$48&gt;0,LEN(TRIM($B37))&gt;0,L37=TRUE(),IF(L$50,$C37&lt;&gt;TRUE(),TRUE())),QUOTIENT(L$46,MAX(1,L$48))+IF(IF(L$50,SUMPRODUCT(--(LEN(TRIM($B$12:$B37))&gt;0),--(L$12:L37=TRUE()),--($C$12:$C37&lt;&gt;TRUE())),SUMPRODUCT(--(LEN(TRIM($B$12:$B37))&gt;0),--(L$12:L37=TRUE())))&lt;=MOD(L$46,MAX(1,L$48)),1,0),0)</f>
        <v>0</v>
      </c>
      <c r="N77" s="14" t="n">
        <f aca="false">IF(AND(N$47,N$48&gt;0,LEN(TRIM($B37))&gt;0,N37=TRUE(),IF(N$50,$C37&lt;&gt;TRUE(),TRUE())),QUOTIENT(N$46,MAX(1,N$48))+IF(IF(N$50,SUMPRODUCT(--(LEN(TRIM($B$12:$B37))&gt;0),--(N$12:N37=TRUE()),--($C$12:$C37&lt;&gt;TRUE())),SUMPRODUCT(--(LEN(TRIM($B$12:$B37))&gt;0),--(N$12:N37=TRUE())))&lt;=MOD(N$46,MAX(1,N$48)),1,0),0)</f>
        <v>0</v>
      </c>
      <c r="P77" s="14" t="n">
        <f aca="false">IF(AND(P$47,P$48&gt;0,LEN(TRIM($B37))&gt;0,P37=TRUE(),IF(P$50,$C37&lt;&gt;TRUE(),TRUE())),QUOTIENT(P$46,MAX(1,P$48))+IF(IF(P$50,SUMPRODUCT(--(LEN(TRIM($B$12:$B37))&gt;0),--(P$12:P37=TRUE()),--($C$12:$C37&lt;&gt;TRUE())),SUMPRODUCT(--(LEN(TRIM($B$12:$B37))&gt;0),--(P$12:P37=TRUE())))&lt;=MOD(P$46,MAX(1,P$48)),1,0),0)</f>
        <v>0</v>
      </c>
    </row>
    <row r="78" customFormat="false" ht="15" hidden="true" customHeight="false" outlineLevel="0" collapsed="false">
      <c r="A78" s="13" t="s">
        <v>44</v>
      </c>
      <c r="D78" s="14" t="n">
        <f aca="false">IF(AND(D$47,D$48&gt;0,LEN(TRIM($B38))&gt;0,D38=TRUE(),IF(D$50,$C38&lt;&gt;TRUE(),TRUE())),QUOTIENT(D$46,MAX(1,D$48))+IF(IF(D$50,SUMPRODUCT(--(LEN(TRIM($B$12:$B38))&gt;0),--(D$12:D38=TRUE()),--($C$12:$C38&lt;&gt;TRUE())),SUMPRODUCT(--(LEN(TRIM($B$12:$B38))&gt;0),--(D$12:D38=TRUE())))&lt;=MOD(D$46,MAX(1,D$48)),1,0),0)</f>
        <v>0</v>
      </c>
      <c r="F78" s="14" t="n">
        <f aca="false">IF(AND(F$47,F$48&gt;0,LEN(TRIM($B38))&gt;0,F38=TRUE(),IF(F$50,$C38&lt;&gt;TRUE(),TRUE())),QUOTIENT(F$46,MAX(1,F$48))+IF(IF(F$50,SUMPRODUCT(--(LEN(TRIM($B$12:$B38))&gt;0),--(F$12:F38=TRUE()),--($C$12:$C38&lt;&gt;TRUE())),SUMPRODUCT(--(LEN(TRIM($B$12:$B38))&gt;0),--(F$12:F38=TRUE())))&lt;=MOD(F$46,MAX(1,F$48)),1,0),0)</f>
        <v>0</v>
      </c>
      <c r="H78" s="14" t="n">
        <f aca="false">IF(AND(H$47,H$48&gt;0,LEN(TRIM($B38))&gt;0,H38=TRUE(),IF(H$50,$C38&lt;&gt;TRUE(),TRUE())),QUOTIENT(H$46,MAX(1,H$48))+IF(IF(H$50,SUMPRODUCT(--(LEN(TRIM($B$12:$B38))&gt;0),--(H$12:H38=TRUE()),--($C$12:$C38&lt;&gt;TRUE())),SUMPRODUCT(--(LEN(TRIM($B$12:$B38))&gt;0),--(H$12:H38=TRUE())))&lt;=MOD(H$46,MAX(1,H$48)),1,0),0)</f>
        <v>0</v>
      </c>
      <c r="J78" s="14" t="n">
        <f aca="false">IF(AND(J$47,J$48&gt;0,LEN(TRIM($B38))&gt;0,J38=TRUE(),IF(J$50,$C38&lt;&gt;TRUE(),TRUE())),QUOTIENT(J$46,MAX(1,J$48))+IF(IF(J$50,SUMPRODUCT(--(LEN(TRIM($B$12:$B38))&gt;0),--(J$12:J38=TRUE()),--($C$12:$C38&lt;&gt;TRUE())),SUMPRODUCT(--(LEN(TRIM($B$12:$B38))&gt;0),--(J$12:J38=TRUE())))&lt;=MOD(J$46,MAX(1,J$48)),1,0),0)</f>
        <v>0</v>
      </c>
      <c r="L78" s="14" t="n">
        <f aca="false">IF(AND(L$47,L$48&gt;0,LEN(TRIM($B38))&gt;0,L38=TRUE(),IF(L$50,$C38&lt;&gt;TRUE(),TRUE())),QUOTIENT(L$46,MAX(1,L$48))+IF(IF(L$50,SUMPRODUCT(--(LEN(TRIM($B$12:$B38))&gt;0),--(L$12:L38=TRUE()),--($C$12:$C38&lt;&gt;TRUE())),SUMPRODUCT(--(LEN(TRIM($B$12:$B38))&gt;0),--(L$12:L38=TRUE())))&lt;=MOD(L$46,MAX(1,L$48)),1,0),0)</f>
        <v>0</v>
      </c>
      <c r="N78" s="14" t="n">
        <f aca="false">IF(AND(N$47,N$48&gt;0,LEN(TRIM($B38))&gt;0,N38=TRUE(),IF(N$50,$C38&lt;&gt;TRUE(),TRUE())),QUOTIENT(N$46,MAX(1,N$48))+IF(IF(N$50,SUMPRODUCT(--(LEN(TRIM($B$12:$B38))&gt;0),--(N$12:N38=TRUE()),--($C$12:$C38&lt;&gt;TRUE())),SUMPRODUCT(--(LEN(TRIM($B$12:$B38))&gt;0),--(N$12:N38=TRUE())))&lt;=MOD(N$46,MAX(1,N$48)),1,0),0)</f>
        <v>0</v>
      </c>
      <c r="P78" s="14" t="n">
        <f aca="false">IF(AND(P$47,P$48&gt;0,LEN(TRIM($B38))&gt;0,P38=TRUE(),IF(P$50,$C38&lt;&gt;TRUE(),TRUE())),QUOTIENT(P$46,MAX(1,P$48))+IF(IF(P$50,SUMPRODUCT(--(LEN(TRIM($B$12:$B38))&gt;0),--(P$12:P38=TRUE()),--($C$12:$C38&lt;&gt;TRUE())),SUMPRODUCT(--(LEN(TRIM($B$12:$B38))&gt;0),--(P$12:P38=TRUE())))&lt;=MOD(P$46,MAX(1,P$48)),1,0),0)</f>
        <v>0</v>
      </c>
    </row>
    <row r="79" customFormat="false" ht="15" hidden="true" customHeight="false" outlineLevel="0" collapsed="false">
      <c r="A79" s="13" t="s">
        <v>45</v>
      </c>
      <c r="D79" s="14" t="n">
        <f aca="false">IF(AND(D$47,D$48&gt;0,LEN(TRIM($B39))&gt;0,D39=TRUE(),IF(D$50,$C39&lt;&gt;TRUE(),TRUE())),QUOTIENT(D$46,MAX(1,D$48))+IF(IF(D$50,SUMPRODUCT(--(LEN(TRIM($B$12:$B39))&gt;0),--(D$12:D39=TRUE()),--($C$12:$C39&lt;&gt;TRUE())),SUMPRODUCT(--(LEN(TRIM($B$12:$B39))&gt;0),--(D$12:D39=TRUE())))&lt;=MOD(D$46,MAX(1,D$48)),1,0),0)</f>
        <v>0</v>
      </c>
      <c r="F79" s="14" t="n">
        <f aca="false">IF(AND(F$47,F$48&gt;0,LEN(TRIM($B39))&gt;0,F39=TRUE(),IF(F$50,$C39&lt;&gt;TRUE(),TRUE())),QUOTIENT(F$46,MAX(1,F$48))+IF(IF(F$50,SUMPRODUCT(--(LEN(TRIM($B$12:$B39))&gt;0),--(F$12:F39=TRUE()),--($C$12:$C39&lt;&gt;TRUE())),SUMPRODUCT(--(LEN(TRIM($B$12:$B39))&gt;0),--(F$12:F39=TRUE())))&lt;=MOD(F$46,MAX(1,F$48)),1,0),0)</f>
        <v>0</v>
      </c>
      <c r="H79" s="14" t="n">
        <f aca="false">IF(AND(H$47,H$48&gt;0,LEN(TRIM($B39))&gt;0,H39=TRUE(),IF(H$50,$C39&lt;&gt;TRUE(),TRUE())),QUOTIENT(H$46,MAX(1,H$48))+IF(IF(H$50,SUMPRODUCT(--(LEN(TRIM($B$12:$B39))&gt;0),--(H$12:H39=TRUE()),--($C$12:$C39&lt;&gt;TRUE())),SUMPRODUCT(--(LEN(TRIM($B$12:$B39))&gt;0),--(H$12:H39=TRUE())))&lt;=MOD(H$46,MAX(1,H$48)),1,0),0)</f>
        <v>0</v>
      </c>
      <c r="J79" s="14" t="n">
        <f aca="false">IF(AND(J$47,J$48&gt;0,LEN(TRIM($B39))&gt;0,J39=TRUE(),IF(J$50,$C39&lt;&gt;TRUE(),TRUE())),QUOTIENT(J$46,MAX(1,J$48))+IF(IF(J$50,SUMPRODUCT(--(LEN(TRIM($B$12:$B39))&gt;0),--(J$12:J39=TRUE()),--($C$12:$C39&lt;&gt;TRUE())),SUMPRODUCT(--(LEN(TRIM($B$12:$B39))&gt;0),--(J$12:J39=TRUE())))&lt;=MOD(J$46,MAX(1,J$48)),1,0),0)</f>
        <v>0</v>
      </c>
      <c r="L79" s="14" t="n">
        <f aca="false">IF(AND(L$47,L$48&gt;0,LEN(TRIM($B39))&gt;0,L39=TRUE(),IF(L$50,$C39&lt;&gt;TRUE(),TRUE())),QUOTIENT(L$46,MAX(1,L$48))+IF(IF(L$50,SUMPRODUCT(--(LEN(TRIM($B$12:$B39))&gt;0),--(L$12:L39=TRUE()),--($C$12:$C39&lt;&gt;TRUE())),SUMPRODUCT(--(LEN(TRIM($B$12:$B39))&gt;0),--(L$12:L39=TRUE())))&lt;=MOD(L$46,MAX(1,L$48)),1,0),0)</f>
        <v>0</v>
      </c>
      <c r="N79" s="14" t="n">
        <f aca="false">IF(AND(N$47,N$48&gt;0,LEN(TRIM($B39))&gt;0,N39=TRUE(),IF(N$50,$C39&lt;&gt;TRUE(),TRUE())),QUOTIENT(N$46,MAX(1,N$48))+IF(IF(N$50,SUMPRODUCT(--(LEN(TRIM($B$12:$B39))&gt;0),--(N$12:N39=TRUE()),--($C$12:$C39&lt;&gt;TRUE())),SUMPRODUCT(--(LEN(TRIM($B$12:$B39))&gt;0),--(N$12:N39=TRUE())))&lt;=MOD(N$46,MAX(1,N$48)),1,0),0)</f>
        <v>0</v>
      </c>
      <c r="P79" s="14" t="n">
        <f aca="false">IF(AND(P$47,P$48&gt;0,LEN(TRIM($B39))&gt;0,P39=TRUE(),IF(P$50,$C39&lt;&gt;TRUE(),TRUE())),QUOTIENT(P$46,MAX(1,P$48))+IF(IF(P$50,SUMPRODUCT(--(LEN(TRIM($B$12:$B39))&gt;0),--(P$12:P39=TRUE()),--($C$12:$C39&lt;&gt;TRUE())),SUMPRODUCT(--(LEN(TRIM($B$12:$B39))&gt;0),--(P$12:P39=TRUE())))&lt;=MOD(P$46,MAX(1,P$48)),1,0),0)</f>
        <v>0</v>
      </c>
    </row>
    <row r="80" customFormat="false" ht="15" hidden="true" customHeight="false" outlineLevel="0" collapsed="false">
      <c r="A80" s="13" t="s">
        <v>46</v>
      </c>
      <c r="D80" s="14" t="n">
        <f aca="false">IF(AND(D$47,D$48&gt;0,LEN(TRIM($B40))&gt;0,D40=TRUE(),IF(D$50,$C40&lt;&gt;TRUE(),TRUE())),QUOTIENT(D$46,MAX(1,D$48))+IF(IF(D$50,SUMPRODUCT(--(LEN(TRIM($B$12:$B40))&gt;0),--(D$12:D40=TRUE()),--($C$12:$C40&lt;&gt;TRUE())),SUMPRODUCT(--(LEN(TRIM($B$12:$B40))&gt;0),--(D$12:D40=TRUE())))&lt;=MOD(D$46,MAX(1,D$48)),1,0),0)</f>
        <v>0</v>
      </c>
      <c r="F80" s="14" t="n">
        <f aca="false">IF(AND(F$47,F$48&gt;0,LEN(TRIM($B40))&gt;0,F40=TRUE(),IF(F$50,$C40&lt;&gt;TRUE(),TRUE())),QUOTIENT(F$46,MAX(1,F$48))+IF(IF(F$50,SUMPRODUCT(--(LEN(TRIM($B$12:$B40))&gt;0),--(F$12:F40=TRUE()),--($C$12:$C40&lt;&gt;TRUE())),SUMPRODUCT(--(LEN(TRIM($B$12:$B40))&gt;0),--(F$12:F40=TRUE())))&lt;=MOD(F$46,MAX(1,F$48)),1,0),0)</f>
        <v>0</v>
      </c>
      <c r="H80" s="14" t="n">
        <f aca="false">IF(AND(H$47,H$48&gt;0,LEN(TRIM($B40))&gt;0,H40=TRUE(),IF(H$50,$C40&lt;&gt;TRUE(),TRUE())),QUOTIENT(H$46,MAX(1,H$48))+IF(IF(H$50,SUMPRODUCT(--(LEN(TRIM($B$12:$B40))&gt;0),--(H$12:H40=TRUE()),--($C$12:$C40&lt;&gt;TRUE())),SUMPRODUCT(--(LEN(TRIM($B$12:$B40))&gt;0),--(H$12:H40=TRUE())))&lt;=MOD(H$46,MAX(1,H$48)),1,0),0)</f>
        <v>0</v>
      </c>
      <c r="J80" s="14" t="n">
        <f aca="false">IF(AND(J$47,J$48&gt;0,LEN(TRIM($B40))&gt;0,J40=TRUE(),IF(J$50,$C40&lt;&gt;TRUE(),TRUE())),QUOTIENT(J$46,MAX(1,J$48))+IF(IF(J$50,SUMPRODUCT(--(LEN(TRIM($B$12:$B40))&gt;0),--(J$12:J40=TRUE()),--($C$12:$C40&lt;&gt;TRUE())),SUMPRODUCT(--(LEN(TRIM($B$12:$B40))&gt;0),--(J$12:J40=TRUE())))&lt;=MOD(J$46,MAX(1,J$48)),1,0),0)</f>
        <v>0</v>
      </c>
      <c r="L80" s="14" t="n">
        <f aca="false">IF(AND(L$47,L$48&gt;0,LEN(TRIM($B40))&gt;0,L40=TRUE(),IF(L$50,$C40&lt;&gt;TRUE(),TRUE())),QUOTIENT(L$46,MAX(1,L$48))+IF(IF(L$50,SUMPRODUCT(--(LEN(TRIM($B$12:$B40))&gt;0),--(L$12:L40=TRUE()),--($C$12:$C40&lt;&gt;TRUE())),SUMPRODUCT(--(LEN(TRIM($B$12:$B40))&gt;0),--(L$12:L40=TRUE())))&lt;=MOD(L$46,MAX(1,L$48)),1,0),0)</f>
        <v>0</v>
      </c>
      <c r="N80" s="14" t="n">
        <f aca="false">IF(AND(N$47,N$48&gt;0,LEN(TRIM($B40))&gt;0,N40=TRUE(),IF(N$50,$C40&lt;&gt;TRUE(),TRUE())),QUOTIENT(N$46,MAX(1,N$48))+IF(IF(N$50,SUMPRODUCT(--(LEN(TRIM($B$12:$B40))&gt;0),--(N$12:N40=TRUE()),--($C$12:$C40&lt;&gt;TRUE())),SUMPRODUCT(--(LEN(TRIM($B$12:$B40))&gt;0),--(N$12:N40=TRUE())))&lt;=MOD(N$46,MAX(1,N$48)),1,0),0)</f>
        <v>0</v>
      </c>
      <c r="P80" s="14" t="n">
        <f aca="false">IF(AND(P$47,P$48&gt;0,LEN(TRIM($B40))&gt;0,P40=TRUE(),IF(P$50,$C40&lt;&gt;TRUE(),TRUE())),QUOTIENT(P$46,MAX(1,P$48))+IF(IF(P$50,SUMPRODUCT(--(LEN(TRIM($B$12:$B40))&gt;0),--(P$12:P40=TRUE()),--($C$12:$C40&lt;&gt;TRUE())),SUMPRODUCT(--(LEN(TRIM($B$12:$B40))&gt;0),--(P$12:P40=TRUE())))&lt;=MOD(P$46,MAX(1,P$48)),1,0),0)</f>
        <v>0</v>
      </c>
    </row>
    <row r="81" customFormat="false" ht="15" hidden="true" customHeight="false" outlineLevel="0" collapsed="false">
      <c r="A81" s="13" t="s">
        <v>47</v>
      </c>
      <c r="D81" s="14" t="n">
        <f aca="false">IF(AND(D$47,D$48&gt;0,LEN(TRIM($B41))&gt;0,D41=TRUE(),IF(D$50,$C41&lt;&gt;TRUE(),TRUE())),QUOTIENT(D$46,MAX(1,D$48))+IF(IF(D$50,SUMPRODUCT(--(LEN(TRIM($B$12:$B41))&gt;0),--(D$12:D41=TRUE()),--($C$12:$C41&lt;&gt;TRUE())),SUMPRODUCT(--(LEN(TRIM($B$12:$B41))&gt;0),--(D$12:D41=TRUE())))&lt;=MOD(D$46,MAX(1,D$48)),1,0),0)</f>
        <v>0</v>
      </c>
      <c r="F81" s="14" t="n">
        <f aca="false">IF(AND(F$47,F$48&gt;0,LEN(TRIM($B41))&gt;0,F41=TRUE(),IF(F$50,$C41&lt;&gt;TRUE(),TRUE())),QUOTIENT(F$46,MAX(1,F$48))+IF(IF(F$50,SUMPRODUCT(--(LEN(TRIM($B$12:$B41))&gt;0),--(F$12:F41=TRUE()),--($C$12:$C41&lt;&gt;TRUE())),SUMPRODUCT(--(LEN(TRIM($B$12:$B41))&gt;0),--(F$12:F41=TRUE())))&lt;=MOD(F$46,MAX(1,F$48)),1,0),0)</f>
        <v>0</v>
      </c>
      <c r="H81" s="14" t="n">
        <f aca="false">IF(AND(H$47,H$48&gt;0,LEN(TRIM($B41))&gt;0,H41=TRUE(),IF(H$50,$C41&lt;&gt;TRUE(),TRUE())),QUOTIENT(H$46,MAX(1,H$48))+IF(IF(H$50,SUMPRODUCT(--(LEN(TRIM($B$12:$B41))&gt;0),--(H$12:H41=TRUE()),--($C$12:$C41&lt;&gt;TRUE())),SUMPRODUCT(--(LEN(TRIM($B$12:$B41))&gt;0),--(H$12:H41=TRUE())))&lt;=MOD(H$46,MAX(1,H$48)),1,0),0)</f>
        <v>0</v>
      </c>
      <c r="J81" s="14" t="n">
        <f aca="false">IF(AND(J$47,J$48&gt;0,LEN(TRIM($B41))&gt;0,J41=TRUE(),IF(J$50,$C41&lt;&gt;TRUE(),TRUE())),QUOTIENT(J$46,MAX(1,J$48))+IF(IF(J$50,SUMPRODUCT(--(LEN(TRIM($B$12:$B41))&gt;0),--(J$12:J41=TRUE()),--($C$12:$C41&lt;&gt;TRUE())),SUMPRODUCT(--(LEN(TRIM($B$12:$B41))&gt;0),--(J$12:J41=TRUE())))&lt;=MOD(J$46,MAX(1,J$48)),1,0),0)</f>
        <v>0</v>
      </c>
      <c r="L81" s="14" t="n">
        <f aca="false">IF(AND(L$47,L$48&gt;0,LEN(TRIM($B41))&gt;0,L41=TRUE(),IF(L$50,$C41&lt;&gt;TRUE(),TRUE())),QUOTIENT(L$46,MAX(1,L$48))+IF(IF(L$50,SUMPRODUCT(--(LEN(TRIM($B$12:$B41))&gt;0),--(L$12:L41=TRUE()),--($C$12:$C41&lt;&gt;TRUE())),SUMPRODUCT(--(LEN(TRIM($B$12:$B41))&gt;0),--(L$12:L41=TRUE())))&lt;=MOD(L$46,MAX(1,L$48)),1,0),0)</f>
        <v>0</v>
      </c>
      <c r="N81" s="14" t="n">
        <f aca="false">IF(AND(N$47,N$48&gt;0,LEN(TRIM($B41))&gt;0,N41=TRUE(),IF(N$50,$C41&lt;&gt;TRUE(),TRUE())),QUOTIENT(N$46,MAX(1,N$48))+IF(IF(N$50,SUMPRODUCT(--(LEN(TRIM($B$12:$B41))&gt;0),--(N$12:N41=TRUE()),--($C$12:$C41&lt;&gt;TRUE())),SUMPRODUCT(--(LEN(TRIM($B$12:$B41))&gt;0),--(N$12:N41=TRUE())))&lt;=MOD(N$46,MAX(1,N$48)),1,0),0)</f>
        <v>0</v>
      </c>
      <c r="P81" s="14" t="n">
        <f aca="false">IF(AND(P$47,P$48&gt;0,LEN(TRIM($B41))&gt;0,P41=TRUE(),IF(P$50,$C41&lt;&gt;TRUE(),TRUE())),QUOTIENT(P$46,MAX(1,P$48))+IF(IF(P$50,SUMPRODUCT(--(LEN(TRIM($B$12:$B41))&gt;0),--(P$12:P41=TRUE()),--($C$12:$C41&lt;&gt;TRUE())),SUMPRODUCT(--(LEN(TRIM($B$12:$B41))&gt;0),--(P$12:P41=TRUE())))&lt;=MOD(P$46,MAX(1,P$48)),1,0),0)</f>
        <v>0</v>
      </c>
    </row>
  </sheetData>
  <mergeCells count="28">
    <mergeCell ref="D4:E4"/>
    <mergeCell ref="F4:G4"/>
    <mergeCell ref="H4:I4"/>
    <mergeCell ref="J4:K4"/>
    <mergeCell ref="L4:M4"/>
    <mergeCell ref="N4:O4"/>
    <mergeCell ref="P4:Q4"/>
    <mergeCell ref="D5:E5"/>
    <mergeCell ref="F5:G5"/>
    <mergeCell ref="H5:I5"/>
    <mergeCell ref="J5:K5"/>
    <mergeCell ref="L5:M5"/>
    <mergeCell ref="N5:O5"/>
    <mergeCell ref="P5:Q5"/>
    <mergeCell ref="D9:E9"/>
    <mergeCell ref="F9:G9"/>
    <mergeCell ref="H9:I9"/>
    <mergeCell ref="J9:K9"/>
    <mergeCell ref="L9:M9"/>
    <mergeCell ref="N9:O9"/>
    <mergeCell ref="P9:Q9"/>
    <mergeCell ref="D10:E10"/>
    <mergeCell ref="F10:G10"/>
    <mergeCell ref="H10:I10"/>
    <mergeCell ref="J10:K10"/>
    <mergeCell ref="L10:M10"/>
    <mergeCell ref="N10:O10"/>
    <mergeCell ref="P10:Q10"/>
  </mergeCells>
  <dataValidations count="30"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3" type="custom">
      <formula1>OR(C3=1,C3=0)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12:C41" type="custom">
      <formula1>OR(C12=1,C12=0)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D12:D41" type="custom">
      <formula1>OR(D12=1,D12=0)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F12:F41" type="custom">
      <formula1>OR(F12=1,F12=0)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H12:H41" type="custom">
      <formula1>OR(H12=1,H12=0)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J12:J41" type="custom">
      <formula1>OR(J12=1,J12=0)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L12:L41" type="custom">
      <formula1>OR(L12=1,L12=0)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N12:N41" type="custom">
      <formula1>OR(N12=1,N12=0)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P12:P41" type="custom">
      <formula1>OR(P12=1,P12=0)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D5:E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6" type="custom">
      <formula1>OR(LEN(TRIM(D6&amp;""))=0,IFERROR(AND(ISNUMBER(D6),D6&gt;=0,D6&lt;=100000000,ROUND(D6,1)=D6),0))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F5:G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6" type="custom">
      <formula1>OR(LEN(TRIM(F6&amp;""))=0,IFERROR(AND(ISNUMBER(F6),F6&gt;=0,F6&lt;=100000000,ROUND(F6,1)=F6),0))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H5:I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6" type="custom">
      <formula1>OR(LEN(TRIM(H6&amp;""))=0,IFERROR(AND(ISNUMBER(H6),H6&gt;=0,H6&lt;=100000000,ROUND(H6,1)=H6),0))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J5:K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6" type="custom">
      <formula1>OR(LEN(TRIM(J6&amp;""))=0,IFERROR(AND(ISNUMBER(J6),J6&gt;=0,J6&lt;=100000000,ROUND(J6,1)=J6),0))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L5:M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6" type="custom">
      <formula1>OR(LEN(TRIM(L6&amp;""))=0,IFERROR(AND(ISNUMBER(L6),L6&gt;=0,L6&lt;=100000000,ROUND(L6,1)=L6),0))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N5:O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6" type="custom">
      <formula1>OR(LEN(TRIM(N6&amp;""))=0,IFERROR(AND(ISNUMBER(N6),N6&gt;=0,N6&lt;=100000000,ROUND(N6,1)=N6),0))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P5:Q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6" type="custom">
      <formula1>OR(LEN(TRIM(P6&amp;""))=0,IFERROR(AND(ISNUMBER(P6),P6&gt;=0,P6&lt;=100000000,ROUND(P6,1)=P6),0))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40"/>
    <col collapsed="false" customWidth="true" hidden="false" outlineLevel="0" max="2" min="2" style="0" width="22.86"/>
    <col collapsed="false" customWidth="true" hidden="false" outlineLevel="0" max="3" min="3" style="0" width="13.15"/>
    <col collapsed="false" customWidth="true" hidden="false" outlineLevel="0" max="17" min="4" style="0" width="21.14"/>
  </cols>
  <sheetData>
    <row r="1" customFormat="false" ht="32.8" hidden="true" customHeight="false" outlineLevel="0" collapsed="false">
      <c r="A1" s="1" t="s">
        <v>89</v>
      </c>
      <c r="D1" s="1" t="s">
        <v>90</v>
      </c>
      <c r="F1" s="1" t="s">
        <v>91</v>
      </c>
      <c r="H1" s="1" t="s">
        <v>92</v>
      </c>
      <c r="J1" s="1" t="s">
        <v>93</v>
      </c>
      <c r="L1" s="1" t="s">
        <v>94</v>
      </c>
      <c r="N1" s="1" t="s">
        <v>95</v>
      </c>
      <c r="P1" s="1" t="s">
        <v>96</v>
      </c>
    </row>
    <row r="2" customFormat="false" ht="48.5" hidden="false" customHeight="false" outlineLevel="0" collapsed="false">
      <c r="B2" s="16" t="s">
        <v>97</v>
      </c>
      <c r="D2" s="1" t="s">
        <v>67</v>
      </c>
    </row>
    <row r="3" customFormat="false" ht="48.5" hidden="false" customHeight="false" outlineLevel="0" collapsed="false">
      <c r="B3" s="1" t="s">
        <v>68</v>
      </c>
      <c r="C3" s="18" t="b">
        <f aca="false">FALSE()</f>
        <v>0</v>
      </c>
      <c r="D3" s="1" t="s">
        <v>69</v>
      </c>
    </row>
    <row r="4" customFormat="false" ht="27.75" hidden="false" customHeight="true" outlineLevel="0" collapsed="false">
      <c r="B4" s="1" t="s">
        <v>70</v>
      </c>
      <c r="D4" s="19" t="s">
        <v>71</v>
      </c>
      <c r="E4" s="19"/>
      <c r="F4" s="19" t="s">
        <v>72</v>
      </c>
      <c r="G4" s="19"/>
      <c r="H4" s="19" t="s">
        <v>73</v>
      </c>
      <c r="I4" s="19"/>
      <c r="J4" s="19" t="s">
        <v>74</v>
      </c>
      <c r="K4" s="19"/>
      <c r="L4" s="19" t="s">
        <v>75</v>
      </c>
      <c r="M4" s="19"/>
      <c r="N4" s="19" t="s">
        <v>76</v>
      </c>
      <c r="O4" s="19"/>
      <c r="P4" s="19" t="s">
        <v>77</v>
      </c>
      <c r="Q4" s="19"/>
    </row>
    <row r="5" customFormat="false" ht="27.75" hidden="false" customHeight="true" outlineLevel="0" collapsed="false">
      <c r="B5" s="1" t="s">
        <v>78</v>
      </c>
      <c r="D5" s="19" t="s">
        <v>71</v>
      </c>
      <c r="E5" s="19"/>
      <c r="F5" s="19" t="s">
        <v>72</v>
      </c>
      <c r="G5" s="19"/>
      <c r="H5" s="19" t="s">
        <v>73</v>
      </c>
      <c r="I5" s="19"/>
      <c r="J5" s="19" t="s">
        <v>74</v>
      </c>
      <c r="K5" s="19"/>
      <c r="L5" s="19" t="s">
        <v>75</v>
      </c>
      <c r="M5" s="19"/>
      <c r="N5" s="19" t="s">
        <v>76</v>
      </c>
      <c r="O5" s="19"/>
      <c r="P5" s="19" t="s">
        <v>77</v>
      </c>
      <c r="Q5" s="19"/>
    </row>
    <row r="6" customFormat="false" ht="27.75" hidden="false" customHeight="true" outlineLevel="0" collapsed="false">
      <c r="B6" s="1" t="s">
        <v>79</v>
      </c>
      <c r="D6" s="16"/>
      <c r="E6" s="1" t="s">
        <v>80</v>
      </c>
      <c r="F6" s="16"/>
      <c r="G6" s="1" t="s">
        <v>80</v>
      </c>
      <c r="H6" s="16"/>
      <c r="I6" s="1" t="s">
        <v>80</v>
      </c>
      <c r="J6" s="16"/>
      <c r="K6" s="1" t="s">
        <v>80</v>
      </c>
      <c r="L6" s="16"/>
      <c r="M6" s="1" t="s">
        <v>80</v>
      </c>
      <c r="N6" s="16"/>
      <c r="O6" s="1" t="s">
        <v>80</v>
      </c>
      <c r="P6" s="16"/>
      <c r="Q6" s="1" t="s">
        <v>80</v>
      </c>
    </row>
    <row r="7" customFormat="false" ht="27.75" hidden="false" customHeight="true" outlineLevel="0" collapsed="false">
      <c r="B7" s="1" t="s">
        <v>81</v>
      </c>
      <c r="D7" s="16"/>
      <c r="E7" s="20" t="str">
        <f aca="false">IFERROR(INDEX(成員名單!$B$5:$B$34,MATCH(D7,成員名單!$A$5:$A$34,0))&amp;"","")</f>
        <v/>
      </c>
      <c r="F7" s="16"/>
      <c r="G7" s="20" t="str">
        <f aca="false">IFERROR(INDEX(成員名單!$B$5:$B$34,MATCH(F7,成員名單!$A$5:$A$34,0))&amp;"","")</f>
        <v/>
      </c>
      <c r="H7" s="16"/>
      <c r="I7" s="20" t="str">
        <f aca="false">IFERROR(INDEX(成員名單!$B$5:$B$34,MATCH(H7,成員名單!$A$5:$A$34,0))&amp;"","")</f>
        <v/>
      </c>
      <c r="J7" s="16"/>
      <c r="K7" s="20" t="str">
        <f aca="false">IFERROR(INDEX(成員名單!$B$5:$B$34,MATCH(J7,成員名單!$A$5:$A$34,0))&amp;"","")</f>
        <v/>
      </c>
      <c r="L7" s="16"/>
      <c r="M7" s="20" t="str">
        <f aca="false">IFERROR(INDEX(成員名單!$B$5:$B$34,MATCH(L7,成員名單!$A$5:$A$34,0))&amp;"","")</f>
        <v/>
      </c>
      <c r="N7" s="16"/>
      <c r="O7" s="20" t="str">
        <f aca="false">IFERROR(INDEX(成員名單!$B$5:$B$34,MATCH(N7,成員名單!$A$5:$A$34,0))&amp;"","")</f>
        <v/>
      </c>
      <c r="P7" s="16"/>
      <c r="Q7" s="20" t="str">
        <f aca="false">IFERROR(INDEX(成員名單!$B$5:$B$34,MATCH(P7,成員名單!$A$5:$A$34,0))&amp;"","")</f>
        <v/>
      </c>
    </row>
    <row r="8" customFormat="false" ht="27.75" hidden="false" customHeight="true" outlineLevel="0" collapsed="false">
      <c r="B8" s="1" t="s">
        <v>82</v>
      </c>
      <c r="D8" s="20" t="n">
        <f aca="false">IF(D$47,D$48,0)</f>
        <v>0</v>
      </c>
      <c r="E8" s="1" t="s">
        <v>83</v>
      </c>
      <c r="F8" s="20" t="n">
        <f aca="false">IF(F$47,F$48,0)</f>
        <v>0</v>
      </c>
      <c r="G8" s="1" t="s">
        <v>83</v>
      </c>
      <c r="H8" s="20" t="n">
        <f aca="false">IF(H$47,H$48,0)</f>
        <v>0</v>
      </c>
      <c r="I8" s="1" t="s">
        <v>83</v>
      </c>
      <c r="J8" s="20" t="n">
        <f aca="false">IF(J$47,J$48,0)</f>
        <v>0</v>
      </c>
      <c r="K8" s="1" t="s">
        <v>83</v>
      </c>
      <c r="L8" s="20" t="n">
        <f aca="false">IF(L$47,L$48,0)</f>
        <v>0</v>
      </c>
      <c r="M8" s="1" t="s">
        <v>83</v>
      </c>
      <c r="N8" s="20" t="n">
        <f aca="false">IF(N$47,N$48,0)</f>
        <v>0</v>
      </c>
      <c r="O8" s="1" t="s">
        <v>83</v>
      </c>
      <c r="P8" s="20" t="n">
        <f aca="false">IF(P$47,P$48,0)</f>
        <v>0</v>
      </c>
      <c r="Q8" s="1" t="s">
        <v>83</v>
      </c>
    </row>
    <row r="9" customFormat="false" ht="27.75" hidden="false" customHeight="true" outlineLevel="0" collapsed="false">
      <c r="B9" s="1" t="s">
        <v>84</v>
      </c>
      <c r="D9" s="21" t="str">
        <f aca="false">IF(OR(NOT(D$47),D$48=0),"暫不分攤",TEXT(QUOTIENT(D$46,MAX(1,D$48))/10,"0.0")&amp;IF(MOD(D$46,MAX(1,D$48))&gt;0,"–"&amp;TEXT((QUOTIENT(D$46,MAX(1,D$48))+1)/10,"0.0"),"")&amp;" 元／人")</f>
        <v>暫不分攤</v>
      </c>
      <c r="E9" s="21"/>
      <c r="F9" s="21" t="str">
        <f aca="false">IF(OR(NOT(F$47),F$48=0),"暫不分攤",TEXT(QUOTIENT(F$46,MAX(1,F$48))/10,"0.0")&amp;IF(MOD(F$46,MAX(1,F$48))&gt;0,"–"&amp;TEXT((QUOTIENT(F$46,MAX(1,F$48))+1)/10,"0.0"),"")&amp;" 元／人")</f>
        <v>暫不分攤</v>
      </c>
      <c r="G9" s="21"/>
      <c r="H9" s="21" t="str">
        <f aca="false">IF(OR(NOT(H$47),H$48=0),"暫不分攤",TEXT(QUOTIENT(H$46,MAX(1,H$48))/10,"0.0")&amp;IF(MOD(H$46,MAX(1,H$48))&gt;0,"–"&amp;TEXT((QUOTIENT(H$46,MAX(1,H$48))+1)/10,"0.0"),"")&amp;" 元／人")</f>
        <v>暫不分攤</v>
      </c>
      <c r="I9" s="21"/>
      <c r="J9" s="21" t="str">
        <f aca="false">IF(OR(NOT(J$47),J$48=0),"暫不分攤",TEXT(QUOTIENT(J$46,MAX(1,J$48))/10,"0.0")&amp;IF(MOD(J$46,MAX(1,J$48))&gt;0,"–"&amp;TEXT((QUOTIENT(J$46,MAX(1,J$48))+1)/10,"0.0"),"")&amp;" 元／人")</f>
        <v>暫不分攤</v>
      </c>
      <c r="K9" s="21"/>
      <c r="L9" s="21" t="str">
        <f aca="false">IF(OR(NOT(L$47),L$48=0),"暫不分攤",TEXT(QUOTIENT(L$46,MAX(1,L$48))/10,"0.0")&amp;IF(MOD(L$46,MAX(1,L$48))&gt;0,"–"&amp;TEXT((QUOTIENT(L$46,MAX(1,L$48))+1)/10,"0.0"),"")&amp;" 元／人")</f>
        <v>暫不分攤</v>
      </c>
      <c r="M9" s="21"/>
      <c r="N9" s="21" t="str">
        <f aca="false">IF(OR(NOT(N$47),N$48=0),"暫不分攤",TEXT(QUOTIENT(N$46,MAX(1,N$48))/10,"0.0")&amp;IF(MOD(N$46,MAX(1,N$48))&gt;0,"–"&amp;TEXT((QUOTIENT(N$46,MAX(1,N$48))+1)/10,"0.0"),"")&amp;" 元／人")</f>
        <v>暫不分攤</v>
      </c>
      <c r="O9" s="21"/>
      <c r="P9" s="21" t="str">
        <f aca="false">IF(OR(NOT(P$47),P$48=0),"暫不分攤",TEXT(QUOTIENT(P$46,MAX(1,P$48))/10,"0.0")&amp;IF(MOD(P$46,MAX(1,P$48))&gt;0,"–"&amp;TEXT((QUOTIENT(P$46,MAX(1,P$48))+1)/10,"0.0"),"")&amp;" 元／人")</f>
        <v>暫不分攤</v>
      </c>
      <c r="Q9" s="21"/>
    </row>
    <row r="10" customFormat="false" ht="81.75" hidden="false" customHeight="true" outlineLevel="0" collapsed="false">
      <c r="B10" s="1" t="s">
        <v>53</v>
      </c>
      <c r="D10" s="22" t="str">
        <f aca="false">IF(NOT(D$47),"金額須為非負數且最多一位小數。 ","")&amp;IF(AND(D$46&gt;0,D$50,$C$3&lt;&gt;TRUE()),"未用車但有車資：保留金額，暫不分攤。 ","")&amp;IF(AND(D$46&gt;0,D$50,$C$3=TRUE(),$C$49=0),"請設定具名司機；車資暫不分攤。 ","")&amp;IF(AND(D$46&gt;0,D$48=0,NOT(AND(D$46&gt;0,D$50,$C$3&lt;&gt;TRUE())),NOT(AND(D$46&gt;0,D$50,$C$3=TRUE(),$C$49=0))),"沒有可分攤者。 ","")&amp;IF(AND(D$46&gt;0,LEN(TRIM(E7))=0),"請指定具名代墊者。","")</f>
        <v/>
      </c>
      <c r="E10" s="22"/>
      <c r="F10" s="22" t="str">
        <f aca="false">IF(NOT(F$47),"金額須為非負數且最多一位小數。 ","")&amp;IF(AND(F$46&gt;0,F$50,$C$3&lt;&gt;TRUE()),"未用車但有車資：保留金額，暫不分攤。 ","")&amp;IF(AND(F$46&gt;0,F$50,$C$3=TRUE(),$C$49=0),"請設定具名司機；車資暫不分攤。 ","")&amp;IF(AND(F$46&gt;0,F$48=0,NOT(AND(F$46&gt;0,F$50,$C$3&lt;&gt;TRUE())),NOT(AND(F$46&gt;0,F$50,$C$3=TRUE(),$C$49=0))),"沒有可分攤者。 ","")&amp;IF(AND(F$46&gt;0,LEN(TRIM(G7))=0),"請指定具名代墊者。","")</f>
        <v/>
      </c>
      <c r="G10" s="22"/>
      <c r="H10" s="22" t="str">
        <f aca="false">IF(NOT(H$47),"金額須為非負數且最多一位小數。 ","")&amp;IF(AND(H$46&gt;0,H$50,$C$3&lt;&gt;TRUE()),"未用車但有車資：保留金額，暫不分攤。 ","")&amp;IF(AND(H$46&gt;0,H$50,$C$3=TRUE(),$C$49=0),"請設定具名司機；車資暫不分攤。 ","")&amp;IF(AND(H$46&gt;0,H$48=0,NOT(AND(H$46&gt;0,H$50,$C$3&lt;&gt;TRUE())),NOT(AND(H$46&gt;0,H$50,$C$3=TRUE(),$C$49=0))),"沒有可分攤者。 ","")&amp;IF(AND(H$46&gt;0,LEN(TRIM(I7))=0),"請指定具名代墊者。","")</f>
        <v/>
      </c>
      <c r="I10" s="22"/>
      <c r="J10" s="22" t="str">
        <f aca="false">IF(NOT(J$47),"金額須為非負數且最多一位小數。 ","")&amp;IF(AND(J$46&gt;0,J$50,$C$3&lt;&gt;TRUE()),"未用車但有車資：保留金額，暫不分攤。 ","")&amp;IF(AND(J$46&gt;0,J$50,$C$3=TRUE(),$C$49=0),"請設定具名司機；車資暫不分攤。 ","")&amp;IF(AND(J$46&gt;0,J$48=0,NOT(AND(J$46&gt;0,J$50,$C$3&lt;&gt;TRUE())),NOT(AND(J$46&gt;0,J$50,$C$3=TRUE(),$C$49=0))),"沒有可分攤者。 ","")&amp;IF(AND(J$46&gt;0,LEN(TRIM(K7))=0),"請指定具名代墊者。","")</f>
        <v/>
      </c>
      <c r="K10" s="22"/>
      <c r="L10" s="22" t="str">
        <f aca="false">IF(NOT(L$47),"金額須為非負數且最多一位小數。 ","")&amp;IF(AND(L$46&gt;0,L$50,$C$3&lt;&gt;TRUE()),"未用車但有車資：保留金額，暫不分攤。 ","")&amp;IF(AND(L$46&gt;0,L$50,$C$3=TRUE(),$C$49=0),"請設定具名司機；車資暫不分攤。 ","")&amp;IF(AND(L$46&gt;0,L$48=0,NOT(AND(L$46&gt;0,L$50,$C$3&lt;&gt;TRUE())),NOT(AND(L$46&gt;0,L$50,$C$3=TRUE(),$C$49=0))),"沒有可分攤者。 ","")&amp;IF(AND(L$46&gt;0,LEN(TRIM(M7))=0),"請指定具名代墊者。","")</f>
        <v/>
      </c>
      <c r="M10" s="22"/>
      <c r="N10" s="22" t="str">
        <f aca="false">IF(NOT(N$47),"金額須為非負數且最多一位小數。 ","")&amp;IF(AND(N$46&gt;0,N$50,$C$3&lt;&gt;TRUE()),"未用車但有車資：保留金額，暫不分攤。 ","")&amp;IF(AND(N$46&gt;0,N$50,$C$3=TRUE(),$C$49=0),"請設定具名司機；車資暫不分攤。 ","")&amp;IF(AND(N$46&gt;0,N$48=0,NOT(AND(N$46&gt;0,N$50,$C$3&lt;&gt;TRUE())),NOT(AND(N$46&gt;0,N$50,$C$3=TRUE(),$C$49=0))),"沒有可分攤者。 ","")&amp;IF(AND(N$46&gt;0,LEN(TRIM(O7))=0),"請指定具名代墊者。","")</f>
        <v/>
      </c>
      <c r="O10" s="22"/>
      <c r="P10" s="22" t="str">
        <f aca="false">IF(NOT(P$47),"金額須為非負數且最多一位小數。 ","")&amp;IF(AND(P$46&gt;0,P$50,$C$3&lt;&gt;TRUE()),"未用車但有車資：保留金額，暫不分攤。 ","")&amp;IF(AND(P$46&gt;0,P$50,$C$3=TRUE(),$C$49=0),"請設定具名司機；車資暫不分攤。 ","")&amp;IF(AND(P$46&gt;0,P$48=0,NOT(AND(P$46&gt;0,P$50,$C$3&lt;&gt;TRUE())),NOT(AND(P$46&gt;0,P$50,$C$3=TRUE(),$C$49=0))),"沒有可分攤者。 ","")&amp;IF(AND(P$46&gt;0,LEN(TRIM(Q7))=0),"請指定具名代墊者。","")</f>
        <v/>
      </c>
      <c r="Q10" s="22"/>
    </row>
    <row r="11" customFormat="false" ht="30" hidden="false" customHeight="true" outlineLevel="0" collapsed="false">
      <c r="A11" s="3" t="s">
        <v>8</v>
      </c>
      <c r="B11" s="3" t="s">
        <v>9</v>
      </c>
      <c r="C11" s="3" t="s">
        <v>85</v>
      </c>
      <c r="D11" s="3" t="s">
        <v>86</v>
      </c>
      <c r="E11" s="3" t="s">
        <v>87</v>
      </c>
      <c r="F11" s="3" t="s">
        <v>86</v>
      </c>
      <c r="G11" s="3" t="s">
        <v>87</v>
      </c>
      <c r="H11" s="3" t="s">
        <v>86</v>
      </c>
      <c r="I11" s="3" t="s">
        <v>87</v>
      </c>
      <c r="J11" s="3" t="s">
        <v>86</v>
      </c>
      <c r="K11" s="3" t="s">
        <v>87</v>
      </c>
      <c r="L11" s="3" t="s">
        <v>86</v>
      </c>
      <c r="M11" s="3" t="s">
        <v>87</v>
      </c>
      <c r="N11" s="3" t="s">
        <v>86</v>
      </c>
      <c r="O11" s="3" t="s">
        <v>87</v>
      </c>
      <c r="P11" s="3" t="s">
        <v>86</v>
      </c>
      <c r="Q11" s="3" t="s">
        <v>87</v>
      </c>
    </row>
    <row r="12" customFormat="false" ht="27" hidden="false" customHeight="true" outlineLevel="0" collapsed="false">
      <c r="A12" s="8" t="s">
        <v>18</v>
      </c>
      <c r="B12" s="9" t="str">
        <f aca="false">IFERROR(INDEX(成員名單!$B$5:$B$34,MATCH($A12,成員名單!$A$5:$A$34,0))&amp;"","")</f>
        <v/>
      </c>
      <c r="C12" s="23" t="b">
        <f aca="false">FALSE()</f>
        <v>0</v>
      </c>
      <c r="D12" s="23" t="b">
        <f aca="false">FALSE()</f>
        <v>0</v>
      </c>
      <c r="E12" s="9" t="n">
        <f aca="false">D52/10</f>
        <v>0</v>
      </c>
      <c r="F12" s="23" t="b">
        <f aca="false">FALSE()</f>
        <v>0</v>
      </c>
      <c r="G12" s="9" t="n">
        <f aca="false">F52/10</f>
        <v>0</v>
      </c>
      <c r="H12" s="23" t="b">
        <f aca="false">FALSE()</f>
        <v>0</v>
      </c>
      <c r="I12" s="9" t="n">
        <f aca="false">H52/10</f>
        <v>0</v>
      </c>
      <c r="J12" s="23" t="b">
        <f aca="false">FALSE()</f>
        <v>0</v>
      </c>
      <c r="K12" s="9" t="n">
        <f aca="false">J52/10</f>
        <v>0</v>
      </c>
      <c r="L12" s="23" t="b">
        <f aca="false">FALSE()</f>
        <v>0</v>
      </c>
      <c r="M12" s="9" t="n">
        <f aca="false">L52/10</f>
        <v>0</v>
      </c>
      <c r="N12" s="23" t="b">
        <f aca="false">FALSE()</f>
        <v>0</v>
      </c>
      <c r="O12" s="9" t="n">
        <f aca="false">N52/10</f>
        <v>0</v>
      </c>
      <c r="P12" s="23" t="b">
        <f aca="false">FALSE()</f>
        <v>0</v>
      </c>
      <c r="Q12" s="9" t="n">
        <f aca="false">P52/10</f>
        <v>0</v>
      </c>
    </row>
    <row r="13" customFormat="false" ht="27" hidden="false" customHeight="true" outlineLevel="0" collapsed="false">
      <c r="A13" s="10" t="s">
        <v>19</v>
      </c>
      <c r="B13" s="11" t="str">
        <f aca="false">IFERROR(INDEX(成員名單!$B$5:$B$34,MATCH($A13,成員名單!$A$5:$A$34,0))&amp;"","")</f>
        <v/>
      </c>
      <c r="C13" s="23" t="b">
        <f aca="false">FALSE()</f>
        <v>0</v>
      </c>
      <c r="D13" s="23" t="b">
        <f aca="false">FALSE()</f>
        <v>0</v>
      </c>
      <c r="E13" s="11" t="n">
        <f aca="false">D53/10</f>
        <v>0</v>
      </c>
      <c r="F13" s="23" t="b">
        <f aca="false">FALSE()</f>
        <v>0</v>
      </c>
      <c r="G13" s="11" t="n">
        <f aca="false">F53/10</f>
        <v>0</v>
      </c>
      <c r="H13" s="23" t="b">
        <f aca="false">FALSE()</f>
        <v>0</v>
      </c>
      <c r="I13" s="11" t="n">
        <f aca="false">H53/10</f>
        <v>0</v>
      </c>
      <c r="J13" s="23" t="b">
        <f aca="false">FALSE()</f>
        <v>0</v>
      </c>
      <c r="K13" s="11" t="n">
        <f aca="false">J53/10</f>
        <v>0</v>
      </c>
      <c r="L13" s="23" t="b">
        <f aca="false">FALSE()</f>
        <v>0</v>
      </c>
      <c r="M13" s="11" t="n">
        <f aca="false">L53/10</f>
        <v>0</v>
      </c>
      <c r="N13" s="23" t="b">
        <f aca="false">FALSE()</f>
        <v>0</v>
      </c>
      <c r="O13" s="11" t="n">
        <f aca="false">N53/10</f>
        <v>0</v>
      </c>
      <c r="P13" s="23" t="b">
        <f aca="false">FALSE()</f>
        <v>0</v>
      </c>
      <c r="Q13" s="11" t="n">
        <f aca="false">P53/10</f>
        <v>0</v>
      </c>
    </row>
    <row r="14" customFormat="false" ht="27" hidden="false" customHeight="true" outlineLevel="0" collapsed="false">
      <c r="A14" s="8" t="s">
        <v>20</v>
      </c>
      <c r="B14" s="9" t="str">
        <f aca="false">IFERROR(INDEX(成員名單!$B$5:$B$34,MATCH($A14,成員名單!$A$5:$A$34,0))&amp;"","")</f>
        <v/>
      </c>
      <c r="C14" s="23" t="b">
        <f aca="false">FALSE()</f>
        <v>0</v>
      </c>
      <c r="D14" s="23" t="b">
        <f aca="false">FALSE()</f>
        <v>0</v>
      </c>
      <c r="E14" s="9" t="n">
        <f aca="false">D54/10</f>
        <v>0</v>
      </c>
      <c r="F14" s="23" t="b">
        <f aca="false">FALSE()</f>
        <v>0</v>
      </c>
      <c r="G14" s="9" t="n">
        <f aca="false">F54/10</f>
        <v>0</v>
      </c>
      <c r="H14" s="23" t="b">
        <f aca="false">FALSE()</f>
        <v>0</v>
      </c>
      <c r="I14" s="9" t="n">
        <f aca="false">H54/10</f>
        <v>0</v>
      </c>
      <c r="J14" s="23" t="b">
        <f aca="false">FALSE()</f>
        <v>0</v>
      </c>
      <c r="K14" s="9" t="n">
        <f aca="false">J54/10</f>
        <v>0</v>
      </c>
      <c r="L14" s="23" t="b">
        <f aca="false">FALSE()</f>
        <v>0</v>
      </c>
      <c r="M14" s="9" t="n">
        <f aca="false">L54/10</f>
        <v>0</v>
      </c>
      <c r="N14" s="23" t="b">
        <f aca="false">FALSE()</f>
        <v>0</v>
      </c>
      <c r="O14" s="9" t="n">
        <f aca="false">N54/10</f>
        <v>0</v>
      </c>
      <c r="P14" s="23" t="b">
        <f aca="false">FALSE()</f>
        <v>0</v>
      </c>
      <c r="Q14" s="9" t="n">
        <f aca="false">P54/10</f>
        <v>0</v>
      </c>
    </row>
    <row r="15" customFormat="false" ht="27" hidden="false" customHeight="true" outlineLevel="0" collapsed="false">
      <c r="A15" s="10" t="s">
        <v>21</v>
      </c>
      <c r="B15" s="11" t="str">
        <f aca="false">IFERROR(INDEX(成員名單!$B$5:$B$34,MATCH($A15,成員名單!$A$5:$A$34,0))&amp;"","")</f>
        <v/>
      </c>
      <c r="C15" s="23" t="b">
        <f aca="false">FALSE()</f>
        <v>0</v>
      </c>
      <c r="D15" s="23" t="b">
        <f aca="false">FALSE()</f>
        <v>0</v>
      </c>
      <c r="E15" s="11" t="n">
        <f aca="false">D55/10</f>
        <v>0</v>
      </c>
      <c r="F15" s="23" t="b">
        <f aca="false">FALSE()</f>
        <v>0</v>
      </c>
      <c r="G15" s="11" t="n">
        <f aca="false">F55/10</f>
        <v>0</v>
      </c>
      <c r="H15" s="23" t="b">
        <f aca="false">FALSE()</f>
        <v>0</v>
      </c>
      <c r="I15" s="11" t="n">
        <f aca="false">H55/10</f>
        <v>0</v>
      </c>
      <c r="J15" s="23" t="b">
        <f aca="false">FALSE()</f>
        <v>0</v>
      </c>
      <c r="K15" s="11" t="n">
        <f aca="false">J55/10</f>
        <v>0</v>
      </c>
      <c r="L15" s="23" t="b">
        <f aca="false">FALSE()</f>
        <v>0</v>
      </c>
      <c r="M15" s="11" t="n">
        <f aca="false">L55/10</f>
        <v>0</v>
      </c>
      <c r="N15" s="23" t="b">
        <f aca="false">FALSE()</f>
        <v>0</v>
      </c>
      <c r="O15" s="11" t="n">
        <f aca="false">N55/10</f>
        <v>0</v>
      </c>
      <c r="P15" s="23" t="b">
        <f aca="false">FALSE()</f>
        <v>0</v>
      </c>
      <c r="Q15" s="11" t="n">
        <f aca="false">P55/10</f>
        <v>0</v>
      </c>
    </row>
    <row r="16" customFormat="false" ht="27" hidden="false" customHeight="true" outlineLevel="0" collapsed="false">
      <c r="A16" s="8" t="s">
        <v>22</v>
      </c>
      <c r="B16" s="9" t="str">
        <f aca="false">IFERROR(INDEX(成員名單!$B$5:$B$34,MATCH($A16,成員名單!$A$5:$A$34,0))&amp;"","")</f>
        <v/>
      </c>
      <c r="C16" s="23" t="b">
        <f aca="false">FALSE()</f>
        <v>0</v>
      </c>
      <c r="D16" s="23" t="b">
        <f aca="false">FALSE()</f>
        <v>0</v>
      </c>
      <c r="E16" s="9" t="n">
        <f aca="false">D56/10</f>
        <v>0</v>
      </c>
      <c r="F16" s="23" t="b">
        <f aca="false">FALSE()</f>
        <v>0</v>
      </c>
      <c r="G16" s="9" t="n">
        <f aca="false">F56/10</f>
        <v>0</v>
      </c>
      <c r="H16" s="23" t="b">
        <f aca="false">FALSE()</f>
        <v>0</v>
      </c>
      <c r="I16" s="9" t="n">
        <f aca="false">H56/10</f>
        <v>0</v>
      </c>
      <c r="J16" s="23" t="b">
        <f aca="false">FALSE()</f>
        <v>0</v>
      </c>
      <c r="K16" s="9" t="n">
        <f aca="false">J56/10</f>
        <v>0</v>
      </c>
      <c r="L16" s="23" t="b">
        <f aca="false">FALSE()</f>
        <v>0</v>
      </c>
      <c r="M16" s="9" t="n">
        <f aca="false">L56/10</f>
        <v>0</v>
      </c>
      <c r="N16" s="23" t="b">
        <f aca="false">FALSE()</f>
        <v>0</v>
      </c>
      <c r="O16" s="9" t="n">
        <f aca="false">N56/10</f>
        <v>0</v>
      </c>
      <c r="P16" s="23" t="b">
        <f aca="false">FALSE()</f>
        <v>0</v>
      </c>
      <c r="Q16" s="9" t="n">
        <f aca="false">P56/10</f>
        <v>0</v>
      </c>
    </row>
    <row r="17" customFormat="false" ht="27" hidden="false" customHeight="true" outlineLevel="0" collapsed="false">
      <c r="A17" s="10" t="s">
        <v>23</v>
      </c>
      <c r="B17" s="11" t="str">
        <f aca="false">IFERROR(INDEX(成員名單!$B$5:$B$34,MATCH($A17,成員名單!$A$5:$A$34,0))&amp;"","")</f>
        <v/>
      </c>
      <c r="C17" s="23" t="b">
        <f aca="false">FALSE()</f>
        <v>0</v>
      </c>
      <c r="D17" s="23" t="b">
        <f aca="false">FALSE()</f>
        <v>0</v>
      </c>
      <c r="E17" s="11" t="n">
        <f aca="false">D57/10</f>
        <v>0</v>
      </c>
      <c r="F17" s="23" t="b">
        <f aca="false">FALSE()</f>
        <v>0</v>
      </c>
      <c r="G17" s="11" t="n">
        <f aca="false">F57/10</f>
        <v>0</v>
      </c>
      <c r="H17" s="23" t="b">
        <f aca="false">FALSE()</f>
        <v>0</v>
      </c>
      <c r="I17" s="11" t="n">
        <f aca="false">H57/10</f>
        <v>0</v>
      </c>
      <c r="J17" s="23" t="b">
        <f aca="false">FALSE()</f>
        <v>0</v>
      </c>
      <c r="K17" s="11" t="n">
        <f aca="false">J57/10</f>
        <v>0</v>
      </c>
      <c r="L17" s="23" t="b">
        <f aca="false">FALSE()</f>
        <v>0</v>
      </c>
      <c r="M17" s="11" t="n">
        <f aca="false">L57/10</f>
        <v>0</v>
      </c>
      <c r="N17" s="23" t="b">
        <f aca="false">FALSE()</f>
        <v>0</v>
      </c>
      <c r="O17" s="11" t="n">
        <f aca="false">N57/10</f>
        <v>0</v>
      </c>
      <c r="P17" s="23" t="b">
        <f aca="false">FALSE()</f>
        <v>0</v>
      </c>
      <c r="Q17" s="11" t="n">
        <f aca="false">P57/10</f>
        <v>0</v>
      </c>
    </row>
    <row r="18" customFormat="false" ht="27" hidden="false" customHeight="true" outlineLevel="0" collapsed="false">
      <c r="A18" s="8" t="s">
        <v>24</v>
      </c>
      <c r="B18" s="9" t="str">
        <f aca="false">IFERROR(INDEX(成員名單!$B$5:$B$34,MATCH($A18,成員名單!$A$5:$A$34,0))&amp;"","")</f>
        <v/>
      </c>
      <c r="C18" s="23" t="b">
        <f aca="false">FALSE()</f>
        <v>0</v>
      </c>
      <c r="D18" s="23" t="b">
        <f aca="false">FALSE()</f>
        <v>0</v>
      </c>
      <c r="E18" s="9" t="n">
        <f aca="false">D58/10</f>
        <v>0</v>
      </c>
      <c r="F18" s="23" t="b">
        <f aca="false">FALSE()</f>
        <v>0</v>
      </c>
      <c r="G18" s="9" t="n">
        <f aca="false">F58/10</f>
        <v>0</v>
      </c>
      <c r="H18" s="23" t="b">
        <f aca="false">FALSE()</f>
        <v>0</v>
      </c>
      <c r="I18" s="9" t="n">
        <f aca="false">H58/10</f>
        <v>0</v>
      </c>
      <c r="J18" s="23" t="b">
        <f aca="false">FALSE()</f>
        <v>0</v>
      </c>
      <c r="K18" s="9" t="n">
        <f aca="false">J58/10</f>
        <v>0</v>
      </c>
      <c r="L18" s="23" t="b">
        <f aca="false">FALSE()</f>
        <v>0</v>
      </c>
      <c r="M18" s="9" t="n">
        <f aca="false">L58/10</f>
        <v>0</v>
      </c>
      <c r="N18" s="23" t="b">
        <f aca="false">FALSE()</f>
        <v>0</v>
      </c>
      <c r="O18" s="9" t="n">
        <f aca="false">N58/10</f>
        <v>0</v>
      </c>
      <c r="P18" s="23" t="b">
        <f aca="false">FALSE()</f>
        <v>0</v>
      </c>
      <c r="Q18" s="9" t="n">
        <f aca="false">P58/10</f>
        <v>0</v>
      </c>
    </row>
    <row r="19" customFormat="false" ht="27" hidden="false" customHeight="true" outlineLevel="0" collapsed="false">
      <c r="A19" s="10" t="s">
        <v>25</v>
      </c>
      <c r="B19" s="11" t="str">
        <f aca="false">IFERROR(INDEX(成員名單!$B$5:$B$34,MATCH($A19,成員名單!$A$5:$A$34,0))&amp;"","")</f>
        <v/>
      </c>
      <c r="C19" s="23" t="b">
        <f aca="false">FALSE()</f>
        <v>0</v>
      </c>
      <c r="D19" s="23" t="b">
        <f aca="false">FALSE()</f>
        <v>0</v>
      </c>
      <c r="E19" s="11" t="n">
        <f aca="false">D59/10</f>
        <v>0</v>
      </c>
      <c r="F19" s="23" t="b">
        <f aca="false">FALSE()</f>
        <v>0</v>
      </c>
      <c r="G19" s="11" t="n">
        <f aca="false">F59/10</f>
        <v>0</v>
      </c>
      <c r="H19" s="23" t="b">
        <f aca="false">FALSE()</f>
        <v>0</v>
      </c>
      <c r="I19" s="11" t="n">
        <f aca="false">H59/10</f>
        <v>0</v>
      </c>
      <c r="J19" s="23" t="b">
        <f aca="false">FALSE()</f>
        <v>0</v>
      </c>
      <c r="K19" s="11" t="n">
        <f aca="false">J59/10</f>
        <v>0</v>
      </c>
      <c r="L19" s="23" t="b">
        <f aca="false">FALSE()</f>
        <v>0</v>
      </c>
      <c r="M19" s="11" t="n">
        <f aca="false">L59/10</f>
        <v>0</v>
      </c>
      <c r="N19" s="23" t="b">
        <f aca="false">FALSE()</f>
        <v>0</v>
      </c>
      <c r="O19" s="11" t="n">
        <f aca="false">N59/10</f>
        <v>0</v>
      </c>
      <c r="P19" s="23" t="b">
        <f aca="false">FALSE()</f>
        <v>0</v>
      </c>
      <c r="Q19" s="11" t="n">
        <f aca="false">P59/10</f>
        <v>0</v>
      </c>
    </row>
    <row r="20" customFormat="false" ht="27" hidden="false" customHeight="true" outlineLevel="0" collapsed="false">
      <c r="A20" s="8" t="s">
        <v>26</v>
      </c>
      <c r="B20" s="9" t="str">
        <f aca="false">IFERROR(INDEX(成員名單!$B$5:$B$34,MATCH($A20,成員名單!$A$5:$A$34,0))&amp;"","")</f>
        <v/>
      </c>
      <c r="C20" s="23" t="b">
        <f aca="false">FALSE()</f>
        <v>0</v>
      </c>
      <c r="D20" s="23" t="b">
        <f aca="false">FALSE()</f>
        <v>0</v>
      </c>
      <c r="E20" s="9" t="n">
        <f aca="false">D60/10</f>
        <v>0</v>
      </c>
      <c r="F20" s="23" t="b">
        <f aca="false">FALSE()</f>
        <v>0</v>
      </c>
      <c r="G20" s="9" t="n">
        <f aca="false">F60/10</f>
        <v>0</v>
      </c>
      <c r="H20" s="23" t="b">
        <f aca="false">FALSE()</f>
        <v>0</v>
      </c>
      <c r="I20" s="9" t="n">
        <f aca="false">H60/10</f>
        <v>0</v>
      </c>
      <c r="J20" s="23" t="b">
        <f aca="false">FALSE()</f>
        <v>0</v>
      </c>
      <c r="K20" s="9" t="n">
        <f aca="false">J60/10</f>
        <v>0</v>
      </c>
      <c r="L20" s="23" t="b">
        <f aca="false">FALSE()</f>
        <v>0</v>
      </c>
      <c r="M20" s="9" t="n">
        <f aca="false">L60/10</f>
        <v>0</v>
      </c>
      <c r="N20" s="23" t="b">
        <f aca="false">FALSE()</f>
        <v>0</v>
      </c>
      <c r="O20" s="9" t="n">
        <f aca="false">N60/10</f>
        <v>0</v>
      </c>
      <c r="P20" s="23" t="b">
        <f aca="false">FALSE()</f>
        <v>0</v>
      </c>
      <c r="Q20" s="9" t="n">
        <f aca="false">P60/10</f>
        <v>0</v>
      </c>
    </row>
    <row r="21" customFormat="false" ht="27" hidden="false" customHeight="true" outlineLevel="0" collapsed="false">
      <c r="A21" s="10" t="s">
        <v>27</v>
      </c>
      <c r="B21" s="11" t="str">
        <f aca="false">IFERROR(INDEX(成員名單!$B$5:$B$34,MATCH($A21,成員名單!$A$5:$A$34,0))&amp;"","")</f>
        <v/>
      </c>
      <c r="C21" s="23" t="b">
        <f aca="false">FALSE()</f>
        <v>0</v>
      </c>
      <c r="D21" s="23" t="b">
        <f aca="false">FALSE()</f>
        <v>0</v>
      </c>
      <c r="E21" s="11" t="n">
        <f aca="false">D61/10</f>
        <v>0</v>
      </c>
      <c r="F21" s="23" t="b">
        <f aca="false">FALSE()</f>
        <v>0</v>
      </c>
      <c r="G21" s="11" t="n">
        <f aca="false">F61/10</f>
        <v>0</v>
      </c>
      <c r="H21" s="23" t="b">
        <f aca="false">FALSE()</f>
        <v>0</v>
      </c>
      <c r="I21" s="11" t="n">
        <f aca="false">H61/10</f>
        <v>0</v>
      </c>
      <c r="J21" s="23" t="b">
        <f aca="false">FALSE()</f>
        <v>0</v>
      </c>
      <c r="K21" s="11" t="n">
        <f aca="false">J61/10</f>
        <v>0</v>
      </c>
      <c r="L21" s="23" t="b">
        <f aca="false">FALSE()</f>
        <v>0</v>
      </c>
      <c r="M21" s="11" t="n">
        <f aca="false">L61/10</f>
        <v>0</v>
      </c>
      <c r="N21" s="23" t="b">
        <f aca="false">FALSE()</f>
        <v>0</v>
      </c>
      <c r="O21" s="11" t="n">
        <f aca="false">N61/10</f>
        <v>0</v>
      </c>
      <c r="P21" s="23" t="b">
        <f aca="false">FALSE()</f>
        <v>0</v>
      </c>
      <c r="Q21" s="11" t="n">
        <f aca="false">P61/10</f>
        <v>0</v>
      </c>
    </row>
    <row r="22" customFormat="false" ht="27" hidden="false" customHeight="true" outlineLevel="0" collapsed="false">
      <c r="A22" s="8" t="s">
        <v>28</v>
      </c>
      <c r="B22" s="9" t="str">
        <f aca="false">IFERROR(INDEX(成員名單!$B$5:$B$34,MATCH($A22,成員名單!$A$5:$A$34,0))&amp;"","")</f>
        <v/>
      </c>
      <c r="C22" s="23" t="b">
        <f aca="false">FALSE()</f>
        <v>0</v>
      </c>
      <c r="D22" s="23" t="b">
        <f aca="false">FALSE()</f>
        <v>0</v>
      </c>
      <c r="E22" s="9" t="n">
        <f aca="false">D62/10</f>
        <v>0</v>
      </c>
      <c r="F22" s="23" t="b">
        <f aca="false">FALSE()</f>
        <v>0</v>
      </c>
      <c r="G22" s="9" t="n">
        <f aca="false">F62/10</f>
        <v>0</v>
      </c>
      <c r="H22" s="23" t="b">
        <f aca="false">FALSE()</f>
        <v>0</v>
      </c>
      <c r="I22" s="9" t="n">
        <f aca="false">H62/10</f>
        <v>0</v>
      </c>
      <c r="J22" s="23" t="b">
        <f aca="false">FALSE()</f>
        <v>0</v>
      </c>
      <c r="K22" s="9" t="n">
        <f aca="false">J62/10</f>
        <v>0</v>
      </c>
      <c r="L22" s="23" t="b">
        <f aca="false">FALSE()</f>
        <v>0</v>
      </c>
      <c r="M22" s="9" t="n">
        <f aca="false">L62/10</f>
        <v>0</v>
      </c>
      <c r="N22" s="23" t="b">
        <f aca="false">FALSE()</f>
        <v>0</v>
      </c>
      <c r="O22" s="9" t="n">
        <f aca="false">N62/10</f>
        <v>0</v>
      </c>
      <c r="P22" s="23" t="b">
        <f aca="false">FALSE()</f>
        <v>0</v>
      </c>
      <c r="Q22" s="9" t="n">
        <f aca="false">P62/10</f>
        <v>0</v>
      </c>
    </row>
    <row r="23" customFormat="false" ht="27" hidden="false" customHeight="true" outlineLevel="0" collapsed="false">
      <c r="A23" s="10" t="s">
        <v>29</v>
      </c>
      <c r="B23" s="11" t="str">
        <f aca="false">IFERROR(INDEX(成員名單!$B$5:$B$34,MATCH($A23,成員名單!$A$5:$A$34,0))&amp;"","")</f>
        <v/>
      </c>
      <c r="C23" s="23" t="b">
        <f aca="false">FALSE()</f>
        <v>0</v>
      </c>
      <c r="D23" s="23" t="b">
        <f aca="false">FALSE()</f>
        <v>0</v>
      </c>
      <c r="E23" s="11" t="n">
        <f aca="false">D63/10</f>
        <v>0</v>
      </c>
      <c r="F23" s="23" t="b">
        <f aca="false">FALSE()</f>
        <v>0</v>
      </c>
      <c r="G23" s="11" t="n">
        <f aca="false">F63/10</f>
        <v>0</v>
      </c>
      <c r="H23" s="23" t="b">
        <f aca="false">FALSE()</f>
        <v>0</v>
      </c>
      <c r="I23" s="11" t="n">
        <f aca="false">H63/10</f>
        <v>0</v>
      </c>
      <c r="J23" s="23" t="b">
        <f aca="false">FALSE()</f>
        <v>0</v>
      </c>
      <c r="K23" s="11" t="n">
        <f aca="false">J63/10</f>
        <v>0</v>
      </c>
      <c r="L23" s="23" t="b">
        <f aca="false">FALSE()</f>
        <v>0</v>
      </c>
      <c r="M23" s="11" t="n">
        <f aca="false">L63/10</f>
        <v>0</v>
      </c>
      <c r="N23" s="23" t="b">
        <f aca="false">FALSE()</f>
        <v>0</v>
      </c>
      <c r="O23" s="11" t="n">
        <f aca="false">N63/10</f>
        <v>0</v>
      </c>
      <c r="P23" s="23" t="b">
        <f aca="false">FALSE()</f>
        <v>0</v>
      </c>
      <c r="Q23" s="11" t="n">
        <f aca="false">P63/10</f>
        <v>0</v>
      </c>
    </row>
    <row r="24" customFormat="false" ht="27" hidden="false" customHeight="true" outlineLevel="0" collapsed="false">
      <c r="A24" s="8" t="s">
        <v>30</v>
      </c>
      <c r="B24" s="9" t="str">
        <f aca="false">IFERROR(INDEX(成員名單!$B$5:$B$34,MATCH($A24,成員名單!$A$5:$A$34,0))&amp;"","")</f>
        <v/>
      </c>
      <c r="C24" s="23" t="b">
        <f aca="false">FALSE()</f>
        <v>0</v>
      </c>
      <c r="D24" s="23" t="b">
        <f aca="false">FALSE()</f>
        <v>0</v>
      </c>
      <c r="E24" s="9" t="n">
        <f aca="false">D64/10</f>
        <v>0</v>
      </c>
      <c r="F24" s="23" t="b">
        <f aca="false">FALSE()</f>
        <v>0</v>
      </c>
      <c r="G24" s="9" t="n">
        <f aca="false">F64/10</f>
        <v>0</v>
      </c>
      <c r="H24" s="23" t="b">
        <f aca="false">FALSE()</f>
        <v>0</v>
      </c>
      <c r="I24" s="9" t="n">
        <f aca="false">H64/10</f>
        <v>0</v>
      </c>
      <c r="J24" s="23" t="b">
        <f aca="false">FALSE()</f>
        <v>0</v>
      </c>
      <c r="K24" s="9" t="n">
        <f aca="false">J64/10</f>
        <v>0</v>
      </c>
      <c r="L24" s="23" t="b">
        <f aca="false">FALSE()</f>
        <v>0</v>
      </c>
      <c r="M24" s="9" t="n">
        <f aca="false">L64/10</f>
        <v>0</v>
      </c>
      <c r="N24" s="23" t="b">
        <f aca="false">FALSE()</f>
        <v>0</v>
      </c>
      <c r="O24" s="9" t="n">
        <f aca="false">N64/10</f>
        <v>0</v>
      </c>
      <c r="P24" s="23" t="b">
        <f aca="false">FALSE()</f>
        <v>0</v>
      </c>
      <c r="Q24" s="9" t="n">
        <f aca="false">P64/10</f>
        <v>0</v>
      </c>
    </row>
    <row r="25" customFormat="false" ht="27" hidden="false" customHeight="true" outlineLevel="0" collapsed="false">
      <c r="A25" s="10" t="s">
        <v>31</v>
      </c>
      <c r="B25" s="11" t="str">
        <f aca="false">IFERROR(INDEX(成員名單!$B$5:$B$34,MATCH($A25,成員名單!$A$5:$A$34,0))&amp;"","")</f>
        <v/>
      </c>
      <c r="C25" s="23" t="b">
        <f aca="false">FALSE()</f>
        <v>0</v>
      </c>
      <c r="D25" s="23" t="b">
        <f aca="false">FALSE()</f>
        <v>0</v>
      </c>
      <c r="E25" s="11" t="n">
        <f aca="false">D65/10</f>
        <v>0</v>
      </c>
      <c r="F25" s="23" t="b">
        <f aca="false">FALSE()</f>
        <v>0</v>
      </c>
      <c r="G25" s="11" t="n">
        <f aca="false">F65/10</f>
        <v>0</v>
      </c>
      <c r="H25" s="23" t="b">
        <f aca="false">FALSE()</f>
        <v>0</v>
      </c>
      <c r="I25" s="11" t="n">
        <f aca="false">H65/10</f>
        <v>0</v>
      </c>
      <c r="J25" s="23" t="b">
        <f aca="false">FALSE()</f>
        <v>0</v>
      </c>
      <c r="K25" s="11" t="n">
        <f aca="false">J65/10</f>
        <v>0</v>
      </c>
      <c r="L25" s="23" t="b">
        <f aca="false">FALSE()</f>
        <v>0</v>
      </c>
      <c r="M25" s="11" t="n">
        <f aca="false">L65/10</f>
        <v>0</v>
      </c>
      <c r="N25" s="23" t="b">
        <f aca="false">FALSE()</f>
        <v>0</v>
      </c>
      <c r="O25" s="11" t="n">
        <f aca="false">N65/10</f>
        <v>0</v>
      </c>
      <c r="P25" s="23" t="b">
        <f aca="false">FALSE()</f>
        <v>0</v>
      </c>
      <c r="Q25" s="11" t="n">
        <f aca="false">P65/10</f>
        <v>0</v>
      </c>
    </row>
    <row r="26" customFormat="false" ht="27" hidden="false" customHeight="true" outlineLevel="0" collapsed="false">
      <c r="A26" s="8" t="s">
        <v>32</v>
      </c>
      <c r="B26" s="9" t="str">
        <f aca="false">IFERROR(INDEX(成員名單!$B$5:$B$34,MATCH($A26,成員名單!$A$5:$A$34,0))&amp;"","")</f>
        <v/>
      </c>
      <c r="C26" s="23" t="b">
        <f aca="false">FALSE()</f>
        <v>0</v>
      </c>
      <c r="D26" s="23" t="b">
        <f aca="false">FALSE()</f>
        <v>0</v>
      </c>
      <c r="E26" s="9" t="n">
        <f aca="false">D66/10</f>
        <v>0</v>
      </c>
      <c r="F26" s="23" t="b">
        <f aca="false">FALSE()</f>
        <v>0</v>
      </c>
      <c r="G26" s="9" t="n">
        <f aca="false">F66/10</f>
        <v>0</v>
      </c>
      <c r="H26" s="23" t="b">
        <f aca="false">FALSE()</f>
        <v>0</v>
      </c>
      <c r="I26" s="9" t="n">
        <f aca="false">H66/10</f>
        <v>0</v>
      </c>
      <c r="J26" s="23" t="b">
        <f aca="false">FALSE()</f>
        <v>0</v>
      </c>
      <c r="K26" s="9" t="n">
        <f aca="false">J66/10</f>
        <v>0</v>
      </c>
      <c r="L26" s="23" t="b">
        <f aca="false">FALSE()</f>
        <v>0</v>
      </c>
      <c r="M26" s="9" t="n">
        <f aca="false">L66/10</f>
        <v>0</v>
      </c>
      <c r="N26" s="23" t="b">
        <f aca="false">FALSE()</f>
        <v>0</v>
      </c>
      <c r="O26" s="9" t="n">
        <f aca="false">N66/10</f>
        <v>0</v>
      </c>
      <c r="P26" s="23" t="b">
        <f aca="false">FALSE()</f>
        <v>0</v>
      </c>
      <c r="Q26" s="9" t="n">
        <f aca="false">P66/10</f>
        <v>0</v>
      </c>
    </row>
    <row r="27" customFormat="false" ht="27" hidden="false" customHeight="true" outlineLevel="0" collapsed="false">
      <c r="A27" s="10" t="s">
        <v>33</v>
      </c>
      <c r="B27" s="11" t="str">
        <f aca="false">IFERROR(INDEX(成員名單!$B$5:$B$34,MATCH($A27,成員名單!$A$5:$A$34,0))&amp;"","")</f>
        <v/>
      </c>
      <c r="C27" s="23" t="b">
        <f aca="false">FALSE()</f>
        <v>0</v>
      </c>
      <c r="D27" s="23" t="b">
        <f aca="false">FALSE()</f>
        <v>0</v>
      </c>
      <c r="E27" s="11" t="n">
        <f aca="false">D67/10</f>
        <v>0</v>
      </c>
      <c r="F27" s="23" t="b">
        <f aca="false">FALSE()</f>
        <v>0</v>
      </c>
      <c r="G27" s="11" t="n">
        <f aca="false">F67/10</f>
        <v>0</v>
      </c>
      <c r="H27" s="23" t="b">
        <f aca="false">FALSE()</f>
        <v>0</v>
      </c>
      <c r="I27" s="11" t="n">
        <f aca="false">H67/10</f>
        <v>0</v>
      </c>
      <c r="J27" s="23" t="b">
        <f aca="false">FALSE()</f>
        <v>0</v>
      </c>
      <c r="K27" s="11" t="n">
        <f aca="false">J67/10</f>
        <v>0</v>
      </c>
      <c r="L27" s="23" t="b">
        <f aca="false">FALSE()</f>
        <v>0</v>
      </c>
      <c r="M27" s="11" t="n">
        <f aca="false">L67/10</f>
        <v>0</v>
      </c>
      <c r="N27" s="23" t="b">
        <f aca="false">FALSE()</f>
        <v>0</v>
      </c>
      <c r="O27" s="11" t="n">
        <f aca="false">N67/10</f>
        <v>0</v>
      </c>
      <c r="P27" s="23" t="b">
        <f aca="false">FALSE()</f>
        <v>0</v>
      </c>
      <c r="Q27" s="11" t="n">
        <f aca="false">P67/10</f>
        <v>0</v>
      </c>
    </row>
    <row r="28" customFormat="false" ht="27" hidden="false" customHeight="true" outlineLevel="0" collapsed="false">
      <c r="A28" s="8" t="s">
        <v>34</v>
      </c>
      <c r="B28" s="9" t="str">
        <f aca="false">IFERROR(INDEX(成員名單!$B$5:$B$34,MATCH($A28,成員名單!$A$5:$A$34,0))&amp;"","")</f>
        <v/>
      </c>
      <c r="C28" s="23" t="b">
        <f aca="false">FALSE()</f>
        <v>0</v>
      </c>
      <c r="D28" s="23" t="b">
        <f aca="false">FALSE()</f>
        <v>0</v>
      </c>
      <c r="E28" s="9" t="n">
        <f aca="false">D68/10</f>
        <v>0</v>
      </c>
      <c r="F28" s="23" t="b">
        <f aca="false">FALSE()</f>
        <v>0</v>
      </c>
      <c r="G28" s="9" t="n">
        <f aca="false">F68/10</f>
        <v>0</v>
      </c>
      <c r="H28" s="23" t="b">
        <f aca="false">FALSE()</f>
        <v>0</v>
      </c>
      <c r="I28" s="9" t="n">
        <f aca="false">H68/10</f>
        <v>0</v>
      </c>
      <c r="J28" s="23" t="b">
        <f aca="false">FALSE()</f>
        <v>0</v>
      </c>
      <c r="K28" s="9" t="n">
        <f aca="false">J68/10</f>
        <v>0</v>
      </c>
      <c r="L28" s="23" t="b">
        <f aca="false">FALSE()</f>
        <v>0</v>
      </c>
      <c r="M28" s="9" t="n">
        <f aca="false">L68/10</f>
        <v>0</v>
      </c>
      <c r="N28" s="23" t="b">
        <f aca="false">FALSE()</f>
        <v>0</v>
      </c>
      <c r="O28" s="9" t="n">
        <f aca="false">N68/10</f>
        <v>0</v>
      </c>
      <c r="P28" s="23" t="b">
        <f aca="false">FALSE()</f>
        <v>0</v>
      </c>
      <c r="Q28" s="9" t="n">
        <f aca="false">P68/10</f>
        <v>0</v>
      </c>
    </row>
    <row r="29" customFormat="false" ht="27" hidden="false" customHeight="true" outlineLevel="0" collapsed="false">
      <c r="A29" s="10" t="s">
        <v>35</v>
      </c>
      <c r="B29" s="11" t="str">
        <f aca="false">IFERROR(INDEX(成員名單!$B$5:$B$34,MATCH($A29,成員名單!$A$5:$A$34,0))&amp;"","")</f>
        <v/>
      </c>
      <c r="C29" s="23" t="b">
        <f aca="false">FALSE()</f>
        <v>0</v>
      </c>
      <c r="D29" s="23" t="b">
        <f aca="false">FALSE()</f>
        <v>0</v>
      </c>
      <c r="E29" s="11" t="n">
        <f aca="false">D69/10</f>
        <v>0</v>
      </c>
      <c r="F29" s="23" t="b">
        <f aca="false">FALSE()</f>
        <v>0</v>
      </c>
      <c r="G29" s="11" t="n">
        <f aca="false">F69/10</f>
        <v>0</v>
      </c>
      <c r="H29" s="23" t="b">
        <f aca="false">FALSE()</f>
        <v>0</v>
      </c>
      <c r="I29" s="11" t="n">
        <f aca="false">H69/10</f>
        <v>0</v>
      </c>
      <c r="J29" s="23" t="b">
        <f aca="false">FALSE()</f>
        <v>0</v>
      </c>
      <c r="K29" s="11" t="n">
        <f aca="false">J69/10</f>
        <v>0</v>
      </c>
      <c r="L29" s="23" t="b">
        <f aca="false">FALSE()</f>
        <v>0</v>
      </c>
      <c r="M29" s="11" t="n">
        <f aca="false">L69/10</f>
        <v>0</v>
      </c>
      <c r="N29" s="23" t="b">
        <f aca="false">FALSE()</f>
        <v>0</v>
      </c>
      <c r="O29" s="11" t="n">
        <f aca="false">N69/10</f>
        <v>0</v>
      </c>
      <c r="P29" s="23" t="b">
        <f aca="false">FALSE()</f>
        <v>0</v>
      </c>
      <c r="Q29" s="11" t="n">
        <f aca="false">P69/10</f>
        <v>0</v>
      </c>
    </row>
    <row r="30" customFormat="false" ht="27" hidden="false" customHeight="true" outlineLevel="0" collapsed="false">
      <c r="A30" s="8" t="s">
        <v>36</v>
      </c>
      <c r="B30" s="9" t="str">
        <f aca="false">IFERROR(INDEX(成員名單!$B$5:$B$34,MATCH($A30,成員名單!$A$5:$A$34,0))&amp;"","")</f>
        <v/>
      </c>
      <c r="C30" s="23" t="b">
        <f aca="false">FALSE()</f>
        <v>0</v>
      </c>
      <c r="D30" s="23" t="b">
        <f aca="false">FALSE()</f>
        <v>0</v>
      </c>
      <c r="E30" s="9" t="n">
        <f aca="false">D70/10</f>
        <v>0</v>
      </c>
      <c r="F30" s="23" t="b">
        <f aca="false">FALSE()</f>
        <v>0</v>
      </c>
      <c r="G30" s="9" t="n">
        <f aca="false">F70/10</f>
        <v>0</v>
      </c>
      <c r="H30" s="23" t="b">
        <f aca="false">FALSE()</f>
        <v>0</v>
      </c>
      <c r="I30" s="9" t="n">
        <f aca="false">H70/10</f>
        <v>0</v>
      </c>
      <c r="J30" s="23" t="b">
        <f aca="false">FALSE()</f>
        <v>0</v>
      </c>
      <c r="K30" s="9" t="n">
        <f aca="false">J70/10</f>
        <v>0</v>
      </c>
      <c r="L30" s="23" t="b">
        <f aca="false">FALSE()</f>
        <v>0</v>
      </c>
      <c r="M30" s="9" t="n">
        <f aca="false">L70/10</f>
        <v>0</v>
      </c>
      <c r="N30" s="23" t="b">
        <f aca="false">FALSE()</f>
        <v>0</v>
      </c>
      <c r="O30" s="9" t="n">
        <f aca="false">N70/10</f>
        <v>0</v>
      </c>
      <c r="P30" s="23" t="b">
        <f aca="false">FALSE()</f>
        <v>0</v>
      </c>
      <c r="Q30" s="9" t="n">
        <f aca="false">P70/10</f>
        <v>0</v>
      </c>
    </row>
    <row r="31" customFormat="false" ht="27" hidden="false" customHeight="true" outlineLevel="0" collapsed="false">
      <c r="A31" s="10" t="s">
        <v>37</v>
      </c>
      <c r="B31" s="11" t="str">
        <f aca="false">IFERROR(INDEX(成員名單!$B$5:$B$34,MATCH($A31,成員名單!$A$5:$A$34,0))&amp;"","")</f>
        <v/>
      </c>
      <c r="C31" s="23" t="b">
        <f aca="false">FALSE()</f>
        <v>0</v>
      </c>
      <c r="D31" s="23" t="b">
        <f aca="false">FALSE()</f>
        <v>0</v>
      </c>
      <c r="E31" s="11" t="n">
        <f aca="false">D71/10</f>
        <v>0</v>
      </c>
      <c r="F31" s="23" t="b">
        <f aca="false">FALSE()</f>
        <v>0</v>
      </c>
      <c r="G31" s="11" t="n">
        <f aca="false">F71/10</f>
        <v>0</v>
      </c>
      <c r="H31" s="23" t="b">
        <f aca="false">FALSE()</f>
        <v>0</v>
      </c>
      <c r="I31" s="11" t="n">
        <f aca="false">H71/10</f>
        <v>0</v>
      </c>
      <c r="J31" s="23" t="b">
        <f aca="false">FALSE()</f>
        <v>0</v>
      </c>
      <c r="K31" s="11" t="n">
        <f aca="false">J71/10</f>
        <v>0</v>
      </c>
      <c r="L31" s="23" t="b">
        <f aca="false">FALSE()</f>
        <v>0</v>
      </c>
      <c r="M31" s="11" t="n">
        <f aca="false">L71/10</f>
        <v>0</v>
      </c>
      <c r="N31" s="23" t="b">
        <f aca="false">FALSE()</f>
        <v>0</v>
      </c>
      <c r="O31" s="11" t="n">
        <f aca="false">N71/10</f>
        <v>0</v>
      </c>
      <c r="P31" s="23" t="b">
        <f aca="false">FALSE()</f>
        <v>0</v>
      </c>
      <c r="Q31" s="11" t="n">
        <f aca="false">P71/10</f>
        <v>0</v>
      </c>
    </row>
    <row r="32" customFormat="false" ht="27" hidden="false" customHeight="true" outlineLevel="0" collapsed="false">
      <c r="A32" s="8" t="s">
        <v>38</v>
      </c>
      <c r="B32" s="9" t="str">
        <f aca="false">IFERROR(INDEX(成員名單!$B$5:$B$34,MATCH($A32,成員名單!$A$5:$A$34,0))&amp;"","")</f>
        <v/>
      </c>
      <c r="C32" s="23" t="b">
        <f aca="false">FALSE()</f>
        <v>0</v>
      </c>
      <c r="D32" s="23" t="b">
        <f aca="false">FALSE()</f>
        <v>0</v>
      </c>
      <c r="E32" s="9" t="n">
        <f aca="false">D72/10</f>
        <v>0</v>
      </c>
      <c r="F32" s="23" t="b">
        <f aca="false">FALSE()</f>
        <v>0</v>
      </c>
      <c r="G32" s="9" t="n">
        <f aca="false">F72/10</f>
        <v>0</v>
      </c>
      <c r="H32" s="23" t="b">
        <f aca="false">FALSE()</f>
        <v>0</v>
      </c>
      <c r="I32" s="9" t="n">
        <f aca="false">H72/10</f>
        <v>0</v>
      </c>
      <c r="J32" s="23" t="b">
        <f aca="false">FALSE()</f>
        <v>0</v>
      </c>
      <c r="K32" s="9" t="n">
        <f aca="false">J72/10</f>
        <v>0</v>
      </c>
      <c r="L32" s="23" t="b">
        <f aca="false">FALSE()</f>
        <v>0</v>
      </c>
      <c r="M32" s="9" t="n">
        <f aca="false">L72/10</f>
        <v>0</v>
      </c>
      <c r="N32" s="23" t="b">
        <f aca="false">FALSE()</f>
        <v>0</v>
      </c>
      <c r="O32" s="9" t="n">
        <f aca="false">N72/10</f>
        <v>0</v>
      </c>
      <c r="P32" s="23" t="b">
        <f aca="false">FALSE()</f>
        <v>0</v>
      </c>
      <c r="Q32" s="9" t="n">
        <f aca="false">P72/10</f>
        <v>0</v>
      </c>
    </row>
    <row r="33" customFormat="false" ht="27" hidden="false" customHeight="true" outlineLevel="0" collapsed="false">
      <c r="A33" s="10" t="s">
        <v>39</v>
      </c>
      <c r="B33" s="11" t="str">
        <f aca="false">IFERROR(INDEX(成員名單!$B$5:$B$34,MATCH($A33,成員名單!$A$5:$A$34,0))&amp;"","")</f>
        <v/>
      </c>
      <c r="C33" s="23" t="b">
        <f aca="false">FALSE()</f>
        <v>0</v>
      </c>
      <c r="D33" s="23" t="b">
        <f aca="false">FALSE()</f>
        <v>0</v>
      </c>
      <c r="E33" s="11" t="n">
        <f aca="false">D73/10</f>
        <v>0</v>
      </c>
      <c r="F33" s="23" t="b">
        <f aca="false">FALSE()</f>
        <v>0</v>
      </c>
      <c r="G33" s="11" t="n">
        <f aca="false">F73/10</f>
        <v>0</v>
      </c>
      <c r="H33" s="23" t="b">
        <f aca="false">FALSE()</f>
        <v>0</v>
      </c>
      <c r="I33" s="11" t="n">
        <f aca="false">H73/10</f>
        <v>0</v>
      </c>
      <c r="J33" s="23" t="b">
        <f aca="false">FALSE()</f>
        <v>0</v>
      </c>
      <c r="K33" s="11" t="n">
        <f aca="false">J73/10</f>
        <v>0</v>
      </c>
      <c r="L33" s="23" t="b">
        <f aca="false">FALSE()</f>
        <v>0</v>
      </c>
      <c r="M33" s="11" t="n">
        <f aca="false">L73/10</f>
        <v>0</v>
      </c>
      <c r="N33" s="23" t="b">
        <f aca="false">FALSE()</f>
        <v>0</v>
      </c>
      <c r="O33" s="11" t="n">
        <f aca="false">N73/10</f>
        <v>0</v>
      </c>
      <c r="P33" s="23" t="b">
        <f aca="false">FALSE()</f>
        <v>0</v>
      </c>
      <c r="Q33" s="11" t="n">
        <f aca="false">P73/10</f>
        <v>0</v>
      </c>
    </row>
    <row r="34" customFormat="false" ht="27" hidden="false" customHeight="true" outlineLevel="0" collapsed="false">
      <c r="A34" s="8" t="s">
        <v>40</v>
      </c>
      <c r="B34" s="9" t="str">
        <f aca="false">IFERROR(INDEX(成員名單!$B$5:$B$34,MATCH($A34,成員名單!$A$5:$A$34,0))&amp;"","")</f>
        <v/>
      </c>
      <c r="C34" s="23" t="b">
        <f aca="false">FALSE()</f>
        <v>0</v>
      </c>
      <c r="D34" s="23" t="b">
        <f aca="false">FALSE()</f>
        <v>0</v>
      </c>
      <c r="E34" s="9" t="n">
        <f aca="false">D74/10</f>
        <v>0</v>
      </c>
      <c r="F34" s="23" t="b">
        <f aca="false">FALSE()</f>
        <v>0</v>
      </c>
      <c r="G34" s="9" t="n">
        <f aca="false">F74/10</f>
        <v>0</v>
      </c>
      <c r="H34" s="23" t="b">
        <f aca="false">FALSE()</f>
        <v>0</v>
      </c>
      <c r="I34" s="9" t="n">
        <f aca="false">H74/10</f>
        <v>0</v>
      </c>
      <c r="J34" s="23" t="b">
        <f aca="false">FALSE()</f>
        <v>0</v>
      </c>
      <c r="K34" s="9" t="n">
        <f aca="false">J74/10</f>
        <v>0</v>
      </c>
      <c r="L34" s="23" t="b">
        <f aca="false">FALSE()</f>
        <v>0</v>
      </c>
      <c r="M34" s="9" t="n">
        <f aca="false">L74/10</f>
        <v>0</v>
      </c>
      <c r="N34" s="23" t="b">
        <f aca="false">FALSE()</f>
        <v>0</v>
      </c>
      <c r="O34" s="9" t="n">
        <f aca="false">N74/10</f>
        <v>0</v>
      </c>
      <c r="P34" s="23" t="b">
        <f aca="false">FALSE()</f>
        <v>0</v>
      </c>
      <c r="Q34" s="9" t="n">
        <f aca="false">P74/10</f>
        <v>0</v>
      </c>
    </row>
    <row r="35" customFormat="false" ht="27" hidden="false" customHeight="true" outlineLevel="0" collapsed="false">
      <c r="A35" s="10" t="s">
        <v>41</v>
      </c>
      <c r="B35" s="11" t="str">
        <f aca="false">IFERROR(INDEX(成員名單!$B$5:$B$34,MATCH($A35,成員名單!$A$5:$A$34,0))&amp;"","")</f>
        <v/>
      </c>
      <c r="C35" s="23" t="b">
        <f aca="false">FALSE()</f>
        <v>0</v>
      </c>
      <c r="D35" s="23" t="b">
        <f aca="false">FALSE()</f>
        <v>0</v>
      </c>
      <c r="E35" s="11" t="n">
        <f aca="false">D75/10</f>
        <v>0</v>
      </c>
      <c r="F35" s="23" t="b">
        <f aca="false">FALSE()</f>
        <v>0</v>
      </c>
      <c r="G35" s="11" t="n">
        <f aca="false">F75/10</f>
        <v>0</v>
      </c>
      <c r="H35" s="23" t="b">
        <f aca="false">FALSE()</f>
        <v>0</v>
      </c>
      <c r="I35" s="11" t="n">
        <f aca="false">H75/10</f>
        <v>0</v>
      </c>
      <c r="J35" s="23" t="b">
        <f aca="false">FALSE()</f>
        <v>0</v>
      </c>
      <c r="K35" s="11" t="n">
        <f aca="false">J75/10</f>
        <v>0</v>
      </c>
      <c r="L35" s="23" t="b">
        <f aca="false">FALSE()</f>
        <v>0</v>
      </c>
      <c r="M35" s="11" t="n">
        <f aca="false">L75/10</f>
        <v>0</v>
      </c>
      <c r="N35" s="23" t="b">
        <f aca="false">FALSE()</f>
        <v>0</v>
      </c>
      <c r="O35" s="11" t="n">
        <f aca="false">N75/10</f>
        <v>0</v>
      </c>
      <c r="P35" s="23" t="b">
        <f aca="false">FALSE()</f>
        <v>0</v>
      </c>
      <c r="Q35" s="11" t="n">
        <f aca="false">P75/10</f>
        <v>0</v>
      </c>
    </row>
    <row r="36" customFormat="false" ht="27" hidden="false" customHeight="true" outlineLevel="0" collapsed="false">
      <c r="A36" s="8" t="s">
        <v>42</v>
      </c>
      <c r="B36" s="9" t="str">
        <f aca="false">IFERROR(INDEX(成員名單!$B$5:$B$34,MATCH($A36,成員名單!$A$5:$A$34,0))&amp;"","")</f>
        <v/>
      </c>
      <c r="C36" s="23" t="b">
        <f aca="false">FALSE()</f>
        <v>0</v>
      </c>
      <c r="D36" s="23" t="b">
        <f aca="false">FALSE()</f>
        <v>0</v>
      </c>
      <c r="E36" s="9" t="n">
        <f aca="false">D76/10</f>
        <v>0</v>
      </c>
      <c r="F36" s="23" t="b">
        <f aca="false">FALSE()</f>
        <v>0</v>
      </c>
      <c r="G36" s="9" t="n">
        <f aca="false">F76/10</f>
        <v>0</v>
      </c>
      <c r="H36" s="23" t="b">
        <f aca="false">FALSE()</f>
        <v>0</v>
      </c>
      <c r="I36" s="9" t="n">
        <f aca="false">H76/10</f>
        <v>0</v>
      </c>
      <c r="J36" s="23" t="b">
        <f aca="false">FALSE()</f>
        <v>0</v>
      </c>
      <c r="K36" s="9" t="n">
        <f aca="false">J76/10</f>
        <v>0</v>
      </c>
      <c r="L36" s="23" t="b">
        <f aca="false">FALSE()</f>
        <v>0</v>
      </c>
      <c r="M36" s="9" t="n">
        <f aca="false">L76/10</f>
        <v>0</v>
      </c>
      <c r="N36" s="23" t="b">
        <f aca="false">FALSE()</f>
        <v>0</v>
      </c>
      <c r="O36" s="9" t="n">
        <f aca="false">N76/10</f>
        <v>0</v>
      </c>
      <c r="P36" s="23" t="b">
        <f aca="false">FALSE()</f>
        <v>0</v>
      </c>
      <c r="Q36" s="9" t="n">
        <f aca="false">P76/10</f>
        <v>0</v>
      </c>
    </row>
    <row r="37" customFormat="false" ht="27" hidden="false" customHeight="true" outlineLevel="0" collapsed="false">
      <c r="A37" s="10" t="s">
        <v>43</v>
      </c>
      <c r="B37" s="11" t="str">
        <f aca="false">IFERROR(INDEX(成員名單!$B$5:$B$34,MATCH($A37,成員名單!$A$5:$A$34,0))&amp;"","")</f>
        <v/>
      </c>
      <c r="C37" s="23" t="b">
        <f aca="false">FALSE()</f>
        <v>0</v>
      </c>
      <c r="D37" s="23" t="b">
        <f aca="false">FALSE()</f>
        <v>0</v>
      </c>
      <c r="E37" s="11" t="n">
        <f aca="false">D77/10</f>
        <v>0</v>
      </c>
      <c r="F37" s="23" t="b">
        <f aca="false">FALSE()</f>
        <v>0</v>
      </c>
      <c r="G37" s="11" t="n">
        <f aca="false">F77/10</f>
        <v>0</v>
      </c>
      <c r="H37" s="23" t="b">
        <f aca="false">FALSE()</f>
        <v>0</v>
      </c>
      <c r="I37" s="11" t="n">
        <f aca="false">H77/10</f>
        <v>0</v>
      </c>
      <c r="J37" s="23" t="b">
        <f aca="false">FALSE()</f>
        <v>0</v>
      </c>
      <c r="K37" s="11" t="n">
        <f aca="false">J77/10</f>
        <v>0</v>
      </c>
      <c r="L37" s="23" t="b">
        <f aca="false">FALSE()</f>
        <v>0</v>
      </c>
      <c r="M37" s="11" t="n">
        <f aca="false">L77/10</f>
        <v>0</v>
      </c>
      <c r="N37" s="23" t="b">
        <f aca="false">FALSE()</f>
        <v>0</v>
      </c>
      <c r="O37" s="11" t="n">
        <f aca="false">N77/10</f>
        <v>0</v>
      </c>
      <c r="P37" s="23" t="b">
        <f aca="false">FALSE()</f>
        <v>0</v>
      </c>
      <c r="Q37" s="11" t="n">
        <f aca="false">P77/10</f>
        <v>0</v>
      </c>
    </row>
    <row r="38" customFormat="false" ht="27" hidden="false" customHeight="true" outlineLevel="0" collapsed="false">
      <c r="A38" s="8" t="s">
        <v>44</v>
      </c>
      <c r="B38" s="9" t="str">
        <f aca="false">IFERROR(INDEX(成員名單!$B$5:$B$34,MATCH($A38,成員名單!$A$5:$A$34,0))&amp;"","")</f>
        <v/>
      </c>
      <c r="C38" s="23" t="b">
        <f aca="false">FALSE()</f>
        <v>0</v>
      </c>
      <c r="D38" s="23" t="b">
        <f aca="false">FALSE()</f>
        <v>0</v>
      </c>
      <c r="E38" s="9" t="n">
        <f aca="false">D78/10</f>
        <v>0</v>
      </c>
      <c r="F38" s="23" t="b">
        <f aca="false">FALSE()</f>
        <v>0</v>
      </c>
      <c r="G38" s="9" t="n">
        <f aca="false">F78/10</f>
        <v>0</v>
      </c>
      <c r="H38" s="23" t="b">
        <f aca="false">FALSE()</f>
        <v>0</v>
      </c>
      <c r="I38" s="9" t="n">
        <f aca="false">H78/10</f>
        <v>0</v>
      </c>
      <c r="J38" s="23" t="b">
        <f aca="false">FALSE()</f>
        <v>0</v>
      </c>
      <c r="K38" s="9" t="n">
        <f aca="false">J78/10</f>
        <v>0</v>
      </c>
      <c r="L38" s="23" t="b">
        <f aca="false">FALSE()</f>
        <v>0</v>
      </c>
      <c r="M38" s="9" t="n">
        <f aca="false">L78/10</f>
        <v>0</v>
      </c>
      <c r="N38" s="23" t="b">
        <f aca="false">FALSE()</f>
        <v>0</v>
      </c>
      <c r="O38" s="9" t="n">
        <f aca="false">N78/10</f>
        <v>0</v>
      </c>
      <c r="P38" s="23" t="b">
        <f aca="false">FALSE()</f>
        <v>0</v>
      </c>
      <c r="Q38" s="9" t="n">
        <f aca="false">P78/10</f>
        <v>0</v>
      </c>
    </row>
    <row r="39" customFormat="false" ht="27" hidden="false" customHeight="true" outlineLevel="0" collapsed="false">
      <c r="A39" s="10" t="s">
        <v>45</v>
      </c>
      <c r="B39" s="11" t="str">
        <f aca="false">IFERROR(INDEX(成員名單!$B$5:$B$34,MATCH($A39,成員名單!$A$5:$A$34,0))&amp;"","")</f>
        <v/>
      </c>
      <c r="C39" s="23" t="b">
        <f aca="false">FALSE()</f>
        <v>0</v>
      </c>
      <c r="D39" s="23" t="b">
        <f aca="false">FALSE()</f>
        <v>0</v>
      </c>
      <c r="E39" s="11" t="n">
        <f aca="false">D79/10</f>
        <v>0</v>
      </c>
      <c r="F39" s="23" t="b">
        <f aca="false">FALSE()</f>
        <v>0</v>
      </c>
      <c r="G39" s="11" t="n">
        <f aca="false">F79/10</f>
        <v>0</v>
      </c>
      <c r="H39" s="23" t="b">
        <f aca="false">FALSE()</f>
        <v>0</v>
      </c>
      <c r="I39" s="11" t="n">
        <f aca="false">H79/10</f>
        <v>0</v>
      </c>
      <c r="J39" s="23" t="b">
        <f aca="false">FALSE()</f>
        <v>0</v>
      </c>
      <c r="K39" s="11" t="n">
        <f aca="false">J79/10</f>
        <v>0</v>
      </c>
      <c r="L39" s="23" t="b">
        <f aca="false">FALSE()</f>
        <v>0</v>
      </c>
      <c r="M39" s="11" t="n">
        <f aca="false">L79/10</f>
        <v>0</v>
      </c>
      <c r="N39" s="23" t="b">
        <f aca="false">FALSE()</f>
        <v>0</v>
      </c>
      <c r="O39" s="11" t="n">
        <f aca="false">N79/10</f>
        <v>0</v>
      </c>
      <c r="P39" s="23" t="b">
        <f aca="false">FALSE()</f>
        <v>0</v>
      </c>
      <c r="Q39" s="11" t="n">
        <f aca="false">P79/10</f>
        <v>0</v>
      </c>
    </row>
    <row r="40" customFormat="false" ht="27" hidden="false" customHeight="true" outlineLevel="0" collapsed="false">
      <c r="A40" s="8" t="s">
        <v>46</v>
      </c>
      <c r="B40" s="9" t="str">
        <f aca="false">IFERROR(INDEX(成員名單!$B$5:$B$34,MATCH($A40,成員名單!$A$5:$A$34,0))&amp;"","")</f>
        <v/>
      </c>
      <c r="C40" s="23" t="b">
        <f aca="false">FALSE()</f>
        <v>0</v>
      </c>
      <c r="D40" s="23" t="b">
        <f aca="false">FALSE()</f>
        <v>0</v>
      </c>
      <c r="E40" s="9" t="n">
        <f aca="false">D80/10</f>
        <v>0</v>
      </c>
      <c r="F40" s="23" t="b">
        <f aca="false">FALSE()</f>
        <v>0</v>
      </c>
      <c r="G40" s="9" t="n">
        <f aca="false">F80/10</f>
        <v>0</v>
      </c>
      <c r="H40" s="23" t="b">
        <f aca="false">FALSE()</f>
        <v>0</v>
      </c>
      <c r="I40" s="9" t="n">
        <f aca="false">H80/10</f>
        <v>0</v>
      </c>
      <c r="J40" s="23" t="b">
        <f aca="false">FALSE()</f>
        <v>0</v>
      </c>
      <c r="K40" s="9" t="n">
        <f aca="false">J80/10</f>
        <v>0</v>
      </c>
      <c r="L40" s="23" t="b">
        <f aca="false">FALSE()</f>
        <v>0</v>
      </c>
      <c r="M40" s="9" t="n">
        <f aca="false">L80/10</f>
        <v>0</v>
      </c>
      <c r="N40" s="23" t="b">
        <f aca="false">FALSE()</f>
        <v>0</v>
      </c>
      <c r="O40" s="9" t="n">
        <f aca="false">N80/10</f>
        <v>0</v>
      </c>
      <c r="P40" s="23" t="b">
        <f aca="false">FALSE()</f>
        <v>0</v>
      </c>
      <c r="Q40" s="9" t="n">
        <f aca="false">P80/10</f>
        <v>0</v>
      </c>
    </row>
    <row r="41" customFormat="false" ht="27" hidden="false" customHeight="true" outlineLevel="0" collapsed="false">
      <c r="A41" s="10" t="s">
        <v>47</v>
      </c>
      <c r="B41" s="11" t="str">
        <f aca="false">IFERROR(INDEX(成員名單!$B$5:$B$34,MATCH($A41,成員名單!$A$5:$A$34,0))&amp;"","")</f>
        <v/>
      </c>
      <c r="C41" s="23" t="b">
        <f aca="false">FALSE()</f>
        <v>0</v>
      </c>
      <c r="D41" s="23" t="b">
        <f aca="false">FALSE()</f>
        <v>0</v>
      </c>
      <c r="E41" s="11" t="n">
        <f aca="false">D81/10</f>
        <v>0</v>
      </c>
      <c r="F41" s="23" t="b">
        <f aca="false">FALSE()</f>
        <v>0</v>
      </c>
      <c r="G41" s="11" t="n">
        <f aca="false">F81/10</f>
        <v>0</v>
      </c>
      <c r="H41" s="23" t="b">
        <f aca="false">FALSE()</f>
        <v>0</v>
      </c>
      <c r="I41" s="11" t="n">
        <f aca="false">H81/10</f>
        <v>0</v>
      </c>
      <c r="J41" s="23" t="b">
        <f aca="false">FALSE()</f>
        <v>0</v>
      </c>
      <c r="K41" s="11" t="n">
        <f aca="false">J81/10</f>
        <v>0</v>
      </c>
      <c r="L41" s="23" t="b">
        <f aca="false">FALSE()</f>
        <v>0</v>
      </c>
      <c r="M41" s="11" t="n">
        <f aca="false">L81/10</f>
        <v>0</v>
      </c>
      <c r="N41" s="23" t="b">
        <f aca="false">FALSE()</f>
        <v>0</v>
      </c>
      <c r="O41" s="11" t="n">
        <f aca="false">N81/10</f>
        <v>0</v>
      </c>
      <c r="P41" s="23" t="b">
        <f aca="false">FALSE()</f>
        <v>0</v>
      </c>
      <c r="Q41" s="11" t="n">
        <f aca="false">P81/10</f>
        <v>0</v>
      </c>
    </row>
    <row r="42" customFormat="false" ht="27" hidden="false" customHeight="true" outlineLevel="0" collapsed="false">
      <c r="A42" s="12"/>
      <c r="B42" s="8" t="s">
        <v>88</v>
      </c>
      <c r="C42" s="12"/>
      <c r="D42" s="12"/>
      <c r="E42" s="9" t="n">
        <f aca="false">D51/10</f>
        <v>0</v>
      </c>
      <c r="F42" s="12"/>
      <c r="G42" s="9" t="n">
        <f aca="false">F51/10</f>
        <v>0</v>
      </c>
      <c r="H42" s="12"/>
      <c r="I42" s="9" t="n">
        <f aca="false">H51/10</f>
        <v>0</v>
      </c>
      <c r="J42" s="12"/>
      <c r="K42" s="9" t="n">
        <f aca="false">J51/10</f>
        <v>0</v>
      </c>
      <c r="L42" s="12"/>
      <c r="M42" s="9" t="n">
        <f aca="false">L51/10</f>
        <v>0</v>
      </c>
      <c r="N42" s="12"/>
      <c r="O42" s="9" t="n">
        <f aca="false">N51/10</f>
        <v>0</v>
      </c>
      <c r="P42" s="12"/>
      <c r="Q42" s="9" t="n">
        <f aca="false">P51/10</f>
        <v>0</v>
      </c>
    </row>
    <row r="46" customFormat="false" ht="15" hidden="true" customHeight="false" outlineLevel="0" collapsed="false">
      <c r="D46" s="14" t="n">
        <f aca="false">IFERROR(IF(D$47,ROUND(D$6*10,0),0),0)</f>
        <v>0</v>
      </c>
      <c r="F46" s="14" t="n">
        <f aca="false">IFERROR(IF(F$47,ROUND(F$6*10,0),0),0)</f>
        <v>0</v>
      </c>
      <c r="H46" s="14" t="n">
        <f aca="false">IFERROR(IF(H$47,ROUND(H$6*10,0),0),0)</f>
        <v>0</v>
      </c>
      <c r="J46" s="14" t="n">
        <f aca="false">IFERROR(IF(J$47,ROUND(J$6*10,0),0),0)</f>
        <v>0</v>
      </c>
      <c r="L46" s="14" t="n">
        <f aca="false">IFERROR(IF(L$47,ROUND(L$6*10,0),0),0)</f>
        <v>0</v>
      </c>
      <c r="N46" s="14" t="n">
        <f aca="false">IFERROR(IF(N$47,ROUND(N$6*10,0),0),0)</f>
        <v>0</v>
      </c>
      <c r="P46" s="14" t="n">
        <f aca="false">IFERROR(IF(P$47,ROUND(P$6*10,0),0),0)</f>
        <v>0</v>
      </c>
    </row>
    <row r="47" customFormat="false" ht="15" hidden="true" customHeight="false" outlineLevel="0" collapsed="false">
      <c r="D47" s="14" t="n">
        <f aca="false">IF(LEN(TRIM(D$6&amp;""))=0,TRUE(),IFERROR(AND(ISNUMBER(D$6),D$6&gt;=0,D$6&lt;=100000000,ROUND(D$6,1)=D$6),FALSE()))</f>
        <v>1</v>
      </c>
      <c r="F47" s="14" t="n">
        <f aca="false">IF(LEN(TRIM(F$6&amp;""))=0,TRUE(),IFERROR(AND(ISNUMBER(F$6),F$6&gt;=0,F$6&lt;=100000000,ROUND(F$6,1)=F$6),FALSE()))</f>
        <v>1</v>
      </c>
      <c r="H47" s="14" t="n">
        <f aca="false">IF(LEN(TRIM(H$6&amp;""))=0,TRUE(),IFERROR(AND(ISNUMBER(H$6),H$6&gt;=0,H$6&lt;=100000000,ROUND(H$6,1)=H$6),FALSE()))</f>
        <v>1</v>
      </c>
      <c r="J47" s="14" t="n">
        <f aca="false">IF(LEN(TRIM(J$6&amp;""))=0,TRUE(),IFERROR(AND(ISNUMBER(J$6),J$6&gt;=0,J$6&lt;=100000000,ROUND(J$6,1)=J$6),FALSE()))</f>
        <v>1</v>
      </c>
      <c r="L47" s="14" t="n">
        <f aca="false">IF(LEN(TRIM(L$6&amp;""))=0,TRUE(),IFERROR(AND(ISNUMBER(L$6),L$6&gt;=0,L$6&lt;=100000000,ROUND(L$6,1)=L$6),FALSE()))</f>
        <v>1</v>
      </c>
      <c r="N47" s="14" t="n">
        <f aca="false">IF(LEN(TRIM(N$6&amp;""))=0,TRUE(),IFERROR(AND(ISNUMBER(N$6),N$6&gt;=0,N$6&lt;=100000000,ROUND(N$6,1)=N$6),FALSE()))</f>
        <v>1</v>
      </c>
      <c r="P47" s="14" t="n">
        <f aca="false">IF(LEN(TRIM(P$6&amp;""))=0,TRUE(),IFERROR(AND(ISNUMBER(P$6),P$6&gt;=0,P$6&lt;=100000000,ROUND(P$6,1)=P$6),FALSE()))</f>
        <v>1</v>
      </c>
    </row>
    <row r="48" customFormat="false" ht="15" hidden="true" customHeight="false" outlineLevel="0" collapsed="false">
      <c r="D48" s="14" t="n">
        <f aca="false">IF(D$50,IF(AND($C$3=TRUE(),$C$49&gt;0),SUMPRODUCT(--(LEN(TRIM($B$12:$B$41))&gt;0),--(D$12:D$41=TRUE()),--($C$12:$C$41&lt;&gt;TRUE())),0),SUMPRODUCT(--(LEN(TRIM($B$12:$B$41))&gt;0),--(D$12:D$41=TRUE())))</f>
        <v>0</v>
      </c>
      <c r="F48" s="14" t="n">
        <f aca="false">IF(F$50,IF(AND($C$3=TRUE(),$C$49&gt;0),SUMPRODUCT(--(LEN(TRIM($B$12:$B$41))&gt;0),--(F$12:F$41=TRUE()),--($C$12:$C$41&lt;&gt;TRUE())),0),SUMPRODUCT(--(LEN(TRIM($B$12:$B$41))&gt;0),--(F$12:F$41=TRUE())))</f>
        <v>0</v>
      </c>
      <c r="H48" s="14" t="n">
        <f aca="false">IF(H$50,IF(AND($C$3=TRUE(),$C$49&gt;0),SUMPRODUCT(--(LEN(TRIM($B$12:$B$41))&gt;0),--(H$12:H$41=TRUE()),--($C$12:$C$41&lt;&gt;TRUE())),0),SUMPRODUCT(--(LEN(TRIM($B$12:$B$41))&gt;0),--(H$12:H$41=TRUE())))</f>
        <v>0</v>
      </c>
      <c r="J48" s="14" t="n">
        <f aca="false">IF(J$50,IF(AND($C$3=TRUE(),$C$49&gt;0),SUMPRODUCT(--(LEN(TRIM($B$12:$B$41))&gt;0),--(J$12:J$41=TRUE()),--($C$12:$C$41&lt;&gt;TRUE())),0),SUMPRODUCT(--(LEN(TRIM($B$12:$B$41))&gt;0),--(J$12:J$41=TRUE())))</f>
        <v>0</v>
      </c>
      <c r="L48" s="14" t="n">
        <f aca="false">IF(L$50,IF(AND($C$3=TRUE(),$C$49&gt;0),SUMPRODUCT(--(LEN(TRIM($B$12:$B$41))&gt;0),--(L$12:L$41=TRUE()),--($C$12:$C$41&lt;&gt;TRUE())),0),SUMPRODUCT(--(LEN(TRIM($B$12:$B$41))&gt;0),--(L$12:L$41=TRUE())))</f>
        <v>0</v>
      </c>
      <c r="N48" s="14" t="n">
        <f aca="false">IF(N$50,IF(AND($C$3=TRUE(),$C$49&gt;0),SUMPRODUCT(--(LEN(TRIM($B$12:$B$41))&gt;0),--(N$12:N$41=TRUE()),--($C$12:$C$41&lt;&gt;TRUE())),0),SUMPRODUCT(--(LEN(TRIM($B$12:$B$41))&gt;0),--(N$12:N$41=TRUE())))</f>
        <v>0</v>
      </c>
      <c r="P48" s="14" t="n">
        <f aca="false">IF(P$50,IF(AND($C$3=TRUE(),$C$49&gt;0),SUMPRODUCT(--(LEN(TRIM($B$12:$B$41))&gt;0),--(P$12:P$41=TRUE()),--($C$12:$C$41&lt;&gt;TRUE())),0),SUMPRODUCT(--(LEN(TRIM($B$12:$B$41))&gt;0),--(P$12:P$41=TRUE())))</f>
        <v>0</v>
      </c>
    </row>
    <row r="49" customFormat="false" ht="15" hidden="true" customHeight="false" outlineLevel="0" collapsed="false">
      <c r="C49" s="14" t="n">
        <f aca="false">SUMPRODUCT(--(LEN(TRIM($B$12:$B$41))&gt;0),--($C$12:$C$41=TRUE()))</f>
        <v>0</v>
      </c>
    </row>
    <row r="50" customFormat="false" ht="15" hidden="true" customHeight="false" outlineLevel="0" collapsed="false">
      <c r="D50" s="14" t="n">
        <f aca="false">OR(D$5="油錢",D$5="租車費")</f>
        <v>0</v>
      </c>
      <c r="F50" s="14" t="n">
        <f aca="false">OR(F$5="油錢",F$5="租車費")</f>
        <v>0</v>
      </c>
      <c r="H50" s="14" t="n">
        <f aca="false">OR(H$5="油錢",H$5="租車費")</f>
        <v>0</v>
      </c>
      <c r="J50" s="14" t="n">
        <f aca="false">OR(J$5="油錢",J$5="租車費")</f>
        <v>1</v>
      </c>
      <c r="L50" s="14" t="n">
        <f aca="false">OR(L$5="油錢",L$5="租車費")</f>
        <v>1</v>
      </c>
      <c r="N50" s="14" t="n">
        <f aca="false">OR(N$5="油錢",N$5="租車費")</f>
        <v>0</v>
      </c>
      <c r="P50" s="14" t="n">
        <f aca="false">OR(P$5="油錢",P$5="租車費")</f>
        <v>0</v>
      </c>
    </row>
    <row r="51" customFormat="false" ht="15" hidden="true" customHeight="false" outlineLevel="0" collapsed="false">
      <c r="D51" s="14" t="n">
        <f aca="false">SUM(D52:D81)</f>
        <v>0</v>
      </c>
      <c r="F51" s="14" t="n">
        <f aca="false">SUM(F52:F81)</f>
        <v>0</v>
      </c>
      <c r="H51" s="14" t="n">
        <f aca="false">SUM(H52:H81)</f>
        <v>0</v>
      </c>
      <c r="J51" s="14" t="n">
        <f aca="false">SUM(J52:J81)</f>
        <v>0</v>
      </c>
      <c r="L51" s="14" t="n">
        <f aca="false">SUM(L52:L81)</f>
        <v>0</v>
      </c>
      <c r="N51" s="14" t="n">
        <f aca="false">SUM(N52:N81)</f>
        <v>0</v>
      </c>
      <c r="P51" s="14" t="n">
        <f aca="false">SUM(P52:P81)</f>
        <v>0</v>
      </c>
    </row>
    <row r="52" customFormat="false" ht="15" hidden="true" customHeight="false" outlineLevel="0" collapsed="false">
      <c r="A52" s="13" t="s">
        <v>18</v>
      </c>
      <c r="D52" s="14" t="n">
        <f aca="false">IF(AND(D$47,D$48&gt;0,LEN(TRIM($B12))&gt;0,D12=TRUE(),IF(D$50,$C12&lt;&gt;TRUE(),TRUE())),QUOTIENT(D$46,MAX(1,D$48))+IF(IF(D$50,SUMPRODUCT(--(LEN(TRIM($B$12:$B12))&gt;0),--(D$12:D12=TRUE()),--($C$12:$C12&lt;&gt;TRUE())),SUMPRODUCT(--(LEN(TRIM($B$12:$B12))&gt;0),--(D$12:D12=TRUE())))&lt;=MOD(D$46,MAX(1,D$48)),1,0),0)</f>
        <v>0</v>
      </c>
      <c r="F52" s="14" t="n">
        <f aca="false">IF(AND(F$47,F$48&gt;0,LEN(TRIM($B12))&gt;0,F12=TRUE(),IF(F$50,$C12&lt;&gt;TRUE(),TRUE())),QUOTIENT(F$46,MAX(1,F$48))+IF(IF(F$50,SUMPRODUCT(--(LEN(TRIM($B$12:$B12))&gt;0),--(F$12:F12=TRUE()),--($C$12:$C12&lt;&gt;TRUE())),SUMPRODUCT(--(LEN(TRIM($B$12:$B12))&gt;0),--(F$12:F12=TRUE())))&lt;=MOD(F$46,MAX(1,F$48)),1,0),0)</f>
        <v>0</v>
      </c>
      <c r="H52" s="14" t="n">
        <f aca="false">IF(AND(H$47,H$48&gt;0,LEN(TRIM($B12))&gt;0,H12=TRUE(),IF(H$50,$C12&lt;&gt;TRUE(),TRUE())),QUOTIENT(H$46,MAX(1,H$48))+IF(IF(H$50,SUMPRODUCT(--(LEN(TRIM($B$12:$B12))&gt;0),--(H$12:H12=TRUE()),--($C$12:$C12&lt;&gt;TRUE())),SUMPRODUCT(--(LEN(TRIM($B$12:$B12))&gt;0),--(H$12:H12=TRUE())))&lt;=MOD(H$46,MAX(1,H$48)),1,0),0)</f>
        <v>0</v>
      </c>
      <c r="J52" s="14" t="n">
        <f aca="false">IF(AND(J$47,J$48&gt;0,LEN(TRIM($B12))&gt;0,J12=TRUE(),IF(J$50,$C12&lt;&gt;TRUE(),TRUE())),QUOTIENT(J$46,MAX(1,J$48))+IF(IF(J$50,SUMPRODUCT(--(LEN(TRIM($B$12:$B12))&gt;0),--(J$12:J12=TRUE()),--($C$12:$C12&lt;&gt;TRUE())),SUMPRODUCT(--(LEN(TRIM($B$12:$B12))&gt;0),--(J$12:J12=TRUE())))&lt;=MOD(J$46,MAX(1,J$48)),1,0),0)</f>
        <v>0</v>
      </c>
      <c r="L52" s="14" t="n">
        <f aca="false">IF(AND(L$47,L$48&gt;0,LEN(TRIM($B12))&gt;0,L12=TRUE(),IF(L$50,$C12&lt;&gt;TRUE(),TRUE())),QUOTIENT(L$46,MAX(1,L$48))+IF(IF(L$50,SUMPRODUCT(--(LEN(TRIM($B$12:$B12))&gt;0),--(L$12:L12=TRUE()),--($C$12:$C12&lt;&gt;TRUE())),SUMPRODUCT(--(LEN(TRIM($B$12:$B12))&gt;0),--(L$12:L12=TRUE())))&lt;=MOD(L$46,MAX(1,L$48)),1,0),0)</f>
        <v>0</v>
      </c>
      <c r="N52" s="14" t="n">
        <f aca="false">IF(AND(N$47,N$48&gt;0,LEN(TRIM($B12))&gt;0,N12=TRUE(),IF(N$50,$C12&lt;&gt;TRUE(),TRUE())),QUOTIENT(N$46,MAX(1,N$48))+IF(IF(N$50,SUMPRODUCT(--(LEN(TRIM($B$12:$B12))&gt;0),--(N$12:N12=TRUE()),--($C$12:$C12&lt;&gt;TRUE())),SUMPRODUCT(--(LEN(TRIM($B$12:$B12))&gt;0),--(N$12:N12=TRUE())))&lt;=MOD(N$46,MAX(1,N$48)),1,0),0)</f>
        <v>0</v>
      </c>
      <c r="P52" s="14" t="n">
        <f aca="false">IF(AND(P$47,P$48&gt;0,LEN(TRIM($B12))&gt;0,P12=TRUE(),IF(P$50,$C12&lt;&gt;TRUE(),TRUE())),QUOTIENT(P$46,MAX(1,P$48))+IF(IF(P$50,SUMPRODUCT(--(LEN(TRIM($B$12:$B12))&gt;0),--(P$12:P12=TRUE()),--($C$12:$C12&lt;&gt;TRUE())),SUMPRODUCT(--(LEN(TRIM($B$12:$B12))&gt;0),--(P$12:P12=TRUE())))&lt;=MOD(P$46,MAX(1,P$48)),1,0),0)</f>
        <v>0</v>
      </c>
    </row>
    <row r="53" customFormat="false" ht="15" hidden="true" customHeight="false" outlineLevel="0" collapsed="false">
      <c r="A53" s="13" t="s">
        <v>19</v>
      </c>
      <c r="D53" s="14" t="n">
        <f aca="false">IF(AND(D$47,D$48&gt;0,LEN(TRIM($B13))&gt;0,D13=TRUE(),IF(D$50,$C13&lt;&gt;TRUE(),TRUE())),QUOTIENT(D$46,MAX(1,D$48))+IF(IF(D$50,SUMPRODUCT(--(LEN(TRIM($B$12:$B13))&gt;0),--(D$12:D13=TRUE()),--($C$12:$C13&lt;&gt;TRUE())),SUMPRODUCT(--(LEN(TRIM($B$12:$B13))&gt;0),--(D$12:D13=TRUE())))&lt;=MOD(D$46,MAX(1,D$48)),1,0),0)</f>
        <v>0</v>
      </c>
      <c r="F53" s="14" t="n">
        <f aca="false">IF(AND(F$47,F$48&gt;0,LEN(TRIM($B13))&gt;0,F13=TRUE(),IF(F$50,$C13&lt;&gt;TRUE(),TRUE())),QUOTIENT(F$46,MAX(1,F$48))+IF(IF(F$50,SUMPRODUCT(--(LEN(TRIM($B$12:$B13))&gt;0),--(F$12:F13=TRUE()),--($C$12:$C13&lt;&gt;TRUE())),SUMPRODUCT(--(LEN(TRIM($B$12:$B13))&gt;0),--(F$12:F13=TRUE())))&lt;=MOD(F$46,MAX(1,F$48)),1,0),0)</f>
        <v>0</v>
      </c>
      <c r="H53" s="14" t="n">
        <f aca="false">IF(AND(H$47,H$48&gt;0,LEN(TRIM($B13))&gt;0,H13=TRUE(),IF(H$50,$C13&lt;&gt;TRUE(),TRUE())),QUOTIENT(H$46,MAX(1,H$48))+IF(IF(H$50,SUMPRODUCT(--(LEN(TRIM($B$12:$B13))&gt;0),--(H$12:H13=TRUE()),--($C$12:$C13&lt;&gt;TRUE())),SUMPRODUCT(--(LEN(TRIM($B$12:$B13))&gt;0),--(H$12:H13=TRUE())))&lt;=MOD(H$46,MAX(1,H$48)),1,0),0)</f>
        <v>0</v>
      </c>
      <c r="J53" s="14" t="n">
        <f aca="false">IF(AND(J$47,J$48&gt;0,LEN(TRIM($B13))&gt;0,J13=TRUE(),IF(J$50,$C13&lt;&gt;TRUE(),TRUE())),QUOTIENT(J$46,MAX(1,J$48))+IF(IF(J$50,SUMPRODUCT(--(LEN(TRIM($B$12:$B13))&gt;0),--(J$12:J13=TRUE()),--($C$12:$C13&lt;&gt;TRUE())),SUMPRODUCT(--(LEN(TRIM($B$12:$B13))&gt;0),--(J$12:J13=TRUE())))&lt;=MOD(J$46,MAX(1,J$48)),1,0),0)</f>
        <v>0</v>
      </c>
      <c r="L53" s="14" t="n">
        <f aca="false">IF(AND(L$47,L$48&gt;0,LEN(TRIM($B13))&gt;0,L13=TRUE(),IF(L$50,$C13&lt;&gt;TRUE(),TRUE())),QUOTIENT(L$46,MAX(1,L$48))+IF(IF(L$50,SUMPRODUCT(--(LEN(TRIM($B$12:$B13))&gt;0),--(L$12:L13=TRUE()),--($C$12:$C13&lt;&gt;TRUE())),SUMPRODUCT(--(LEN(TRIM($B$12:$B13))&gt;0),--(L$12:L13=TRUE())))&lt;=MOD(L$46,MAX(1,L$48)),1,0),0)</f>
        <v>0</v>
      </c>
      <c r="N53" s="14" t="n">
        <f aca="false">IF(AND(N$47,N$48&gt;0,LEN(TRIM($B13))&gt;0,N13=TRUE(),IF(N$50,$C13&lt;&gt;TRUE(),TRUE())),QUOTIENT(N$46,MAX(1,N$48))+IF(IF(N$50,SUMPRODUCT(--(LEN(TRIM($B$12:$B13))&gt;0),--(N$12:N13=TRUE()),--($C$12:$C13&lt;&gt;TRUE())),SUMPRODUCT(--(LEN(TRIM($B$12:$B13))&gt;0),--(N$12:N13=TRUE())))&lt;=MOD(N$46,MAX(1,N$48)),1,0),0)</f>
        <v>0</v>
      </c>
      <c r="P53" s="14" t="n">
        <f aca="false">IF(AND(P$47,P$48&gt;0,LEN(TRIM($B13))&gt;0,P13=TRUE(),IF(P$50,$C13&lt;&gt;TRUE(),TRUE())),QUOTIENT(P$46,MAX(1,P$48))+IF(IF(P$50,SUMPRODUCT(--(LEN(TRIM($B$12:$B13))&gt;0),--(P$12:P13=TRUE()),--($C$12:$C13&lt;&gt;TRUE())),SUMPRODUCT(--(LEN(TRIM($B$12:$B13))&gt;0),--(P$12:P13=TRUE())))&lt;=MOD(P$46,MAX(1,P$48)),1,0),0)</f>
        <v>0</v>
      </c>
    </row>
    <row r="54" customFormat="false" ht="15" hidden="true" customHeight="false" outlineLevel="0" collapsed="false">
      <c r="A54" s="13" t="s">
        <v>20</v>
      </c>
      <c r="D54" s="14" t="n">
        <f aca="false">IF(AND(D$47,D$48&gt;0,LEN(TRIM($B14))&gt;0,D14=TRUE(),IF(D$50,$C14&lt;&gt;TRUE(),TRUE())),QUOTIENT(D$46,MAX(1,D$48))+IF(IF(D$50,SUMPRODUCT(--(LEN(TRIM($B$12:$B14))&gt;0),--(D$12:D14=TRUE()),--($C$12:$C14&lt;&gt;TRUE())),SUMPRODUCT(--(LEN(TRIM($B$12:$B14))&gt;0),--(D$12:D14=TRUE())))&lt;=MOD(D$46,MAX(1,D$48)),1,0),0)</f>
        <v>0</v>
      </c>
      <c r="F54" s="14" t="n">
        <f aca="false">IF(AND(F$47,F$48&gt;0,LEN(TRIM($B14))&gt;0,F14=TRUE(),IF(F$50,$C14&lt;&gt;TRUE(),TRUE())),QUOTIENT(F$46,MAX(1,F$48))+IF(IF(F$50,SUMPRODUCT(--(LEN(TRIM($B$12:$B14))&gt;0),--(F$12:F14=TRUE()),--($C$12:$C14&lt;&gt;TRUE())),SUMPRODUCT(--(LEN(TRIM($B$12:$B14))&gt;0),--(F$12:F14=TRUE())))&lt;=MOD(F$46,MAX(1,F$48)),1,0),0)</f>
        <v>0</v>
      </c>
      <c r="H54" s="14" t="n">
        <f aca="false">IF(AND(H$47,H$48&gt;0,LEN(TRIM($B14))&gt;0,H14=TRUE(),IF(H$50,$C14&lt;&gt;TRUE(),TRUE())),QUOTIENT(H$46,MAX(1,H$48))+IF(IF(H$50,SUMPRODUCT(--(LEN(TRIM($B$12:$B14))&gt;0),--(H$12:H14=TRUE()),--($C$12:$C14&lt;&gt;TRUE())),SUMPRODUCT(--(LEN(TRIM($B$12:$B14))&gt;0),--(H$12:H14=TRUE())))&lt;=MOD(H$46,MAX(1,H$48)),1,0),0)</f>
        <v>0</v>
      </c>
      <c r="J54" s="14" t="n">
        <f aca="false">IF(AND(J$47,J$48&gt;0,LEN(TRIM($B14))&gt;0,J14=TRUE(),IF(J$50,$C14&lt;&gt;TRUE(),TRUE())),QUOTIENT(J$46,MAX(1,J$48))+IF(IF(J$50,SUMPRODUCT(--(LEN(TRIM($B$12:$B14))&gt;0),--(J$12:J14=TRUE()),--($C$12:$C14&lt;&gt;TRUE())),SUMPRODUCT(--(LEN(TRIM($B$12:$B14))&gt;0),--(J$12:J14=TRUE())))&lt;=MOD(J$46,MAX(1,J$48)),1,0),0)</f>
        <v>0</v>
      </c>
      <c r="L54" s="14" t="n">
        <f aca="false">IF(AND(L$47,L$48&gt;0,LEN(TRIM($B14))&gt;0,L14=TRUE(),IF(L$50,$C14&lt;&gt;TRUE(),TRUE())),QUOTIENT(L$46,MAX(1,L$48))+IF(IF(L$50,SUMPRODUCT(--(LEN(TRIM($B$12:$B14))&gt;0),--(L$12:L14=TRUE()),--($C$12:$C14&lt;&gt;TRUE())),SUMPRODUCT(--(LEN(TRIM($B$12:$B14))&gt;0),--(L$12:L14=TRUE())))&lt;=MOD(L$46,MAX(1,L$48)),1,0),0)</f>
        <v>0</v>
      </c>
      <c r="N54" s="14" t="n">
        <f aca="false">IF(AND(N$47,N$48&gt;0,LEN(TRIM($B14))&gt;0,N14=TRUE(),IF(N$50,$C14&lt;&gt;TRUE(),TRUE())),QUOTIENT(N$46,MAX(1,N$48))+IF(IF(N$50,SUMPRODUCT(--(LEN(TRIM($B$12:$B14))&gt;0),--(N$12:N14=TRUE()),--($C$12:$C14&lt;&gt;TRUE())),SUMPRODUCT(--(LEN(TRIM($B$12:$B14))&gt;0),--(N$12:N14=TRUE())))&lt;=MOD(N$46,MAX(1,N$48)),1,0),0)</f>
        <v>0</v>
      </c>
      <c r="P54" s="14" t="n">
        <f aca="false">IF(AND(P$47,P$48&gt;0,LEN(TRIM($B14))&gt;0,P14=TRUE(),IF(P$50,$C14&lt;&gt;TRUE(),TRUE())),QUOTIENT(P$46,MAX(1,P$48))+IF(IF(P$50,SUMPRODUCT(--(LEN(TRIM($B$12:$B14))&gt;0),--(P$12:P14=TRUE()),--($C$12:$C14&lt;&gt;TRUE())),SUMPRODUCT(--(LEN(TRIM($B$12:$B14))&gt;0),--(P$12:P14=TRUE())))&lt;=MOD(P$46,MAX(1,P$48)),1,0),0)</f>
        <v>0</v>
      </c>
    </row>
    <row r="55" customFormat="false" ht="15" hidden="true" customHeight="false" outlineLevel="0" collapsed="false">
      <c r="A55" s="13" t="s">
        <v>21</v>
      </c>
      <c r="D55" s="14" t="n">
        <f aca="false">IF(AND(D$47,D$48&gt;0,LEN(TRIM($B15))&gt;0,D15=TRUE(),IF(D$50,$C15&lt;&gt;TRUE(),TRUE())),QUOTIENT(D$46,MAX(1,D$48))+IF(IF(D$50,SUMPRODUCT(--(LEN(TRIM($B$12:$B15))&gt;0),--(D$12:D15=TRUE()),--($C$12:$C15&lt;&gt;TRUE())),SUMPRODUCT(--(LEN(TRIM($B$12:$B15))&gt;0),--(D$12:D15=TRUE())))&lt;=MOD(D$46,MAX(1,D$48)),1,0),0)</f>
        <v>0</v>
      </c>
      <c r="F55" s="14" t="n">
        <f aca="false">IF(AND(F$47,F$48&gt;0,LEN(TRIM($B15))&gt;0,F15=TRUE(),IF(F$50,$C15&lt;&gt;TRUE(),TRUE())),QUOTIENT(F$46,MAX(1,F$48))+IF(IF(F$50,SUMPRODUCT(--(LEN(TRIM($B$12:$B15))&gt;0),--(F$12:F15=TRUE()),--($C$12:$C15&lt;&gt;TRUE())),SUMPRODUCT(--(LEN(TRIM($B$12:$B15))&gt;0),--(F$12:F15=TRUE())))&lt;=MOD(F$46,MAX(1,F$48)),1,0),0)</f>
        <v>0</v>
      </c>
      <c r="H55" s="14" t="n">
        <f aca="false">IF(AND(H$47,H$48&gt;0,LEN(TRIM($B15))&gt;0,H15=TRUE(),IF(H$50,$C15&lt;&gt;TRUE(),TRUE())),QUOTIENT(H$46,MAX(1,H$48))+IF(IF(H$50,SUMPRODUCT(--(LEN(TRIM($B$12:$B15))&gt;0),--(H$12:H15=TRUE()),--($C$12:$C15&lt;&gt;TRUE())),SUMPRODUCT(--(LEN(TRIM($B$12:$B15))&gt;0),--(H$12:H15=TRUE())))&lt;=MOD(H$46,MAX(1,H$48)),1,0),0)</f>
        <v>0</v>
      </c>
      <c r="J55" s="14" t="n">
        <f aca="false">IF(AND(J$47,J$48&gt;0,LEN(TRIM($B15))&gt;0,J15=TRUE(),IF(J$50,$C15&lt;&gt;TRUE(),TRUE())),QUOTIENT(J$46,MAX(1,J$48))+IF(IF(J$50,SUMPRODUCT(--(LEN(TRIM($B$12:$B15))&gt;0),--(J$12:J15=TRUE()),--($C$12:$C15&lt;&gt;TRUE())),SUMPRODUCT(--(LEN(TRIM($B$12:$B15))&gt;0),--(J$12:J15=TRUE())))&lt;=MOD(J$46,MAX(1,J$48)),1,0),0)</f>
        <v>0</v>
      </c>
      <c r="L55" s="14" t="n">
        <f aca="false">IF(AND(L$47,L$48&gt;0,LEN(TRIM($B15))&gt;0,L15=TRUE(),IF(L$50,$C15&lt;&gt;TRUE(),TRUE())),QUOTIENT(L$46,MAX(1,L$48))+IF(IF(L$50,SUMPRODUCT(--(LEN(TRIM($B$12:$B15))&gt;0),--(L$12:L15=TRUE()),--($C$12:$C15&lt;&gt;TRUE())),SUMPRODUCT(--(LEN(TRIM($B$12:$B15))&gt;0),--(L$12:L15=TRUE())))&lt;=MOD(L$46,MAX(1,L$48)),1,0),0)</f>
        <v>0</v>
      </c>
      <c r="N55" s="14" t="n">
        <f aca="false">IF(AND(N$47,N$48&gt;0,LEN(TRIM($B15))&gt;0,N15=TRUE(),IF(N$50,$C15&lt;&gt;TRUE(),TRUE())),QUOTIENT(N$46,MAX(1,N$48))+IF(IF(N$50,SUMPRODUCT(--(LEN(TRIM($B$12:$B15))&gt;0),--(N$12:N15=TRUE()),--($C$12:$C15&lt;&gt;TRUE())),SUMPRODUCT(--(LEN(TRIM($B$12:$B15))&gt;0),--(N$12:N15=TRUE())))&lt;=MOD(N$46,MAX(1,N$48)),1,0),0)</f>
        <v>0</v>
      </c>
      <c r="P55" s="14" t="n">
        <f aca="false">IF(AND(P$47,P$48&gt;0,LEN(TRIM($B15))&gt;0,P15=TRUE(),IF(P$50,$C15&lt;&gt;TRUE(),TRUE())),QUOTIENT(P$46,MAX(1,P$48))+IF(IF(P$50,SUMPRODUCT(--(LEN(TRIM($B$12:$B15))&gt;0),--(P$12:P15=TRUE()),--($C$12:$C15&lt;&gt;TRUE())),SUMPRODUCT(--(LEN(TRIM($B$12:$B15))&gt;0),--(P$12:P15=TRUE())))&lt;=MOD(P$46,MAX(1,P$48)),1,0),0)</f>
        <v>0</v>
      </c>
    </row>
    <row r="56" customFormat="false" ht="15" hidden="true" customHeight="false" outlineLevel="0" collapsed="false">
      <c r="A56" s="13" t="s">
        <v>22</v>
      </c>
      <c r="D56" s="14" t="n">
        <f aca="false">IF(AND(D$47,D$48&gt;0,LEN(TRIM($B16))&gt;0,D16=TRUE(),IF(D$50,$C16&lt;&gt;TRUE(),TRUE())),QUOTIENT(D$46,MAX(1,D$48))+IF(IF(D$50,SUMPRODUCT(--(LEN(TRIM($B$12:$B16))&gt;0),--(D$12:D16=TRUE()),--($C$12:$C16&lt;&gt;TRUE())),SUMPRODUCT(--(LEN(TRIM($B$12:$B16))&gt;0),--(D$12:D16=TRUE())))&lt;=MOD(D$46,MAX(1,D$48)),1,0),0)</f>
        <v>0</v>
      </c>
      <c r="F56" s="14" t="n">
        <f aca="false">IF(AND(F$47,F$48&gt;0,LEN(TRIM($B16))&gt;0,F16=TRUE(),IF(F$50,$C16&lt;&gt;TRUE(),TRUE())),QUOTIENT(F$46,MAX(1,F$48))+IF(IF(F$50,SUMPRODUCT(--(LEN(TRIM($B$12:$B16))&gt;0),--(F$12:F16=TRUE()),--($C$12:$C16&lt;&gt;TRUE())),SUMPRODUCT(--(LEN(TRIM($B$12:$B16))&gt;0),--(F$12:F16=TRUE())))&lt;=MOD(F$46,MAX(1,F$48)),1,0),0)</f>
        <v>0</v>
      </c>
      <c r="H56" s="14" t="n">
        <f aca="false">IF(AND(H$47,H$48&gt;0,LEN(TRIM($B16))&gt;0,H16=TRUE(),IF(H$50,$C16&lt;&gt;TRUE(),TRUE())),QUOTIENT(H$46,MAX(1,H$48))+IF(IF(H$50,SUMPRODUCT(--(LEN(TRIM($B$12:$B16))&gt;0),--(H$12:H16=TRUE()),--($C$12:$C16&lt;&gt;TRUE())),SUMPRODUCT(--(LEN(TRIM($B$12:$B16))&gt;0),--(H$12:H16=TRUE())))&lt;=MOD(H$46,MAX(1,H$48)),1,0),0)</f>
        <v>0</v>
      </c>
      <c r="J56" s="14" t="n">
        <f aca="false">IF(AND(J$47,J$48&gt;0,LEN(TRIM($B16))&gt;0,J16=TRUE(),IF(J$50,$C16&lt;&gt;TRUE(),TRUE())),QUOTIENT(J$46,MAX(1,J$48))+IF(IF(J$50,SUMPRODUCT(--(LEN(TRIM($B$12:$B16))&gt;0),--(J$12:J16=TRUE()),--($C$12:$C16&lt;&gt;TRUE())),SUMPRODUCT(--(LEN(TRIM($B$12:$B16))&gt;0),--(J$12:J16=TRUE())))&lt;=MOD(J$46,MAX(1,J$48)),1,0),0)</f>
        <v>0</v>
      </c>
      <c r="L56" s="14" t="n">
        <f aca="false">IF(AND(L$47,L$48&gt;0,LEN(TRIM($B16))&gt;0,L16=TRUE(),IF(L$50,$C16&lt;&gt;TRUE(),TRUE())),QUOTIENT(L$46,MAX(1,L$48))+IF(IF(L$50,SUMPRODUCT(--(LEN(TRIM($B$12:$B16))&gt;0),--(L$12:L16=TRUE()),--($C$12:$C16&lt;&gt;TRUE())),SUMPRODUCT(--(LEN(TRIM($B$12:$B16))&gt;0),--(L$12:L16=TRUE())))&lt;=MOD(L$46,MAX(1,L$48)),1,0),0)</f>
        <v>0</v>
      </c>
      <c r="N56" s="14" t="n">
        <f aca="false">IF(AND(N$47,N$48&gt;0,LEN(TRIM($B16))&gt;0,N16=TRUE(),IF(N$50,$C16&lt;&gt;TRUE(),TRUE())),QUOTIENT(N$46,MAX(1,N$48))+IF(IF(N$50,SUMPRODUCT(--(LEN(TRIM($B$12:$B16))&gt;0),--(N$12:N16=TRUE()),--($C$12:$C16&lt;&gt;TRUE())),SUMPRODUCT(--(LEN(TRIM($B$12:$B16))&gt;0),--(N$12:N16=TRUE())))&lt;=MOD(N$46,MAX(1,N$48)),1,0),0)</f>
        <v>0</v>
      </c>
      <c r="P56" s="14" t="n">
        <f aca="false">IF(AND(P$47,P$48&gt;0,LEN(TRIM($B16))&gt;0,P16=TRUE(),IF(P$50,$C16&lt;&gt;TRUE(),TRUE())),QUOTIENT(P$46,MAX(1,P$48))+IF(IF(P$50,SUMPRODUCT(--(LEN(TRIM($B$12:$B16))&gt;0),--(P$12:P16=TRUE()),--($C$12:$C16&lt;&gt;TRUE())),SUMPRODUCT(--(LEN(TRIM($B$12:$B16))&gt;0),--(P$12:P16=TRUE())))&lt;=MOD(P$46,MAX(1,P$48)),1,0),0)</f>
        <v>0</v>
      </c>
    </row>
    <row r="57" customFormat="false" ht="15" hidden="true" customHeight="false" outlineLevel="0" collapsed="false">
      <c r="A57" s="13" t="s">
        <v>23</v>
      </c>
      <c r="D57" s="14" t="n">
        <f aca="false">IF(AND(D$47,D$48&gt;0,LEN(TRIM($B17))&gt;0,D17=TRUE(),IF(D$50,$C17&lt;&gt;TRUE(),TRUE())),QUOTIENT(D$46,MAX(1,D$48))+IF(IF(D$50,SUMPRODUCT(--(LEN(TRIM($B$12:$B17))&gt;0),--(D$12:D17=TRUE()),--($C$12:$C17&lt;&gt;TRUE())),SUMPRODUCT(--(LEN(TRIM($B$12:$B17))&gt;0),--(D$12:D17=TRUE())))&lt;=MOD(D$46,MAX(1,D$48)),1,0),0)</f>
        <v>0</v>
      </c>
      <c r="F57" s="14" t="n">
        <f aca="false">IF(AND(F$47,F$48&gt;0,LEN(TRIM($B17))&gt;0,F17=TRUE(),IF(F$50,$C17&lt;&gt;TRUE(),TRUE())),QUOTIENT(F$46,MAX(1,F$48))+IF(IF(F$50,SUMPRODUCT(--(LEN(TRIM($B$12:$B17))&gt;0),--(F$12:F17=TRUE()),--($C$12:$C17&lt;&gt;TRUE())),SUMPRODUCT(--(LEN(TRIM($B$12:$B17))&gt;0),--(F$12:F17=TRUE())))&lt;=MOD(F$46,MAX(1,F$48)),1,0),0)</f>
        <v>0</v>
      </c>
      <c r="H57" s="14" t="n">
        <f aca="false">IF(AND(H$47,H$48&gt;0,LEN(TRIM($B17))&gt;0,H17=TRUE(),IF(H$50,$C17&lt;&gt;TRUE(),TRUE())),QUOTIENT(H$46,MAX(1,H$48))+IF(IF(H$50,SUMPRODUCT(--(LEN(TRIM($B$12:$B17))&gt;0),--(H$12:H17=TRUE()),--($C$12:$C17&lt;&gt;TRUE())),SUMPRODUCT(--(LEN(TRIM($B$12:$B17))&gt;0),--(H$12:H17=TRUE())))&lt;=MOD(H$46,MAX(1,H$48)),1,0),0)</f>
        <v>0</v>
      </c>
      <c r="J57" s="14" t="n">
        <f aca="false">IF(AND(J$47,J$48&gt;0,LEN(TRIM($B17))&gt;0,J17=TRUE(),IF(J$50,$C17&lt;&gt;TRUE(),TRUE())),QUOTIENT(J$46,MAX(1,J$48))+IF(IF(J$50,SUMPRODUCT(--(LEN(TRIM($B$12:$B17))&gt;0),--(J$12:J17=TRUE()),--($C$12:$C17&lt;&gt;TRUE())),SUMPRODUCT(--(LEN(TRIM($B$12:$B17))&gt;0),--(J$12:J17=TRUE())))&lt;=MOD(J$46,MAX(1,J$48)),1,0),0)</f>
        <v>0</v>
      </c>
      <c r="L57" s="14" t="n">
        <f aca="false">IF(AND(L$47,L$48&gt;0,LEN(TRIM($B17))&gt;0,L17=TRUE(),IF(L$50,$C17&lt;&gt;TRUE(),TRUE())),QUOTIENT(L$46,MAX(1,L$48))+IF(IF(L$50,SUMPRODUCT(--(LEN(TRIM($B$12:$B17))&gt;0),--(L$12:L17=TRUE()),--($C$12:$C17&lt;&gt;TRUE())),SUMPRODUCT(--(LEN(TRIM($B$12:$B17))&gt;0),--(L$12:L17=TRUE())))&lt;=MOD(L$46,MAX(1,L$48)),1,0),0)</f>
        <v>0</v>
      </c>
      <c r="N57" s="14" t="n">
        <f aca="false">IF(AND(N$47,N$48&gt;0,LEN(TRIM($B17))&gt;0,N17=TRUE(),IF(N$50,$C17&lt;&gt;TRUE(),TRUE())),QUOTIENT(N$46,MAX(1,N$48))+IF(IF(N$50,SUMPRODUCT(--(LEN(TRIM($B$12:$B17))&gt;0),--(N$12:N17=TRUE()),--($C$12:$C17&lt;&gt;TRUE())),SUMPRODUCT(--(LEN(TRIM($B$12:$B17))&gt;0),--(N$12:N17=TRUE())))&lt;=MOD(N$46,MAX(1,N$48)),1,0),0)</f>
        <v>0</v>
      </c>
      <c r="P57" s="14" t="n">
        <f aca="false">IF(AND(P$47,P$48&gt;0,LEN(TRIM($B17))&gt;0,P17=TRUE(),IF(P$50,$C17&lt;&gt;TRUE(),TRUE())),QUOTIENT(P$46,MAX(1,P$48))+IF(IF(P$50,SUMPRODUCT(--(LEN(TRIM($B$12:$B17))&gt;0),--(P$12:P17=TRUE()),--($C$12:$C17&lt;&gt;TRUE())),SUMPRODUCT(--(LEN(TRIM($B$12:$B17))&gt;0),--(P$12:P17=TRUE())))&lt;=MOD(P$46,MAX(1,P$48)),1,0),0)</f>
        <v>0</v>
      </c>
    </row>
    <row r="58" customFormat="false" ht="15" hidden="true" customHeight="false" outlineLevel="0" collapsed="false">
      <c r="A58" s="13" t="s">
        <v>24</v>
      </c>
      <c r="D58" s="14" t="n">
        <f aca="false">IF(AND(D$47,D$48&gt;0,LEN(TRIM($B18))&gt;0,D18=TRUE(),IF(D$50,$C18&lt;&gt;TRUE(),TRUE())),QUOTIENT(D$46,MAX(1,D$48))+IF(IF(D$50,SUMPRODUCT(--(LEN(TRIM($B$12:$B18))&gt;0),--(D$12:D18=TRUE()),--($C$12:$C18&lt;&gt;TRUE())),SUMPRODUCT(--(LEN(TRIM($B$12:$B18))&gt;0),--(D$12:D18=TRUE())))&lt;=MOD(D$46,MAX(1,D$48)),1,0),0)</f>
        <v>0</v>
      </c>
      <c r="F58" s="14" t="n">
        <f aca="false">IF(AND(F$47,F$48&gt;0,LEN(TRIM($B18))&gt;0,F18=TRUE(),IF(F$50,$C18&lt;&gt;TRUE(),TRUE())),QUOTIENT(F$46,MAX(1,F$48))+IF(IF(F$50,SUMPRODUCT(--(LEN(TRIM($B$12:$B18))&gt;0),--(F$12:F18=TRUE()),--($C$12:$C18&lt;&gt;TRUE())),SUMPRODUCT(--(LEN(TRIM($B$12:$B18))&gt;0),--(F$12:F18=TRUE())))&lt;=MOD(F$46,MAX(1,F$48)),1,0),0)</f>
        <v>0</v>
      </c>
      <c r="H58" s="14" t="n">
        <f aca="false">IF(AND(H$47,H$48&gt;0,LEN(TRIM($B18))&gt;0,H18=TRUE(),IF(H$50,$C18&lt;&gt;TRUE(),TRUE())),QUOTIENT(H$46,MAX(1,H$48))+IF(IF(H$50,SUMPRODUCT(--(LEN(TRIM($B$12:$B18))&gt;0),--(H$12:H18=TRUE()),--($C$12:$C18&lt;&gt;TRUE())),SUMPRODUCT(--(LEN(TRIM($B$12:$B18))&gt;0),--(H$12:H18=TRUE())))&lt;=MOD(H$46,MAX(1,H$48)),1,0),0)</f>
        <v>0</v>
      </c>
      <c r="J58" s="14" t="n">
        <f aca="false">IF(AND(J$47,J$48&gt;0,LEN(TRIM($B18))&gt;0,J18=TRUE(),IF(J$50,$C18&lt;&gt;TRUE(),TRUE())),QUOTIENT(J$46,MAX(1,J$48))+IF(IF(J$50,SUMPRODUCT(--(LEN(TRIM($B$12:$B18))&gt;0),--(J$12:J18=TRUE()),--($C$12:$C18&lt;&gt;TRUE())),SUMPRODUCT(--(LEN(TRIM($B$12:$B18))&gt;0),--(J$12:J18=TRUE())))&lt;=MOD(J$46,MAX(1,J$48)),1,0),0)</f>
        <v>0</v>
      </c>
      <c r="L58" s="14" t="n">
        <f aca="false">IF(AND(L$47,L$48&gt;0,LEN(TRIM($B18))&gt;0,L18=TRUE(),IF(L$50,$C18&lt;&gt;TRUE(),TRUE())),QUOTIENT(L$46,MAX(1,L$48))+IF(IF(L$50,SUMPRODUCT(--(LEN(TRIM($B$12:$B18))&gt;0),--(L$12:L18=TRUE()),--($C$12:$C18&lt;&gt;TRUE())),SUMPRODUCT(--(LEN(TRIM($B$12:$B18))&gt;0),--(L$12:L18=TRUE())))&lt;=MOD(L$46,MAX(1,L$48)),1,0),0)</f>
        <v>0</v>
      </c>
      <c r="N58" s="14" t="n">
        <f aca="false">IF(AND(N$47,N$48&gt;0,LEN(TRIM($B18))&gt;0,N18=TRUE(),IF(N$50,$C18&lt;&gt;TRUE(),TRUE())),QUOTIENT(N$46,MAX(1,N$48))+IF(IF(N$50,SUMPRODUCT(--(LEN(TRIM($B$12:$B18))&gt;0),--(N$12:N18=TRUE()),--($C$12:$C18&lt;&gt;TRUE())),SUMPRODUCT(--(LEN(TRIM($B$12:$B18))&gt;0),--(N$12:N18=TRUE())))&lt;=MOD(N$46,MAX(1,N$48)),1,0),0)</f>
        <v>0</v>
      </c>
      <c r="P58" s="14" t="n">
        <f aca="false">IF(AND(P$47,P$48&gt;0,LEN(TRIM($B18))&gt;0,P18=TRUE(),IF(P$50,$C18&lt;&gt;TRUE(),TRUE())),QUOTIENT(P$46,MAX(1,P$48))+IF(IF(P$50,SUMPRODUCT(--(LEN(TRIM($B$12:$B18))&gt;0),--(P$12:P18=TRUE()),--($C$12:$C18&lt;&gt;TRUE())),SUMPRODUCT(--(LEN(TRIM($B$12:$B18))&gt;0),--(P$12:P18=TRUE())))&lt;=MOD(P$46,MAX(1,P$48)),1,0),0)</f>
        <v>0</v>
      </c>
    </row>
    <row r="59" customFormat="false" ht="15" hidden="true" customHeight="false" outlineLevel="0" collapsed="false">
      <c r="A59" s="13" t="s">
        <v>25</v>
      </c>
      <c r="D59" s="14" t="n">
        <f aca="false">IF(AND(D$47,D$48&gt;0,LEN(TRIM($B19))&gt;0,D19=TRUE(),IF(D$50,$C19&lt;&gt;TRUE(),TRUE())),QUOTIENT(D$46,MAX(1,D$48))+IF(IF(D$50,SUMPRODUCT(--(LEN(TRIM($B$12:$B19))&gt;0),--(D$12:D19=TRUE()),--($C$12:$C19&lt;&gt;TRUE())),SUMPRODUCT(--(LEN(TRIM($B$12:$B19))&gt;0),--(D$12:D19=TRUE())))&lt;=MOD(D$46,MAX(1,D$48)),1,0),0)</f>
        <v>0</v>
      </c>
      <c r="F59" s="14" t="n">
        <f aca="false">IF(AND(F$47,F$48&gt;0,LEN(TRIM($B19))&gt;0,F19=TRUE(),IF(F$50,$C19&lt;&gt;TRUE(),TRUE())),QUOTIENT(F$46,MAX(1,F$48))+IF(IF(F$50,SUMPRODUCT(--(LEN(TRIM($B$12:$B19))&gt;0),--(F$12:F19=TRUE()),--($C$12:$C19&lt;&gt;TRUE())),SUMPRODUCT(--(LEN(TRIM($B$12:$B19))&gt;0),--(F$12:F19=TRUE())))&lt;=MOD(F$46,MAX(1,F$48)),1,0),0)</f>
        <v>0</v>
      </c>
      <c r="H59" s="14" t="n">
        <f aca="false">IF(AND(H$47,H$48&gt;0,LEN(TRIM($B19))&gt;0,H19=TRUE(),IF(H$50,$C19&lt;&gt;TRUE(),TRUE())),QUOTIENT(H$46,MAX(1,H$48))+IF(IF(H$50,SUMPRODUCT(--(LEN(TRIM($B$12:$B19))&gt;0),--(H$12:H19=TRUE()),--($C$12:$C19&lt;&gt;TRUE())),SUMPRODUCT(--(LEN(TRIM($B$12:$B19))&gt;0),--(H$12:H19=TRUE())))&lt;=MOD(H$46,MAX(1,H$48)),1,0),0)</f>
        <v>0</v>
      </c>
      <c r="J59" s="14" t="n">
        <f aca="false">IF(AND(J$47,J$48&gt;0,LEN(TRIM($B19))&gt;0,J19=TRUE(),IF(J$50,$C19&lt;&gt;TRUE(),TRUE())),QUOTIENT(J$46,MAX(1,J$48))+IF(IF(J$50,SUMPRODUCT(--(LEN(TRIM($B$12:$B19))&gt;0),--(J$12:J19=TRUE()),--($C$12:$C19&lt;&gt;TRUE())),SUMPRODUCT(--(LEN(TRIM($B$12:$B19))&gt;0),--(J$12:J19=TRUE())))&lt;=MOD(J$46,MAX(1,J$48)),1,0),0)</f>
        <v>0</v>
      </c>
      <c r="L59" s="14" t="n">
        <f aca="false">IF(AND(L$47,L$48&gt;0,LEN(TRIM($B19))&gt;0,L19=TRUE(),IF(L$50,$C19&lt;&gt;TRUE(),TRUE())),QUOTIENT(L$46,MAX(1,L$48))+IF(IF(L$50,SUMPRODUCT(--(LEN(TRIM($B$12:$B19))&gt;0),--(L$12:L19=TRUE()),--($C$12:$C19&lt;&gt;TRUE())),SUMPRODUCT(--(LEN(TRIM($B$12:$B19))&gt;0),--(L$12:L19=TRUE())))&lt;=MOD(L$46,MAX(1,L$48)),1,0),0)</f>
        <v>0</v>
      </c>
      <c r="N59" s="14" t="n">
        <f aca="false">IF(AND(N$47,N$48&gt;0,LEN(TRIM($B19))&gt;0,N19=TRUE(),IF(N$50,$C19&lt;&gt;TRUE(),TRUE())),QUOTIENT(N$46,MAX(1,N$48))+IF(IF(N$50,SUMPRODUCT(--(LEN(TRIM($B$12:$B19))&gt;0),--(N$12:N19=TRUE()),--($C$12:$C19&lt;&gt;TRUE())),SUMPRODUCT(--(LEN(TRIM($B$12:$B19))&gt;0),--(N$12:N19=TRUE())))&lt;=MOD(N$46,MAX(1,N$48)),1,0),0)</f>
        <v>0</v>
      </c>
      <c r="P59" s="14" t="n">
        <f aca="false">IF(AND(P$47,P$48&gt;0,LEN(TRIM($B19))&gt;0,P19=TRUE(),IF(P$50,$C19&lt;&gt;TRUE(),TRUE())),QUOTIENT(P$46,MAX(1,P$48))+IF(IF(P$50,SUMPRODUCT(--(LEN(TRIM($B$12:$B19))&gt;0),--(P$12:P19=TRUE()),--($C$12:$C19&lt;&gt;TRUE())),SUMPRODUCT(--(LEN(TRIM($B$12:$B19))&gt;0),--(P$12:P19=TRUE())))&lt;=MOD(P$46,MAX(1,P$48)),1,0),0)</f>
        <v>0</v>
      </c>
    </row>
    <row r="60" customFormat="false" ht="15" hidden="true" customHeight="false" outlineLevel="0" collapsed="false">
      <c r="A60" s="13" t="s">
        <v>26</v>
      </c>
      <c r="D60" s="14" t="n">
        <f aca="false">IF(AND(D$47,D$48&gt;0,LEN(TRIM($B20))&gt;0,D20=TRUE(),IF(D$50,$C20&lt;&gt;TRUE(),TRUE())),QUOTIENT(D$46,MAX(1,D$48))+IF(IF(D$50,SUMPRODUCT(--(LEN(TRIM($B$12:$B20))&gt;0),--(D$12:D20=TRUE()),--($C$12:$C20&lt;&gt;TRUE())),SUMPRODUCT(--(LEN(TRIM($B$12:$B20))&gt;0),--(D$12:D20=TRUE())))&lt;=MOD(D$46,MAX(1,D$48)),1,0),0)</f>
        <v>0</v>
      </c>
      <c r="F60" s="14" t="n">
        <f aca="false">IF(AND(F$47,F$48&gt;0,LEN(TRIM($B20))&gt;0,F20=TRUE(),IF(F$50,$C20&lt;&gt;TRUE(),TRUE())),QUOTIENT(F$46,MAX(1,F$48))+IF(IF(F$50,SUMPRODUCT(--(LEN(TRIM($B$12:$B20))&gt;0),--(F$12:F20=TRUE()),--($C$12:$C20&lt;&gt;TRUE())),SUMPRODUCT(--(LEN(TRIM($B$12:$B20))&gt;0),--(F$12:F20=TRUE())))&lt;=MOD(F$46,MAX(1,F$48)),1,0),0)</f>
        <v>0</v>
      </c>
      <c r="H60" s="14" t="n">
        <f aca="false">IF(AND(H$47,H$48&gt;0,LEN(TRIM($B20))&gt;0,H20=TRUE(),IF(H$50,$C20&lt;&gt;TRUE(),TRUE())),QUOTIENT(H$46,MAX(1,H$48))+IF(IF(H$50,SUMPRODUCT(--(LEN(TRIM($B$12:$B20))&gt;0),--(H$12:H20=TRUE()),--($C$12:$C20&lt;&gt;TRUE())),SUMPRODUCT(--(LEN(TRIM($B$12:$B20))&gt;0),--(H$12:H20=TRUE())))&lt;=MOD(H$46,MAX(1,H$48)),1,0),0)</f>
        <v>0</v>
      </c>
      <c r="J60" s="14" t="n">
        <f aca="false">IF(AND(J$47,J$48&gt;0,LEN(TRIM($B20))&gt;0,J20=TRUE(),IF(J$50,$C20&lt;&gt;TRUE(),TRUE())),QUOTIENT(J$46,MAX(1,J$48))+IF(IF(J$50,SUMPRODUCT(--(LEN(TRIM($B$12:$B20))&gt;0),--(J$12:J20=TRUE()),--($C$12:$C20&lt;&gt;TRUE())),SUMPRODUCT(--(LEN(TRIM($B$12:$B20))&gt;0),--(J$12:J20=TRUE())))&lt;=MOD(J$46,MAX(1,J$48)),1,0),0)</f>
        <v>0</v>
      </c>
      <c r="L60" s="14" t="n">
        <f aca="false">IF(AND(L$47,L$48&gt;0,LEN(TRIM($B20))&gt;0,L20=TRUE(),IF(L$50,$C20&lt;&gt;TRUE(),TRUE())),QUOTIENT(L$46,MAX(1,L$48))+IF(IF(L$50,SUMPRODUCT(--(LEN(TRIM($B$12:$B20))&gt;0),--(L$12:L20=TRUE()),--($C$12:$C20&lt;&gt;TRUE())),SUMPRODUCT(--(LEN(TRIM($B$12:$B20))&gt;0),--(L$12:L20=TRUE())))&lt;=MOD(L$46,MAX(1,L$48)),1,0),0)</f>
        <v>0</v>
      </c>
      <c r="N60" s="14" t="n">
        <f aca="false">IF(AND(N$47,N$48&gt;0,LEN(TRIM($B20))&gt;0,N20=TRUE(),IF(N$50,$C20&lt;&gt;TRUE(),TRUE())),QUOTIENT(N$46,MAX(1,N$48))+IF(IF(N$50,SUMPRODUCT(--(LEN(TRIM($B$12:$B20))&gt;0),--(N$12:N20=TRUE()),--($C$12:$C20&lt;&gt;TRUE())),SUMPRODUCT(--(LEN(TRIM($B$12:$B20))&gt;0),--(N$12:N20=TRUE())))&lt;=MOD(N$46,MAX(1,N$48)),1,0),0)</f>
        <v>0</v>
      </c>
      <c r="P60" s="14" t="n">
        <f aca="false">IF(AND(P$47,P$48&gt;0,LEN(TRIM($B20))&gt;0,P20=TRUE(),IF(P$50,$C20&lt;&gt;TRUE(),TRUE())),QUOTIENT(P$46,MAX(1,P$48))+IF(IF(P$50,SUMPRODUCT(--(LEN(TRIM($B$12:$B20))&gt;0),--(P$12:P20=TRUE()),--($C$12:$C20&lt;&gt;TRUE())),SUMPRODUCT(--(LEN(TRIM($B$12:$B20))&gt;0),--(P$12:P20=TRUE())))&lt;=MOD(P$46,MAX(1,P$48)),1,0),0)</f>
        <v>0</v>
      </c>
    </row>
    <row r="61" customFormat="false" ht="15" hidden="true" customHeight="false" outlineLevel="0" collapsed="false">
      <c r="A61" s="13" t="s">
        <v>27</v>
      </c>
      <c r="D61" s="14" t="n">
        <f aca="false">IF(AND(D$47,D$48&gt;0,LEN(TRIM($B21))&gt;0,D21=TRUE(),IF(D$50,$C21&lt;&gt;TRUE(),TRUE())),QUOTIENT(D$46,MAX(1,D$48))+IF(IF(D$50,SUMPRODUCT(--(LEN(TRIM($B$12:$B21))&gt;0),--(D$12:D21=TRUE()),--($C$12:$C21&lt;&gt;TRUE())),SUMPRODUCT(--(LEN(TRIM($B$12:$B21))&gt;0),--(D$12:D21=TRUE())))&lt;=MOD(D$46,MAX(1,D$48)),1,0),0)</f>
        <v>0</v>
      </c>
      <c r="F61" s="14" t="n">
        <f aca="false">IF(AND(F$47,F$48&gt;0,LEN(TRIM($B21))&gt;0,F21=TRUE(),IF(F$50,$C21&lt;&gt;TRUE(),TRUE())),QUOTIENT(F$46,MAX(1,F$48))+IF(IF(F$50,SUMPRODUCT(--(LEN(TRIM($B$12:$B21))&gt;0),--(F$12:F21=TRUE()),--($C$12:$C21&lt;&gt;TRUE())),SUMPRODUCT(--(LEN(TRIM($B$12:$B21))&gt;0),--(F$12:F21=TRUE())))&lt;=MOD(F$46,MAX(1,F$48)),1,0),0)</f>
        <v>0</v>
      </c>
      <c r="H61" s="14" t="n">
        <f aca="false">IF(AND(H$47,H$48&gt;0,LEN(TRIM($B21))&gt;0,H21=TRUE(),IF(H$50,$C21&lt;&gt;TRUE(),TRUE())),QUOTIENT(H$46,MAX(1,H$48))+IF(IF(H$50,SUMPRODUCT(--(LEN(TRIM($B$12:$B21))&gt;0),--(H$12:H21=TRUE()),--($C$12:$C21&lt;&gt;TRUE())),SUMPRODUCT(--(LEN(TRIM($B$12:$B21))&gt;0),--(H$12:H21=TRUE())))&lt;=MOD(H$46,MAX(1,H$48)),1,0),0)</f>
        <v>0</v>
      </c>
      <c r="J61" s="14" t="n">
        <f aca="false">IF(AND(J$47,J$48&gt;0,LEN(TRIM($B21))&gt;0,J21=TRUE(),IF(J$50,$C21&lt;&gt;TRUE(),TRUE())),QUOTIENT(J$46,MAX(1,J$48))+IF(IF(J$50,SUMPRODUCT(--(LEN(TRIM($B$12:$B21))&gt;0),--(J$12:J21=TRUE()),--($C$12:$C21&lt;&gt;TRUE())),SUMPRODUCT(--(LEN(TRIM($B$12:$B21))&gt;0),--(J$12:J21=TRUE())))&lt;=MOD(J$46,MAX(1,J$48)),1,0),0)</f>
        <v>0</v>
      </c>
      <c r="L61" s="14" t="n">
        <f aca="false">IF(AND(L$47,L$48&gt;0,LEN(TRIM($B21))&gt;0,L21=TRUE(),IF(L$50,$C21&lt;&gt;TRUE(),TRUE())),QUOTIENT(L$46,MAX(1,L$48))+IF(IF(L$50,SUMPRODUCT(--(LEN(TRIM($B$12:$B21))&gt;0),--(L$12:L21=TRUE()),--($C$12:$C21&lt;&gt;TRUE())),SUMPRODUCT(--(LEN(TRIM($B$12:$B21))&gt;0),--(L$12:L21=TRUE())))&lt;=MOD(L$46,MAX(1,L$48)),1,0),0)</f>
        <v>0</v>
      </c>
      <c r="N61" s="14" t="n">
        <f aca="false">IF(AND(N$47,N$48&gt;0,LEN(TRIM($B21))&gt;0,N21=TRUE(),IF(N$50,$C21&lt;&gt;TRUE(),TRUE())),QUOTIENT(N$46,MAX(1,N$48))+IF(IF(N$50,SUMPRODUCT(--(LEN(TRIM($B$12:$B21))&gt;0),--(N$12:N21=TRUE()),--($C$12:$C21&lt;&gt;TRUE())),SUMPRODUCT(--(LEN(TRIM($B$12:$B21))&gt;0),--(N$12:N21=TRUE())))&lt;=MOD(N$46,MAX(1,N$48)),1,0),0)</f>
        <v>0</v>
      </c>
      <c r="P61" s="14" t="n">
        <f aca="false">IF(AND(P$47,P$48&gt;0,LEN(TRIM($B21))&gt;0,P21=TRUE(),IF(P$50,$C21&lt;&gt;TRUE(),TRUE())),QUOTIENT(P$46,MAX(1,P$48))+IF(IF(P$50,SUMPRODUCT(--(LEN(TRIM($B$12:$B21))&gt;0),--(P$12:P21=TRUE()),--($C$12:$C21&lt;&gt;TRUE())),SUMPRODUCT(--(LEN(TRIM($B$12:$B21))&gt;0),--(P$12:P21=TRUE())))&lt;=MOD(P$46,MAX(1,P$48)),1,0),0)</f>
        <v>0</v>
      </c>
    </row>
    <row r="62" customFormat="false" ht="15" hidden="true" customHeight="false" outlineLevel="0" collapsed="false">
      <c r="A62" s="13" t="s">
        <v>28</v>
      </c>
      <c r="D62" s="14" t="n">
        <f aca="false">IF(AND(D$47,D$48&gt;0,LEN(TRIM($B22))&gt;0,D22=TRUE(),IF(D$50,$C22&lt;&gt;TRUE(),TRUE())),QUOTIENT(D$46,MAX(1,D$48))+IF(IF(D$50,SUMPRODUCT(--(LEN(TRIM($B$12:$B22))&gt;0),--(D$12:D22=TRUE()),--($C$12:$C22&lt;&gt;TRUE())),SUMPRODUCT(--(LEN(TRIM($B$12:$B22))&gt;0),--(D$12:D22=TRUE())))&lt;=MOD(D$46,MAX(1,D$48)),1,0),0)</f>
        <v>0</v>
      </c>
      <c r="F62" s="14" t="n">
        <f aca="false">IF(AND(F$47,F$48&gt;0,LEN(TRIM($B22))&gt;0,F22=TRUE(),IF(F$50,$C22&lt;&gt;TRUE(),TRUE())),QUOTIENT(F$46,MAX(1,F$48))+IF(IF(F$50,SUMPRODUCT(--(LEN(TRIM($B$12:$B22))&gt;0),--(F$12:F22=TRUE()),--($C$12:$C22&lt;&gt;TRUE())),SUMPRODUCT(--(LEN(TRIM($B$12:$B22))&gt;0),--(F$12:F22=TRUE())))&lt;=MOD(F$46,MAX(1,F$48)),1,0),0)</f>
        <v>0</v>
      </c>
      <c r="H62" s="14" t="n">
        <f aca="false">IF(AND(H$47,H$48&gt;0,LEN(TRIM($B22))&gt;0,H22=TRUE(),IF(H$50,$C22&lt;&gt;TRUE(),TRUE())),QUOTIENT(H$46,MAX(1,H$48))+IF(IF(H$50,SUMPRODUCT(--(LEN(TRIM($B$12:$B22))&gt;0),--(H$12:H22=TRUE()),--($C$12:$C22&lt;&gt;TRUE())),SUMPRODUCT(--(LEN(TRIM($B$12:$B22))&gt;0),--(H$12:H22=TRUE())))&lt;=MOD(H$46,MAX(1,H$48)),1,0),0)</f>
        <v>0</v>
      </c>
      <c r="J62" s="14" t="n">
        <f aca="false">IF(AND(J$47,J$48&gt;0,LEN(TRIM($B22))&gt;0,J22=TRUE(),IF(J$50,$C22&lt;&gt;TRUE(),TRUE())),QUOTIENT(J$46,MAX(1,J$48))+IF(IF(J$50,SUMPRODUCT(--(LEN(TRIM($B$12:$B22))&gt;0),--(J$12:J22=TRUE()),--($C$12:$C22&lt;&gt;TRUE())),SUMPRODUCT(--(LEN(TRIM($B$12:$B22))&gt;0),--(J$12:J22=TRUE())))&lt;=MOD(J$46,MAX(1,J$48)),1,0),0)</f>
        <v>0</v>
      </c>
      <c r="L62" s="14" t="n">
        <f aca="false">IF(AND(L$47,L$48&gt;0,LEN(TRIM($B22))&gt;0,L22=TRUE(),IF(L$50,$C22&lt;&gt;TRUE(),TRUE())),QUOTIENT(L$46,MAX(1,L$48))+IF(IF(L$50,SUMPRODUCT(--(LEN(TRIM($B$12:$B22))&gt;0),--(L$12:L22=TRUE()),--($C$12:$C22&lt;&gt;TRUE())),SUMPRODUCT(--(LEN(TRIM($B$12:$B22))&gt;0),--(L$12:L22=TRUE())))&lt;=MOD(L$46,MAX(1,L$48)),1,0),0)</f>
        <v>0</v>
      </c>
      <c r="N62" s="14" t="n">
        <f aca="false">IF(AND(N$47,N$48&gt;0,LEN(TRIM($B22))&gt;0,N22=TRUE(),IF(N$50,$C22&lt;&gt;TRUE(),TRUE())),QUOTIENT(N$46,MAX(1,N$48))+IF(IF(N$50,SUMPRODUCT(--(LEN(TRIM($B$12:$B22))&gt;0),--(N$12:N22=TRUE()),--($C$12:$C22&lt;&gt;TRUE())),SUMPRODUCT(--(LEN(TRIM($B$12:$B22))&gt;0),--(N$12:N22=TRUE())))&lt;=MOD(N$46,MAX(1,N$48)),1,0),0)</f>
        <v>0</v>
      </c>
      <c r="P62" s="14" t="n">
        <f aca="false">IF(AND(P$47,P$48&gt;0,LEN(TRIM($B22))&gt;0,P22=TRUE(),IF(P$50,$C22&lt;&gt;TRUE(),TRUE())),QUOTIENT(P$46,MAX(1,P$48))+IF(IF(P$50,SUMPRODUCT(--(LEN(TRIM($B$12:$B22))&gt;0),--(P$12:P22=TRUE()),--($C$12:$C22&lt;&gt;TRUE())),SUMPRODUCT(--(LEN(TRIM($B$12:$B22))&gt;0),--(P$12:P22=TRUE())))&lt;=MOD(P$46,MAX(1,P$48)),1,0),0)</f>
        <v>0</v>
      </c>
    </row>
    <row r="63" customFormat="false" ht="15" hidden="true" customHeight="false" outlineLevel="0" collapsed="false">
      <c r="A63" s="13" t="s">
        <v>29</v>
      </c>
      <c r="D63" s="14" t="n">
        <f aca="false">IF(AND(D$47,D$48&gt;0,LEN(TRIM($B23))&gt;0,D23=TRUE(),IF(D$50,$C23&lt;&gt;TRUE(),TRUE())),QUOTIENT(D$46,MAX(1,D$48))+IF(IF(D$50,SUMPRODUCT(--(LEN(TRIM($B$12:$B23))&gt;0),--(D$12:D23=TRUE()),--($C$12:$C23&lt;&gt;TRUE())),SUMPRODUCT(--(LEN(TRIM($B$12:$B23))&gt;0),--(D$12:D23=TRUE())))&lt;=MOD(D$46,MAX(1,D$48)),1,0),0)</f>
        <v>0</v>
      </c>
      <c r="F63" s="14" t="n">
        <f aca="false">IF(AND(F$47,F$48&gt;0,LEN(TRIM($B23))&gt;0,F23=TRUE(),IF(F$50,$C23&lt;&gt;TRUE(),TRUE())),QUOTIENT(F$46,MAX(1,F$48))+IF(IF(F$50,SUMPRODUCT(--(LEN(TRIM($B$12:$B23))&gt;0),--(F$12:F23=TRUE()),--($C$12:$C23&lt;&gt;TRUE())),SUMPRODUCT(--(LEN(TRIM($B$12:$B23))&gt;0),--(F$12:F23=TRUE())))&lt;=MOD(F$46,MAX(1,F$48)),1,0),0)</f>
        <v>0</v>
      </c>
      <c r="H63" s="14" t="n">
        <f aca="false">IF(AND(H$47,H$48&gt;0,LEN(TRIM($B23))&gt;0,H23=TRUE(),IF(H$50,$C23&lt;&gt;TRUE(),TRUE())),QUOTIENT(H$46,MAX(1,H$48))+IF(IF(H$50,SUMPRODUCT(--(LEN(TRIM($B$12:$B23))&gt;0),--(H$12:H23=TRUE()),--($C$12:$C23&lt;&gt;TRUE())),SUMPRODUCT(--(LEN(TRIM($B$12:$B23))&gt;0),--(H$12:H23=TRUE())))&lt;=MOD(H$46,MAX(1,H$48)),1,0),0)</f>
        <v>0</v>
      </c>
      <c r="J63" s="14" t="n">
        <f aca="false">IF(AND(J$47,J$48&gt;0,LEN(TRIM($B23))&gt;0,J23=TRUE(),IF(J$50,$C23&lt;&gt;TRUE(),TRUE())),QUOTIENT(J$46,MAX(1,J$48))+IF(IF(J$50,SUMPRODUCT(--(LEN(TRIM($B$12:$B23))&gt;0),--(J$12:J23=TRUE()),--($C$12:$C23&lt;&gt;TRUE())),SUMPRODUCT(--(LEN(TRIM($B$12:$B23))&gt;0),--(J$12:J23=TRUE())))&lt;=MOD(J$46,MAX(1,J$48)),1,0),0)</f>
        <v>0</v>
      </c>
      <c r="L63" s="14" t="n">
        <f aca="false">IF(AND(L$47,L$48&gt;0,LEN(TRIM($B23))&gt;0,L23=TRUE(),IF(L$50,$C23&lt;&gt;TRUE(),TRUE())),QUOTIENT(L$46,MAX(1,L$48))+IF(IF(L$50,SUMPRODUCT(--(LEN(TRIM($B$12:$B23))&gt;0),--(L$12:L23=TRUE()),--($C$12:$C23&lt;&gt;TRUE())),SUMPRODUCT(--(LEN(TRIM($B$12:$B23))&gt;0),--(L$12:L23=TRUE())))&lt;=MOD(L$46,MAX(1,L$48)),1,0),0)</f>
        <v>0</v>
      </c>
      <c r="N63" s="14" t="n">
        <f aca="false">IF(AND(N$47,N$48&gt;0,LEN(TRIM($B23))&gt;0,N23=TRUE(),IF(N$50,$C23&lt;&gt;TRUE(),TRUE())),QUOTIENT(N$46,MAX(1,N$48))+IF(IF(N$50,SUMPRODUCT(--(LEN(TRIM($B$12:$B23))&gt;0),--(N$12:N23=TRUE()),--($C$12:$C23&lt;&gt;TRUE())),SUMPRODUCT(--(LEN(TRIM($B$12:$B23))&gt;0),--(N$12:N23=TRUE())))&lt;=MOD(N$46,MAX(1,N$48)),1,0),0)</f>
        <v>0</v>
      </c>
      <c r="P63" s="14" t="n">
        <f aca="false">IF(AND(P$47,P$48&gt;0,LEN(TRIM($B23))&gt;0,P23=TRUE(),IF(P$50,$C23&lt;&gt;TRUE(),TRUE())),QUOTIENT(P$46,MAX(1,P$48))+IF(IF(P$50,SUMPRODUCT(--(LEN(TRIM($B$12:$B23))&gt;0),--(P$12:P23=TRUE()),--($C$12:$C23&lt;&gt;TRUE())),SUMPRODUCT(--(LEN(TRIM($B$12:$B23))&gt;0),--(P$12:P23=TRUE())))&lt;=MOD(P$46,MAX(1,P$48)),1,0),0)</f>
        <v>0</v>
      </c>
    </row>
    <row r="64" customFormat="false" ht="15" hidden="true" customHeight="false" outlineLevel="0" collapsed="false">
      <c r="A64" s="13" t="s">
        <v>30</v>
      </c>
      <c r="D64" s="14" t="n">
        <f aca="false">IF(AND(D$47,D$48&gt;0,LEN(TRIM($B24))&gt;0,D24=TRUE(),IF(D$50,$C24&lt;&gt;TRUE(),TRUE())),QUOTIENT(D$46,MAX(1,D$48))+IF(IF(D$50,SUMPRODUCT(--(LEN(TRIM($B$12:$B24))&gt;0),--(D$12:D24=TRUE()),--($C$12:$C24&lt;&gt;TRUE())),SUMPRODUCT(--(LEN(TRIM($B$12:$B24))&gt;0),--(D$12:D24=TRUE())))&lt;=MOD(D$46,MAX(1,D$48)),1,0),0)</f>
        <v>0</v>
      </c>
      <c r="F64" s="14" t="n">
        <f aca="false">IF(AND(F$47,F$48&gt;0,LEN(TRIM($B24))&gt;0,F24=TRUE(),IF(F$50,$C24&lt;&gt;TRUE(),TRUE())),QUOTIENT(F$46,MAX(1,F$48))+IF(IF(F$50,SUMPRODUCT(--(LEN(TRIM($B$12:$B24))&gt;0),--(F$12:F24=TRUE()),--($C$12:$C24&lt;&gt;TRUE())),SUMPRODUCT(--(LEN(TRIM($B$12:$B24))&gt;0),--(F$12:F24=TRUE())))&lt;=MOD(F$46,MAX(1,F$48)),1,0),0)</f>
        <v>0</v>
      </c>
      <c r="H64" s="14" t="n">
        <f aca="false">IF(AND(H$47,H$48&gt;0,LEN(TRIM($B24))&gt;0,H24=TRUE(),IF(H$50,$C24&lt;&gt;TRUE(),TRUE())),QUOTIENT(H$46,MAX(1,H$48))+IF(IF(H$50,SUMPRODUCT(--(LEN(TRIM($B$12:$B24))&gt;0),--(H$12:H24=TRUE()),--($C$12:$C24&lt;&gt;TRUE())),SUMPRODUCT(--(LEN(TRIM($B$12:$B24))&gt;0),--(H$12:H24=TRUE())))&lt;=MOD(H$46,MAX(1,H$48)),1,0),0)</f>
        <v>0</v>
      </c>
      <c r="J64" s="14" t="n">
        <f aca="false">IF(AND(J$47,J$48&gt;0,LEN(TRIM($B24))&gt;0,J24=TRUE(),IF(J$50,$C24&lt;&gt;TRUE(),TRUE())),QUOTIENT(J$46,MAX(1,J$48))+IF(IF(J$50,SUMPRODUCT(--(LEN(TRIM($B$12:$B24))&gt;0),--(J$12:J24=TRUE()),--($C$12:$C24&lt;&gt;TRUE())),SUMPRODUCT(--(LEN(TRIM($B$12:$B24))&gt;0),--(J$12:J24=TRUE())))&lt;=MOD(J$46,MAX(1,J$48)),1,0),0)</f>
        <v>0</v>
      </c>
      <c r="L64" s="14" t="n">
        <f aca="false">IF(AND(L$47,L$48&gt;0,LEN(TRIM($B24))&gt;0,L24=TRUE(),IF(L$50,$C24&lt;&gt;TRUE(),TRUE())),QUOTIENT(L$46,MAX(1,L$48))+IF(IF(L$50,SUMPRODUCT(--(LEN(TRIM($B$12:$B24))&gt;0),--(L$12:L24=TRUE()),--($C$12:$C24&lt;&gt;TRUE())),SUMPRODUCT(--(LEN(TRIM($B$12:$B24))&gt;0),--(L$12:L24=TRUE())))&lt;=MOD(L$46,MAX(1,L$48)),1,0),0)</f>
        <v>0</v>
      </c>
      <c r="N64" s="14" t="n">
        <f aca="false">IF(AND(N$47,N$48&gt;0,LEN(TRIM($B24))&gt;0,N24=TRUE(),IF(N$50,$C24&lt;&gt;TRUE(),TRUE())),QUOTIENT(N$46,MAX(1,N$48))+IF(IF(N$50,SUMPRODUCT(--(LEN(TRIM($B$12:$B24))&gt;0),--(N$12:N24=TRUE()),--($C$12:$C24&lt;&gt;TRUE())),SUMPRODUCT(--(LEN(TRIM($B$12:$B24))&gt;0),--(N$12:N24=TRUE())))&lt;=MOD(N$46,MAX(1,N$48)),1,0),0)</f>
        <v>0</v>
      </c>
      <c r="P64" s="14" t="n">
        <f aca="false">IF(AND(P$47,P$48&gt;0,LEN(TRIM($B24))&gt;0,P24=TRUE(),IF(P$50,$C24&lt;&gt;TRUE(),TRUE())),QUOTIENT(P$46,MAX(1,P$48))+IF(IF(P$50,SUMPRODUCT(--(LEN(TRIM($B$12:$B24))&gt;0),--(P$12:P24=TRUE()),--($C$12:$C24&lt;&gt;TRUE())),SUMPRODUCT(--(LEN(TRIM($B$12:$B24))&gt;0),--(P$12:P24=TRUE())))&lt;=MOD(P$46,MAX(1,P$48)),1,0),0)</f>
        <v>0</v>
      </c>
    </row>
    <row r="65" customFormat="false" ht="15" hidden="true" customHeight="false" outlineLevel="0" collapsed="false">
      <c r="A65" s="13" t="s">
        <v>31</v>
      </c>
      <c r="D65" s="14" t="n">
        <f aca="false">IF(AND(D$47,D$48&gt;0,LEN(TRIM($B25))&gt;0,D25=TRUE(),IF(D$50,$C25&lt;&gt;TRUE(),TRUE())),QUOTIENT(D$46,MAX(1,D$48))+IF(IF(D$50,SUMPRODUCT(--(LEN(TRIM($B$12:$B25))&gt;0),--(D$12:D25=TRUE()),--($C$12:$C25&lt;&gt;TRUE())),SUMPRODUCT(--(LEN(TRIM($B$12:$B25))&gt;0),--(D$12:D25=TRUE())))&lt;=MOD(D$46,MAX(1,D$48)),1,0),0)</f>
        <v>0</v>
      </c>
      <c r="F65" s="14" t="n">
        <f aca="false">IF(AND(F$47,F$48&gt;0,LEN(TRIM($B25))&gt;0,F25=TRUE(),IF(F$50,$C25&lt;&gt;TRUE(),TRUE())),QUOTIENT(F$46,MAX(1,F$48))+IF(IF(F$50,SUMPRODUCT(--(LEN(TRIM($B$12:$B25))&gt;0),--(F$12:F25=TRUE()),--($C$12:$C25&lt;&gt;TRUE())),SUMPRODUCT(--(LEN(TRIM($B$12:$B25))&gt;0),--(F$12:F25=TRUE())))&lt;=MOD(F$46,MAX(1,F$48)),1,0),0)</f>
        <v>0</v>
      </c>
      <c r="H65" s="14" t="n">
        <f aca="false">IF(AND(H$47,H$48&gt;0,LEN(TRIM($B25))&gt;0,H25=TRUE(),IF(H$50,$C25&lt;&gt;TRUE(),TRUE())),QUOTIENT(H$46,MAX(1,H$48))+IF(IF(H$50,SUMPRODUCT(--(LEN(TRIM($B$12:$B25))&gt;0),--(H$12:H25=TRUE()),--($C$12:$C25&lt;&gt;TRUE())),SUMPRODUCT(--(LEN(TRIM($B$12:$B25))&gt;0),--(H$12:H25=TRUE())))&lt;=MOD(H$46,MAX(1,H$48)),1,0),0)</f>
        <v>0</v>
      </c>
      <c r="J65" s="14" t="n">
        <f aca="false">IF(AND(J$47,J$48&gt;0,LEN(TRIM($B25))&gt;0,J25=TRUE(),IF(J$50,$C25&lt;&gt;TRUE(),TRUE())),QUOTIENT(J$46,MAX(1,J$48))+IF(IF(J$50,SUMPRODUCT(--(LEN(TRIM($B$12:$B25))&gt;0),--(J$12:J25=TRUE()),--($C$12:$C25&lt;&gt;TRUE())),SUMPRODUCT(--(LEN(TRIM($B$12:$B25))&gt;0),--(J$12:J25=TRUE())))&lt;=MOD(J$46,MAX(1,J$48)),1,0),0)</f>
        <v>0</v>
      </c>
      <c r="L65" s="14" t="n">
        <f aca="false">IF(AND(L$47,L$48&gt;0,LEN(TRIM($B25))&gt;0,L25=TRUE(),IF(L$50,$C25&lt;&gt;TRUE(),TRUE())),QUOTIENT(L$46,MAX(1,L$48))+IF(IF(L$50,SUMPRODUCT(--(LEN(TRIM($B$12:$B25))&gt;0),--(L$12:L25=TRUE()),--($C$12:$C25&lt;&gt;TRUE())),SUMPRODUCT(--(LEN(TRIM($B$12:$B25))&gt;0),--(L$12:L25=TRUE())))&lt;=MOD(L$46,MAX(1,L$48)),1,0),0)</f>
        <v>0</v>
      </c>
      <c r="N65" s="14" t="n">
        <f aca="false">IF(AND(N$47,N$48&gt;0,LEN(TRIM($B25))&gt;0,N25=TRUE(),IF(N$50,$C25&lt;&gt;TRUE(),TRUE())),QUOTIENT(N$46,MAX(1,N$48))+IF(IF(N$50,SUMPRODUCT(--(LEN(TRIM($B$12:$B25))&gt;0),--(N$12:N25=TRUE()),--($C$12:$C25&lt;&gt;TRUE())),SUMPRODUCT(--(LEN(TRIM($B$12:$B25))&gt;0),--(N$12:N25=TRUE())))&lt;=MOD(N$46,MAX(1,N$48)),1,0),0)</f>
        <v>0</v>
      </c>
      <c r="P65" s="14" t="n">
        <f aca="false">IF(AND(P$47,P$48&gt;0,LEN(TRIM($B25))&gt;0,P25=TRUE(),IF(P$50,$C25&lt;&gt;TRUE(),TRUE())),QUOTIENT(P$46,MAX(1,P$48))+IF(IF(P$50,SUMPRODUCT(--(LEN(TRIM($B$12:$B25))&gt;0),--(P$12:P25=TRUE()),--($C$12:$C25&lt;&gt;TRUE())),SUMPRODUCT(--(LEN(TRIM($B$12:$B25))&gt;0),--(P$12:P25=TRUE())))&lt;=MOD(P$46,MAX(1,P$48)),1,0),0)</f>
        <v>0</v>
      </c>
    </row>
    <row r="66" customFormat="false" ht="15" hidden="true" customHeight="false" outlineLevel="0" collapsed="false">
      <c r="A66" s="13" t="s">
        <v>32</v>
      </c>
      <c r="D66" s="14" t="n">
        <f aca="false">IF(AND(D$47,D$48&gt;0,LEN(TRIM($B26))&gt;0,D26=TRUE(),IF(D$50,$C26&lt;&gt;TRUE(),TRUE())),QUOTIENT(D$46,MAX(1,D$48))+IF(IF(D$50,SUMPRODUCT(--(LEN(TRIM($B$12:$B26))&gt;0),--(D$12:D26=TRUE()),--($C$12:$C26&lt;&gt;TRUE())),SUMPRODUCT(--(LEN(TRIM($B$12:$B26))&gt;0),--(D$12:D26=TRUE())))&lt;=MOD(D$46,MAX(1,D$48)),1,0),0)</f>
        <v>0</v>
      </c>
      <c r="F66" s="14" t="n">
        <f aca="false">IF(AND(F$47,F$48&gt;0,LEN(TRIM($B26))&gt;0,F26=TRUE(),IF(F$50,$C26&lt;&gt;TRUE(),TRUE())),QUOTIENT(F$46,MAX(1,F$48))+IF(IF(F$50,SUMPRODUCT(--(LEN(TRIM($B$12:$B26))&gt;0),--(F$12:F26=TRUE()),--($C$12:$C26&lt;&gt;TRUE())),SUMPRODUCT(--(LEN(TRIM($B$12:$B26))&gt;0),--(F$12:F26=TRUE())))&lt;=MOD(F$46,MAX(1,F$48)),1,0),0)</f>
        <v>0</v>
      </c>
      <c r="H66" s="14" t="n">
        <f aca="false">IF(AND(H$47,H$48&gt;0,LEN(TRIM($B26))&gt;0,H26=TRUE(),IF(H$50,$C26&lt;&gt;TRUE(),TRUE())),QUOTIENT(H$46,MAX(1,H$48))+IF(IF(H$50,SUMPRODUCT(--(LEN(TRIM($B$12:$B26))&gt;0),--(H$12:H26=TRUE()),--($C$12:$C26&lt;&gt;TRUE())),SUMPRODUCT(--(LEN(TRIM($B$12:$B26))&gt;0),--(H$12:H26=TRUE())))&lt;=MOD(H$46,MAX(1,H$48)),1,0),0)</f>
        <v>0</v>
      </c>
      <c r="J66" s="14" t="n">
        <f aca="false">IF(AND(J$47,J$48&gt;0,LEN(TRIM($B26))&gt;0,J26=TRUE(),IF(J$50,$C26&lt;&gt;TRUE(),TRUE())),QUOTIENT(J$46,MAX(1,J$48))+IF(IF(J$50,SUMPRODUCT(--(LEN(TRIM($B$12:$B26))&gt;0),--(J$12:J26=TRUE()),--($C$12:$C26&lt;&gt;TRUE())),SUMPRODUCT(--(LEN(TRIM($B$12:$B26))&gt;0),--(J$12:J26=TRUE())))&lt;=MOD(J$46,MAX(1,J$48)),1,0),0)</f>
        <v>0</v>
      </c>
      <c r="L66" s="14" t="n">
        <f aca="false">IF(AND(L$47,L$48&gt;0,LEN(TRIM($B26))&gt;0,L26=TRUE(),IF(L$50,$C26&lt;&gt;TRUE(),TRUE())),QUOTIENT(L$46,MAX(1,L$48))+IF(IF(L$50,SUMPRODUCT(--(LEN(TRIM($B$12:$B26))&gt;0),--(L$12:L26=TRUE()),--($C$12:$C26&lt;&gt;TRUE())),SUMPRODUCT(--(LEN(TRIM($B$12:$B26))&gt;0),--(L$12:L26=TRUE())))&lt;=MOD(L$46,MAX(1,L$48)),1,0),0)</f>
        <v>0</v>
      </c>
      <c r="N66" s="14" t="n">
        <f aca="false">IF(AND(N$47,N$48&gt;0,LEN(TRIM($B26))&gt;0,N26=TRUE(),IF(N$50,$C26&lt;&gt;TRUE(),TRUE())),QUOTIENT(N$46,MAX(1,N$48))+IF(IF(N$50,SUMPRODUCT(--(LEN(TRIM($B$12:$B26))&gt;0),--(N$12:N26=TRUE()),--($C$12:$C26&lt;&gt;TRUE())),SUMPRODUCT(--(LEN(TRIM($B$12:$B26))&gt;0),--(N$12:N26=TRUE())))&lt;=MOD(N$46,MAX(1,N$48)),1,0),0)</f>
        <v>0</v>
      </c>
      <c r="P66" s="14" t="n">
        <f aca="false">IF(AND(P$47,P$48&gt;0,LEN(TRIM($B26))&gt;0,P26=TRUE(),IF(P$50,$C26&lt;&gt;TRUE(),TRUE())),QUOTIENT(P$46,MAX(1,P$48))+IF(IF(P$50,SUMPRODUCT(--(LEN(TRIM($B$12:$B26))&gt;0),--(P$12:P26=TRUE()),--($C$12:$C26&lt;&gt;TRUE())),SUMPRODUCT(--(LEN(TRIM($B$12:$B26))&gt;0),--(P$12:P26=TRUE())))&lt;=MOD(P$46,MAX(1,P$48)),1,0),0)</f>
        <v>0</v>
      </c>
    </row>
    <row r="67" customFormat="false" ht="15" hidden="true" customHeight="false" outlineLevel="0" collapsed="false">
      <c r="A67" s="13" t="s">
        <v>33</v>
      </c>
      <c r="D67" s="14" t="n">
        <f aca="false">IF(AND(D$47,D$48&gt;0,LEN(TRIM($B27))&gt;0,D27=TRUE(),IF(D$50,$C27&lt;&gt;TRUE(),TRUE())),QUOTIENT(D$46,MAX(1,D$48))+IF(IF(D$50,SUMPRODUCT(--(LEN(TRIM($B$12:$B27))&gt;0),--(D$12:D27=TRUE()),--($C$12:$C27&lt;&gt;TRUE())),SUMPRODUCT(--(LEN(TRIM($B$12:$B27))&gt;0),--(D$12:D27=TRUE())))&lt;=MOD(D$46,MAX(1,D$48)),1,0),0)</f>
        <v>0</v>
      </c>
      <c r="F67" s="14" t="n">
        <f aca="false">IF(AND(F$47,F$48&gt;0,LEN(TRIM($B27))&gt;0,F27=TRUE(),IF(F$50,$C27&lt;&gt;TRUE(),TRUE())),QUOTIENT(F$46,MAX(1,F$48))+IF(IF(F$50,SUMPRODUCT(--(LEN(TRIM($B$12:$B27))&gt;0),--(F$12:F27=TRUE()),--($C$12:$C27&lt;&gt;TRUE())),SUMPRODUCT(--(LEN(TRIM($B$12:$B27))&gt;0),--(F$12:F27=TRUE())))&lt;=MOD(F$46,MAX(1,F$48)),1,0),0)</f>
        <v>0</v>
      </c>
      <c r="H67" s="14" t="n">
        <f aca="false">IF(AND(H$47,H$48&gt;0,LEN(TRIM($B27))&gt;0,H27=TRUE(),IF(H$50,$C27&lt;&gt;TRUE(),TRUE())),QUOTIENT(H$46,MAX(1,H$48))+IF(IF(H$50,SUMPRODUCT(--(LEN(TRIM($B$12:$B27))&gt;0),--(H$12:H27=TRUE()),--($C$12:$C27&lt;&gt;TRUE())),SUMPRODUCT(--(LEN(TRIM($B$12:$B27))&gt;0),--(H$12:H27=TRUE())))&lt;=MOD(H$46,MAX(1,H$48)),1,0),0)</f>
        <v>0</v>
      </c>
      <c r="J67" s="14" t="n">
        <f aca="false">IF(AND(J$47,J$48&gt;0,LEN(TRIM($B27))&gt;0,J27=TRUE(),IF(J$50,$C27&lt;&gt;TRUE(),TRUE())),QUOTIENT(J$46,MAX(1,J$48))+IF(IF(J$50,SUMPRODUCT(--(LEN(TRIM($B$12:$B27))&gt;0),--(J$12:J27=TRUE()),--($C$12:$C27&lt;&gt;TRUE())),SUMPRODUCT(--(LEN(TRIM($B$12:$B27))&gt;0),--(J$12:J27=TRUE())))&lt;=MOD(J$46,MAX(1,J$48)),1,0),0)</f>
        <v>0</v>
      </c>
      <c r="L67" s="14" t="n">
        <f aca="false">IF(AND(L$47,L$48&gt;0,LEN(TRIM($B27))&gt;0,L27=TRUE(),IF(L$50,$C27&lt;&gt;TRUE(),TRUE())),QUOTIENT(L$46,MAX(1,L$48))+IF(IF(L$50,SUMPRODUCT(--(LEN(TRIM($B$12:$B27))&gt;0),--(L$12:L27=TRUE()),--($C$12:$C27&lt;&gt;TRUE())),SUMPRODUCT(--(LEN(TRIM($B$12:$B27))&gt;0),--(L$12:L27=TRUE())))&lt;=MOD(L$46,MAX(1,L$48)),1,0),0)</f>
        <v>0</v>
      </c>
      <c r="N67" s="14" t="n">
        <f aca="false">IF(AND(N$47,N$48&gt;0,LEN(TRIM($B27))&gt;0,N27=TRUE(),IF(N$50,$C27&lt;&gt;TRUE(),TRUE())),QUOTIENT(N$46,MAX(1,N$48))+IF(IF(N$50,SUMPRODUCT(--(LEN(TRIM($B$12:$B27))&gt;0),--(N$12:N27=TRUE()),--($C$12:$C27&lt;&gt;TRUE())),SUMPRODUCT(--(LEN(TRIM($B$12:$B27))&gt;0),--(N$12:N27=TRUE())))&lt;=MOD(N$46,MAX(1,N$48)),1,0),0)</f>
        <v>0</v>
      </c>
      <c r="P67" s="14" t="n">
        <f aca="false">IF(AND(P$47,P$48&gt;0,LEN(TRIM($B27))&gt;0,P27=TRUE(),IF(P$50,$C27&lt;&gt;TRUE(),TRUE())),QUOTIENT(P$46,MAX(1,P$48))+IF(IF(P$50,SUMPRODUCT(--(LEN(TRIM($B$12:$B27))&gt;0),--(P$12:P27=TRUE()),--($C$12:$C27&lt;&gt;TRUE())),SUMPRODUCT(--(LEN(TRIM($B$12:$B27))&gt;0),--(P$12:P27=TRUE())))&lt;=MOD(P$46,MAX(1,P$48)),1,0),0)</f>
        <v>0</v>
      </c>
    </row>
    <row r="68" customFormat="false" ht="15" hidden="true" customHeight="false" outlineLevel="0" collapsed="false">
      <c r="A68" s="13" t="s">
        <v>34</v>
      </c>
      <c r="D68" s="14" t="n">
        <f aca="false">IF(AND(D$47,D$48&gt;0,LEN(TRIM($B28))&gt;0,D28=TRUE(),IF(D$50,$C28&lt;&gt;TRUE(),TRUE())),QUOTIENT(D$46,MAX(1,D$48))+IF(IF(D$50,SUMPRODUCT(--(LEN(TRIM($B$12:$B28))&gt;0),--(D$12:D28=TRUE()),--($C$12:$C28&lt;&gt;TRUE())),SUMPRODUCT(--(LEN(TRIM($B$12:$B28))&gt;0),--(D$12:D28=TRUE())))&lt;=MOD(D$46,MAX(1,D$48)),1,0),0)</f>
        <v>0</v>
      </c>
      <c r="F68" s="14" t="n">
        <f aca="false">IF(AND(F$47,F$48&gt;0,LEN(TRIM($B28))&gt;0,F28=TRUE(),IF(F$50,$C28&lt;&gt;TRUE(),TRUE())),QUOTIENT(F$46,MAX(1,F$48))+IF(IF(F$50,SUMPRODUCT(--(LEN(TRIM($B$12:$B28))&gt;0),--(F$12:F28=TRUE()),--($C$12:$C28&lt;&gt;TRUE())),SUMPRODUCT(--(LEN(TRIM($B$12:$B28))&gt;0),--(F$12:F28=TRUE())))&lt;=MOD(F$46,MAX(1,F$48)),1,0),0)</f>
        <v>0</v>
      </c>
      <c r="H68" s="14" t="n">
        <f aca="false">IF(AND(H$47,H$48&gt;0,LEN(TRIM($B28))&gt;0,H28=TRUE(),IF(H$50,$C28&lt;&gt;TRUE(),TRUE())),QUOTIENT(H$46,MAX(1,H$48))+IF(IF(H$50,SUMPRODUCT(--(LEN(TRIM($B$12:$B28))&gt;0),--(H$12:H28=TRUE()),--($C$12:$C28&lt;&gt;TRUE())),SUMPRODUCT(--(LEN(TRIM($B$12:$B28))&gt;0),--(H$12:H28=TRUE())))&lt;=MOD(H$46,MAX(1,H$48)),1,0),0)</f>
        <v>0</v>
      </c>
      <c r="J68" s="14" t="n">
        <f aca="false">IF(AND(J$47,J$48&gt;0,LEN(TRIM($B28))&gt;0,J28=TRUE(),IF(J$50,$C28&lt;&gt;TRUE(),TRUE())),QUOTIENT(J$46,MAX(1,J$48))+IF(IF(J$50,SUMPRODUCT(--(LEN(TRIM($B$12:$B28))&gt;0),--(J$12:J28=TRUE()),--($C$12:$C28&lt;&gt;TRUE())),SUMPRODUCT(--(LEN(TRIM($B$12:$B28))&gt;0),--(J$12:J28=TRUE())))&lt;=MOD(J$46,MAX(1,J$48)),1,0),0)</f>
        <v>0</v>
      </c>
      <c r="L68" s="14" t="n">
        <f aca="false">IF(AND(L$47,L$48&gt;0,LEN(TRIM($B28))&gt;0,L28=TRUE(),IF(L$50,$C28&lt;&gt;TRUE(),TRUE())),QUOTIENT(L$46,MAX(1,L$48))+IF(IF(L$50,SUMPRODUCT(--(LEN(TRIM($B$12:$B28))&gt;0),--(L$12:L28=TRUE()),--($C$12:$C28&lt;&gt;TRUE())),SUMPRODUCT(--(LEN(TRIM($B$12:$B28))&gt;0),--(L$12:L28=TRUE())))&lt;=MOD(L$46,MAX(1,L$48)),1,0),0)</f>
        <v>0</v>
      </c>
      <c r="N68" s="14" t="n">
        <f aca="false">IF(AND(N$47,N$48&gt;0,LEN(TRIM($B28))&gt;0,N28=TRUE(),IF(N$50,$C28&lt;&gt;TRUE(),TRUE())),QUOTIENT(N$46,MAX(1,N$48))+IF(IF(N$50,SUMPRODUCT(--(LEN(TRIM($B$12:$B28))&gt;0),--(N$12:N28=TRUE()),--($C$12:$C28&lt;&gt;TRUE())),SUMPRODUCT(--(LEN(TRIM($B$12:$B28))&gt;0),--(N$12:N28=TRUE())))&lt;=MOD(N$46,MAX(1,N$48)),1,0),0)</f>
        <v>0</v>
      </c>
      <c r="P68" s="14" t="n">
        <f aca="false">IF(AND(P$47,P$48&gt;0,LEN(TRIM($B28))&gt;0,P28=TRUE(),IF(P$50,$C28&lt;&gt;TRUE(),TRUE())),QUOTIENT(P$46,MAX(1,P$48))+IF(IF(P$50,SUMPRODUCT(--(LEN(TRIM($B$12:$B28))&gt;0),--(P$12:P28=TRUE()),--($C$12:$C28&lt;&gt;TRUE())),SUMPRODUCT(--(LEN(TRIM($B$12:$B28))&gt;0),--(P$12:P28=TRUE())))&lt;=MOD(P$46,MAX(1,P$48)),1,0),0)</f>
        <v>0</v>
      </c>
    </row>
    <row r="69" customFormat="false" ht="15" hidden="true" customHeight="false" outlineLevel="0" collapsed="false">
      <c r="A69" s="13" t="s">
        <v>35</v>
      </c>
      <c r="D69" s="14" t="n">
        <f aca="false">IF(AND(D$47,D$48&gt;0,LEN(TRIM($B29))&gt;0,D29=TRUE(),IF(D$50,$C29&lt;&gt;TRUE(),TRUE())),QUOTIENT(D$46,MAX(1,D$48))+IF(IF(D$50,SUMPRODUCT(--(LEN(TRIM($B$12:$B29))&gt;0),--(D$12:D29=TRUE()),--($C$12:$C29&lt;&gt;TRUE())),SUMPRODUCT(--(LEN(TRIM($B$12:$B29))&gt;0),--(D$12:D29=TRUE())))&lt;=MOD(D$46,MAX(1,D$48)),1,0),0)</f>
        <v>0</v>
      </c>
      <c r="F69" s="14" t="n">
        <f aca="false">IF(AND(F$47,F$48&gt;0,LEN(TRIM($B29))&gt;0,F29=TRUE(),IF(F$50,$C29&lt;&gt;TRUE(),TRUE())),QUOTIENT(F$46,MAX(1,F$48))+IF(IF(F$50,SUMPRODUCT(--(LEN(TRIM($B$12:$B29))&gt;0),--(F$12:F29=TRUE()),--($C$12:$C29&lt;&gt;TRUE())),SUMPRODUCT(--(LEN(TRIM($B$12:$B29))&gt;0),--(F$12:F29=TRUE())))&lt;=MOD(F$46,MAX(1,F$48)),1,0),0)</f>
        <v>0</v>
      </c>
      <c r="H69" s="14" t="n">
        <f aca="false">IF(AND(H$47,H$48&gt;0,LEN(TRIM($B29))&gt;0,H29=TRUE(),IF(H$50,$C29&lt;&gt;TRUE(),TRUE())),QUOTIENT(H$46,MAX(1,H$48))+IF(IF(H$50,SUMPRODUCT(--(LEN(TRIM($B$12:$B29))&gt;0),--(H$12:H29=TRUE()),--($C$12:$C29&lt;&gt;TRUE())),SUMPRODUCT(--(LEN(TRIM($B$12:$B29))&gt;0),--(H$12:H29=TRUE())))&lt;=MOD(H$46,MAX(1,H$48)),1,0),0)</f>
        <v>0</v>
      </c>
      <c r="J69" s="14" t="n">
        <f aca="false">IF(AND(J$47,J$48&gt;0,LEN(TRIM($B29))&gt;0,J29=TRUE(),IF(J$50,$C29&lt;&gt;TRUE(),TRUE())),QUOTIENT(J$46,MAX(1,J$48))+IF(IF(J$50,SUMPRODUCT(--(LEN(TRIM($B$12:$B29))&gt;0),--(J$12:J29=TRUE()),--($C$12:$C29&lt;&gt;TRUE())),SUMPRODUCT(--(LEN(TRIM($B$12:$B29))&gt;0),--(J$12:J29=TRUE())))&lt;=MOD(J$46,MAX(1,J$48)),1,0),0)</f>
        <v>0</v>
      </c>
      <c r="L69" s="14" t="n">
        <f aca="false">IF(AND(L$47,L$48&gt;0,LEN(TRIM($B29))&gt;0,L29=TRUE(),IF(L$50,$C29&lt;&gt;TRUE(),TRUE())),QUOTIENT(L$46,MAX(1,L$48))+IF(IF(L$50,SUMPRODUCT(--(LEN(TRIM($B$12:$B29))&gt;0),--(L$12:L29=TRUE()),--($C$12:$C29&lt;&gt;TRUE())),SUMPRODUCT(--(LEN(TRIM($B$12:$B29))&gt;0),--(L$12:L29=TRUE())))&lt;=MOD(L$46,MAX(1,L$48)),1,0),0)</f>
        <v>0</v>
      </c>
      <c r="N69" s="14" t="n">
        <f aca="false">IF(AND(N$47,N$48&gt;0,LEN(TRIM($B29))&gt;0,N29=TRUE(),IF(N$50,$C29&lt;&gt;TRUE(),TRUE())),QUOTIENT(N$46,MAX(1,N$48))+IF(IF(N$50,SUMPRODUCT(--(LEN(TRIM($B$12:$B29))&gt;0),--(N$12:N29=TRUE()),--($C$12:$C29&lt;&gt;TRUE())),SUMPRODUCT(--(LEN(TRIM($B$12:$B29))&gt;0),--(N$12:N29=TRUE())))&lt;=MOD(N$46,MAX(1,N$48)),1,0),0)</f>
        <v>0</v>
      </c>
      <c r="P69" s="14" t="n">
        <f aca="false">IF(AND(P$47,P$48&gt;0,LEN(TRIM($B29))&gt;0,P29=TRUE(),IF(P$50,$C29&lt;&gt;TRUE(),TRUE())),QUOTIENT(P$46,MAX(1,P$48))+IF(IF(P$50,SUMPRODUCT(--(LEN(TRIM($B$12:$B29))&gt;0),--(P$12:P29=TRUE()),--($C$12:$C29&lt;&gt;TRUE())),SUMPRODUCT(--(LEN(TRIM($B$12:$B29))&gt;0),--(P$12:P29=TRUE())))&lt;=MOD(P$46,MAX(1,P$48)),1,0),0)</f>
        <v>0</v>
      </c>
    </row>
    <row r="70" customFormat="false" ht="15" hidden="true" customHeight="false" outlineLevel="0" collapsed="false">
      <c r="A70" s="13" t="s">
        <v>36</v>
      </c>
      <c r="D70" s="14" t="n">
        <f aca="false">IF(AND(D$47,D$48&gt;0,LEN(TRIM($B30))&gt;0,D30=TRUE(),IF(D$50,$C30&lt;&gt;TRUE(),TRUE())),QUOTIENT(D$46,MAX(1,D$48))+IF(IF(D$50,SUMPRODUCT(--(LEN(TRIM($B$12:$B30))&gt;0),--(D$12:D30=TRUE()),--($C$12:$C30&lt;&gt;TRUE())),SUMPRODUCT(--(LEN(TRIM($B$12:$B30))&gt;0),--(D$12:D30=TRUE())))&lt;=MOD(D$46,MAX(1,D$48)),1,0),0)</f>
        <v>0</v>
      </c>
      <c r="F70" s="14" t="n">
        <f aca="false">IF(AND(F$47,F$48&gt;0,LEN(TRIM($B30))&gt;0,F30=TRUE(),IF(F$50,$C30&lt;&gt;TRUE(),TRUE())),QUOTIENT(F$46,MAX(1,F$48))+IF(IF(F$50,SUMPRODUCT(--(LEN(TRIM($B$12:$B30))&gt;0),--(F$12:F30=TRUE()),--($C$12:$C30&lt;&gt;TRUE())),SUMPRODUCT(--(LEN(TRIM($B$12:$B30))&gt;0),--(F$12:F30=TRUE())))&lt;=MOD(F$46,MAX(1,F$48)),1,0),0)</f>
        <v>0</v>
      </c>
      <c r="H70" s="14" t="n">
        <f aca="false">IF(AND(H$47,H$48&gt;0,LEN(TRIM($B30))&gt;0,H30=TRUE(),IF(H$50,$C30&lt;&gt;TRUE(),TRUE())),QUOTIENT(H$46,MAX(1,H$48))+IF(IF(H$50,SUMPRODUCT(--(LEN(TRIM($B$12:$B30))&gt;0),--(H$12:H30=TRUE()),--($C$12:$C30&lt;&gt;TRUE())),SUMPRODUCT(--(LEN(TRIM($B$12:$B30))&gt;0),--(H$12:H30=TRUE())))&lt;=MOD(H$46,MAX(1,H$48)),1,0),0)</f>
        <v>0</v>
      </c>
      <c r="J70" s="14" t="n">
        <f aca="false">IF(AND(J$47,J$48&gt;0,LEN(TRIM($B30))&gt;0,J30=TRUE(),IF(J$50,$C30&lt;&gt;TRUE(),TRUE())),QUOTIENT(J$46,MAX(1,J$48))+IF(IF(J$50,SUMPRODUCT(--(LEN(TRIM($B$12:$B30))&gt;0),--(J$12:J30=TRUE()),--($C$12:$C30&lt;&gt;TRUE())),SUMPRODUCT(--(LEN(TRIM($B$12:$B30))&gt;0),--(J$12:J30=TRUE())))&lt;=MOD(J$46,MAX(1,J$48)),1,0),0)</f>
        <v>0</v>
      </c>
      <c r="L70" s="14" t="n">
        <f aca="false">IF(AND(L$47,L$48&gt;0,LEN(TRIM($B30))&gt;0,L30=TRUE(),IF(L$50,$C30&lt;&gt;TRUE(),TRUE())),QUOTIENT(L$46,MAX(1,L$48))+IF(IF(L$50,SUMPRODUCT(--(LEN(TRIM($B$12:$B30))&gt;0),--(L$12:L30=TRUE()),--($C$12:$C30&lt;&gt;TRUE())),SUMPRODUCT(--(LEN(TRIM($B$12:$B30))&gt;0),--(L$12:L30=TRUE())))&lt;=MOD(L$46,MAX(1,L$48)),1,0),0)</f>
        <v>0</v>
      </c>
      <c r="N70" s="14" t="n">
        <f aca="false">IF(AND(N$47,N$48&gt;0,LEN(TRIM($B30))&gt;0,N30=TRUE(),IF(N$50,$C30&lt;&gt;TRUE(),TRUE())),QUOTIENT(N$46,MAX(1,N$48))+IF(IF(N$50,SUMPRODUCT(--(LEN(TRIM($B$12:$B30))&gt;0),--(N$12:N30=TRUE()),--($C$12:$C30&lt;&gt;TRUE())),SUMPRODUCT(--(LEN(TRIM($B$12:$B30))&gt;0),--(N$12:N30=TRUE())))&lt;=MOD(N$46,MAX(1,N$48)),1,0),0)</f>
        <v>0</v>
      </c>
      <c r="P70" s="14" t="n">
        <f aca="false">IF(AND(P$47,P$48&gt;0,LEN(TRIM($B30))&gt;0,P30=TRUE(),IF(P$50,$C30&lt;&gt;TRUE(),TRUE())),QUOTIENT(P$46,MAX(1,P$48))+IF(IF(P$50,SUMPRODUCT(--(LEN(TRIM($B$12:$B30))&gt;0),--(P$12:P30=TRUE()),--($C$12:$C30&lt;&gt;TRUE())),SUMPRODUCT(--(LEN(TRIM($B$12:$B30))&gt;0),--(P$12:P30=TRUE())))&lt;=MOD(P$46,MAX(1,P$48)),1,0),0)</f>
        <v>0</v>
      </c>
    </row>
    <row r="71" customFormat="false" ht="15" hidden="true" customHeight="false" outlineLevel="0" collapsed="false">
      <c r="A71" s="13" t="s">
        <v>37</v>
      </c>
      <c r="D71" s="14" t="n">
        <f aca="false">IF(AND(D$47,D$48&gt;0,LEN(TRIM($B31))&gt;0,D31=TRUE(),IF(D$50,$C31&lt;&gt;TRUE(),TRUE())),QUOTIENT(D$46,MAX(1,D$48))+IF(IF(D$50,SUMPRODUCT(--(LEN(TRIM($B$12:$B31))&gt;0),--(D$12:D31=TRUE()),--($C$12:$C31&lt;&gt;TRUE())),SUMPRODUCT(--(LEN(TRIM($B$12:$B31))&gt;0),--(D$12:D31=TRUE())))&lt;=MOD(D$46,MAX(1,D$48)),1,0),0)</f>
        <v>0</v>
      </c>
      <c r="F71" s="14" t="n">
        <f aca="false">IF(AND(F$47,F$48&gt;0,LEN(TRIM($B31))&gt;0,F31=TRUE(),IF(F$50,$C31&lt;&gt;TRUE(),TRUE())),QUOTIENT(F$46,MAX(1,F$48))+IF(IF(F$50,SUMPRODUCT(--(LEN(TRIM($B$12:$B31))&gt;0),--(F$12:F31=TRUE()),--($C$12:$C31&lt;&gt;TRUE())),SUMPRODUCT(--(LEN(TRIM($B$12:$B31))&gt;0),--(F$12:F31=TRUE())))&lt;=MOD(F$46,MAX(1,F$48)),1,0),0)</f>
        <v>0</v>
      </c>
      <c r="H71" s="14" t="n">
        <f aca="false">IF(AND(H$47,H$48&gt;0,LEN(TRIM($B31))&gt;0,H31=TRUE(),IF(H$50,$C31&lt;&gt;TRUE(),TRUE())),QUOTIENT(H$46,MAX(1,H$48))+IF(IF(H$50,SUMPRODUCT(--(LEN(TRIM($B$12:$B31))&gt;0),--(H$12:H31=TRUE()),--($C$12:$C31&lt;&gt;TRUE())),SUMPRODUCT(--(LEN(TRIM($B$12:$B31))&gt;0),--(H$12:H31=TRUE())))&lt;=MOD(H$46,MAX(1,H$48)),1,0),0)</f>
        <v>0</v>
      </c>
      <c r="J71" s="14" t="n">
        <f aca="false">IF(AND(J$47,J$48&gt;0,LEN(TRIM($B31))&gt;0,J31=TRUE(),IF(J$50,$C31&lt;&gt;TRUE(),TRUE())),QUOTIENT(J$46,MAX(1,J$48))+IF(IF(J$50,SUMPRODUCT(--(LEN(TRIM($B$12:$B31))&gt;0),--(J$12:J31=TRUE()),--($C$12:$C31&lt;&gt;TRUE())),SUMPRODUCT(--(LEN(TRIM($B$12:$B31))&gt;0),--(J$12:J31=TRUE())))&lt;=MOD(J$46,MAX(1,J$48)),1,0),0)</f>
        <v>0</v>
      </c>
      <c r="L71" s="14" t="n">
        <f aca="false">IF(AND(L$47,L$48&gt;0,LEN(TRIM($B31))&gt;0,L31=TRUE(),IF(L$50,$C31&lt;&gt;TRUE(),TRUE())),QUOTIENT(L$46,MAX(1,L$48))+IF(IF(L$50,SUMPRODUCT(--(LEN(TRIM($B$12:$B31))&gt;0),--(L$12:L31=TRUE()),--($C$12:$C31&lt;&gt;TRUE())),SUMPRODUCT(--(LEN(TRIM($B$12:$B31))&gt;0),--(L$12:L31=TRUE())))&lt;=MOD(L$46,MAX(1,L$48)),1,0),0)</f>
        <v>0</v>
      </c>
      <c r="N71" s="14" t="n">
        <f aca="false">IF(AND(N$47,N$48&gt;0,LEN(TRIM($B31))&gt;0,N31=TRUE(),IF(N$50,$C31&lt;&gt;TRUE(),TRUE())),QUOTIENT(N$46,MAX(1,N$48))+IF(IF(N$50,SUMPRODUCT(--(LEN(TRIM($B$12:$B31))&gt;0),--(N$12:N31=TRUE()),--($C$12:$C31&lt;&gt;TRUE())),SUMPRODUCT(--(LEN(TRIM($B$12:$B31))&gt;0),--(N$12:N31=TRUE())))&lt;=MOD(N$46,MAX(1,N$48)),1,0),0)</f>
        <v>0</v>
      </c>
      <c r="P71" s="14" t="n">
        <f aca="false">IF(AND(P$47,P$48&gt;0,LEN(TRIM($B31))&gt;0,P31=TRUE(),IF(P$50,$C31&lt;&gt;TRUE(),TRUE())),QUOTIENT(P$46,MAX(1,P$48))+IF(IF(P$50,SUMPRODUCT(--(LEN(TRIM($B$12:$B31))&gt;0),--(P$12:P31=TRUE()),--($C$12:$C31&lt;&gt;TRUE())),SUMPRODUCT(--(LEN(TRIM($B$12:$B31))&gt;0),--(P$12:P31=TRUE())))&lt;=MOD(P$46,MAX(1,P$48)),1,0),0)</f>
        <v>0</v>
      </c>
    </row>
    <row r="72" customFormat="false" ht="15" hidden="true" customHeight="false" outlineLevel="0" collapsed="false">
      <c r="A72" s="13" t="s">
        <v>38</v>
      </c>
      <c r="D72" s="14" t="n">
        <f aca="false">IF(AND(D$47,D$48&gt;0,LEN(TRIM($B32))&gt;0,D32=TRUE(),IF(D$50,$C32&lt;&gt;TRUE(),TRUE())),QUOTIENT(D$46,MAX(1,D$48))+IF(IF(D$50,SUMPRODUCT(--(LEN(TRIM($B$12:$B32))&gt;0),--(D$12:D32=TRUE()),--($C$12:$C32&lt;&gt;TRUE())),SUMPRODUCT(--(LEN(TRIM($B$12:$B32))&gt;0),--(D$12:D32=TRUE())))&lt;=MOD(D$46,MAX(1,D$48)),1,0),0)</f>
        <v>0</v>
      </c>
      <c r="F72" s="14" t="n">
        <f aca="false">IF(AND(F$47,F$48&gt;0,LEN(TRIM($B32))&gt;0,F32=TRUE(),IF(F$50,$C32&lt;&gt;TRUE(),TRUE())),QUOTIENT(F$46,MAX(1,F$48))+IF(IF(F$50,SUMPRODUCT(--(LEN(TRIM($B$12:$B32))&gt;0),--(F$12:F32=TRUE()),--($C$12:$C32&lt;&gt;TRUE())),SUMPRODUCT(--(LEN(TRIM($B$12:$B32))&gt;0),--(F$12:F32=TRUE())))&lt;=MOD(F$46,MAX(1,F$48)),1,0),0)</f>
        <v>0</v>
      </c>
      <c r="H72" s="14" t="n">
        <f aca="false">IF(AND(H$47,H$48&gt;0,LEN(TRIM($B32))&gt;0,H32=TRUE(),IF(H$50,$C32&lt;&gt;TRUE(),TRUE())),QUOTIENT(H$46,MAX(1,H$48))+IF(IF(H$50,SUMPRODUCT(--(LEN(TRIM($B$12:$B32))&gt;0),--(H$12:H32=TRUE()),--($C$12:$C32&lt;&gt;TRUE())),SUMPRODUCT(--(LEN(TRIM($B$12:$B32))&gt;0),--(H$12:H32=TRUE())))&lt;=MOD(H$46,MAX(1,H$48)),1,0),0)</f>
        <v>0</v>
      </c>
      <c r="J72" s="14" t="n">
        <f aca="false">IF(AND(J$47,J$48&gt;0,LEN(TRIM($B32))&gt;0,J32=TRUE(),IF(J$50,$C32&lt;&gt;TRUE(),TRUE())),QUOTIENT(J$46,MAX(1,J$48))+IF(IF(J$50,SUMPRODUCT(--(LEN(TRIM($B$12:$B32))&gt;0),--(J$12:J32=TRUE()),--($C$12:$C32&lt;&gt;TRUE())),SUMPRODUCT(--(LEN(TRIM($B$12:$B32))&gt;0),--(J$12:J32=TRUE())))&lt;=MOD(J$46,MAX(1,J$48)),1,0),0)</f>
        <v>0</v>
      </c>
      <c r="L72" s="14" t="n">
        <f aca="false">IF(AND(L$47,L$48&gt;0,LEN(TRIM($B32))&gt;0,L32=TRUE(),IF(L$50,$C32&lt;&gt;TRUE(),TRUE())),QUOTIENT(L$46,MAX(1,L$48))+IF(IF(L$50,SUMPRODUCT(--(LEN(TRIM($B$12:$B32))&gt;0),--(L$12:L32=TRUE()),--($C$12:$C32&lt;&gt;TRUE())),SUMPRODUCT(--(LEN(TRIM($B$12:$B32))&gt;0),--(L$12:L32=TRUE())))&lt;=MOD(L$46,MAX(1,L$48)),1,0),0)</f>
        <v>0</v>
      </c>
      <c r="N72" s="14" t="n">
        <f aca="false">IF(AND(N$47,N$48&gt;0,LEN(TRIM($B32))&gt;0,N32=TRUE(),IF(N$50,$C32&lt;&gt;TRUE(),TRUE())),QUOTIENT(N$46,MAX(1,N$48))+IF(IF(N$50,SUMPRODUCT(--(LEN(TRIM($B$12:$B32))&gt;0),--(N$12:N32=TRUE()),--($C$12:$C32&lt;&gt;TRUE())),SUMPRODUCT(--(LEN(TRIM($B$12:$B32))&gt;0),--(N$12:N32=TRUE())))&lt;=MOD(N$46,MAX(1,N$48)),1,0),0)</f>
        <v>0</v>
      </c>
      <c r="P72" s="14" t="n">
        <f aca="false">IF(AND(P$47,P$48&gt;0,LEN(TRIM($B32))&gt;0,P32=TRUE(),IF(P$50,$C32&lt;&gt;TRUE(),TRUE())),QUOTIENT(P$46,MAX(1,P$48))+IF(IF(P$50,SUMPRODUCT(--(LEN(TRIM($B$12:$B32))&gt;0),--(P$12:P32=TRUE()),--($C$12:$C32&lt;&gt;TRUE())),SUMPRODUCT(--(LEN(TRIM($B$12:$B32))&gt;0),--(P$12:P32=TRUE())))&lt;=MOD(P$46,MAX(1,P$48)),1,0),0)</f>
        <v>0</v>
      </c>
    </row>
    <row r="73" customFormat="false" ht="15" hidden="true" customHeight="false" outlineLevel="0" collapsed="false">
      <c r="A73" s="13" t="s">
        <v>39</v>
      </c>
      <c r="D73" s="14" t="n">
        <f aca="false">IF(AND(D$47,D$48&gt;0,LEN(TRIM($B33))&gt;0,D33=TRUE(),IF(D$50,$C33&lt;&gt;TRUE(),TRUE())),QUOTIENT(D$46,MAX(1,D$48))+IF(IF(D$50,SUMPRODUCT(--(LEN(TRIM($B$12:$B33))&gt;0),--(D$12:D33=TRUE()),--($C$12:$C33&lt;&gt;TRUE())),SUMPRODUCT(--(LEN(TRIM($B$12:$B33))&gt;0),--(D$12:D33=TRUE())))&lt;=MOD(D$46,MAX(1,D$48)),1,0),0)</f>
        <v>0</v>
      </c>
      <c r="F73" s="14" t="n">
        <f aca="false">IF(AND(F$47,F$48&gt;0,LEN(TRIM($B33))&gt;0,F33=TRUE(),IF(F$50,$C33&lt;&gt;TRUE(),TRUE())),QUOTIENT(F$46,MAX(1,F$48))+IF(IF(F$50,SUMPRODUCT(--(LEN(TRIM($B$12:$B33))&gt;0),--(F$12:F33=TRUE()),--($C$12:$C33&lt;&gt;TRUE())),SUMPRODUCT(--(LEN(TRIM($B$12:$B33))&gt;0),--(F$12:F33=TRUE())))&lt;=MOD(F$46,MAX(1,F$48)),1,0),0)</f>
        <v>0</v>
      </c>
      <c r="H73" s="14" t="n">
        <f aca="false">IF(AND(H$47,H$48&gt;0,LEN(TRIM($B33))&gt;0,H33=TRUE(),IF(H$50,$C33&lt;&gt;TRUE(),TRUE())),QUOTIENT(H$46,MAX(1,H$48))+IF(IF(H$50,SUMPRODUCT(--(LEN(TRIM($B$12:$B33))&gt;0),--(H$12:H33=TRUE()),--($C$12:$C33&lt;&gt;TRUE())),SUMPRODUCT(--(LEN(TRIM($B$12:$B33))&gt;0),--(H$12:H33=TRUE())))&lt;=MOD(H$46,MAX(1,H$48)),1,0),0)</f>
        <v>0</v>
      </c>
      <c r="J73" s="14" t="n">
        <f aca="false">IF(AND(J$47,J$48&gt;0,LEN(TRIM($B33))&gt;0,J33=TRUE(),IF(J$50,$C33&lt;&gt;TRUE(),TRUE())),QUOTIENT(J$46,MAX(1,J$48))+IF(IF(J$50,SUMPRODUCT(--(LEN(TRIM($B$12:$B33))&gt;0),--(J$12:J33=TRUE()),--($C$12:$C33&lt;&gt;TRUE())),SUMPRODUCT(--(LEN(TRIM($B$12:$B33))&gt;0),--(J$12:J33=TRUE())))&lt;=MOD(J$46,MAX(1,J$48)),1,0),0)</f>
        <v>0</v>
      </c>
      <c r="L73" s="14" t="n">
        <f aca="false">IF(AND(L$47,L$48&gt;0,LEN(TRIM($B33))&gt;0,L33=TRUE(),IF(L$50,$C33&lt;&gt;TRUE(),TRUE())),QUOTIENT(L$46,MAX(1,L$48))+IF(IF(L$50,SUMPRODUCT(--(LEN(TRIM($B$12:$B33))&gt;0),--(L$12:L33=TRUE()),--($C$12:$C33&lt;&gt;TRUE())),SUMPRODUCT(--(LEN(TRIM($B$12:$B33))&gt;0),--(L$12:L33=TRUE())))&lt;=MOD(L$46,MAX(1,L$48)),1,0),0)</f>
        <v>0</v>
      </c>
      <c r="N73" s="14" t="n">
        <f aca="false">IF(AND(N$47,N$48&gt;0,LEN(TRIM($B33))&gt;0,N33=TRUE(),IF(N$50,$C33&lt;&gt;TRUE(),TRUE())),QUOTIENT(N$46,MAX(1,N$48))+IF(IF(N$50,SUMPRODUCT(--(LEN(TRIM($B$12:$B33))&gt;0),--(N$12:N33=TRUE()),--($C$12:$C33&lt;&gt;TRUE())),SUMPRODUCT(--(LEN(TRIM($B$12:$B33))&gt;0),--(N$12:N33=TRUE())))&lt;=MOD(N$46,MAX(1,N$48)),1,0),0)</f>
        <v>0</v>
      </c>
      <c r="P73" s="14" t="n">
        <f aca="false">IF(AND(P$47,P$48&gt;0,LEN(TRIM($B33))&gt;0,P33=TRUE(),IF(P$50,$C33&lt;&gt;TRUE(),TRUE())),QUOTIENT(P$46,MAX(1,P$48))+IF(IF(P$50,SUMPRODUCT(--(LEN(TRIM($B$12:$B33))&gt;0),--(P$12:P33=TRUE()),--($C$12:$C33&lt;&gt;TRUE())),SUMPRODUCT(--(LEN(TRIM($B$12:$B33))&gt;0),--(P$12:P33=TRUE())))&lt;=MOD(P$46,MAX(1,P$48)),1,0),0)</f>
        <v>0</v>
      </c>
    </row>
    <row r="74" customFormat="false" ht="15" hidden="true" customHeight="false" outlineLevel="0" collapsed="false">
      <c r="A74" s="13" t="s">
        <v>40</v>
      </c>
      <c r="D74" s="14" t="n">
        <f aca="false">IF(AND(D$47,D$48&gt;0,LEN(TRIM($B34))&gt;0,D34=TRUE(),IF(D$50,$C34&lt;&gt;TRUE(),TRUE())),QUOTIENT(D$46,MAX(1,D$48))+IF(IF(D$50,SUMPRODUCT(--(LEN(TRIM($B$12:$B34))&gt;0),--(D$12:D34=TRUE()),--($C$12:$C34&lt;&gt;TRUE())),SUMPRODUCT(--(LEN(TRIM($B$12:$B34))&gt;0),--(D$12:D34=TRUE())))&lt;=MOD(D$46,MAX(1,D$48)),1,0),0)</f>
        <v>0</v>
      </c>
      <c r="F74" s="14" t="n">
        <f aca="false">IF(AND(F$47,F$48&gt;0,LEN(TRIM($B34))&gt;0,F34=TRUE(),IF(F$50,$C34&lt;&gt;TRUE(),TRUE())),QUOTIENT(F$46,MAX(1,F$48))+IF(IF(F$50,SUMPRODUCT(--(LEN(TRIM($B$12:$B34))&gt;0),--(F$12:F34=TRUE()),--($C$12:$C34&lt;&gt;TRUE())),SUMPRODUCT(--(LEN(TRIM($B$12:$B34))&gt;0),--(F$12:F34=TRUE())))&lt;=MOD(F$46,MAX(1,F$48)),1,0),0)</f>
        <v>0</v>
      </c>
      <c r="H74" s="14" t="n">
        <f aca="false">IF(AND(H$47,H$48&gt;0,LEN(TRIM($B34))&gt;0,H34=TRUE(),IF(H$50,$C34&lt;&gt;TRUE(),TRUE())),QUOTIENT(H$46,MAX(1,H$48))+IF(IF(H$50,SUMPRODUCT(--(LEN(TRIM($B$12:$B34))&gt;0),--(H$12:H34=TRUE()),--($C$12:$C34&lt;&gt;TRUE())),SUMPRODUCT(--(LEN(TRIM($B$12:$B34))&gt;0),--(H$12:H34=TRUE())))&lt;=MOD(H$46,MAX(1,H$48)),1,0),0)</f>
        <v>0</v>
      </c>
      <c r="J74" s="14" t="n">
        <f aca="false">IF(AND(J$47,J$48&gt;0,LEN(TRIM($B34))&gt;0,J34=TRUE(),IF(J$50,$C34&lt;&gt;TRUE(),TRUE())),QUOTIENT(J$46,MAX(1,J$48))+IF(IF(J$50,SUMPRODUCT(--(LEN(TRIM($B$12:$B34))&gt;0),--(J$12:J34=TRUE()),--($C$12:$C34&lt;&gt;TRUE())),SUMPRODUCT(--(LEN(TRIM($B$12:$B34))&gt;0),--(J$12:J34=TRUE())))&lt;=MOD(J$46,MAX(1,J$48)),1,0),0)</f>
        <v>0</v>
      </c>
      <c r="L74" s="14" t="n">
        <f aca="false">IF(AND(L$47,L$48&gt;0,LEN(TRIM($B34))&gt;0,L34=TRUE(),IF(L$50,$C34&lt;&gt;TRUE(),TRUE())),QUOTIENT(L$46,MAX(1,L$48))+IF(IF(L$50,SUMPRODUCT(--(LEN(TRIM($B$12:$B34))&gt;0),--(L$12:L34=TRUE()),--($C$12:$C34&lt;&gt;TRUE())),SUMPRODUCT(--(LEN(TRIM($B$12:$B34))&gt;0),--(L$12:L34=TRUE())))&lt;=MOD(L$46,MAX(1,L$48)),1,0),0)</f>
        <v>0</v>
      </c>
      <c r="N74" s="14" t="n">
        <f aca="false">IF(AND(N$47,N$48&gt;0,LEN(TRIM($B34))&gt;0,N34=TRUE(),IF(N$50,$C34&lt;&gt;TRUE(),TRUE())),QUOTIENT(N$46,MAX(1,N$48))+IF(IF(N$50,SUMPRODUCT(--(LEN(TRIM($B$12:$B34))&gt;0),--(N$12:N34=TRUE()),--($C$12:$C34&lt;&gt;TRUE())),SUMPRODUCT(--(LEN(TRIM($B$12:$B34))&gt;0),--(N$12:N34=TRUE())))&lt;=MOD(N$46,MAX(1,N$48)),1,0),0)</f>
        <v>0</v>
      </c>
      <c r="P74" s="14" t="n">
        <f aca="false">IF(AND(P$47,P$48&gt;0,LEN(TRIM($B34))&gt;0,P34=TRUE(),IF(P$50,$C34&lt;&gt;TRUE(),TRUE())),QUOTIENT(P$46,MAX(1,P$48))+IF(IF(P$50,SUMPRODUCT(--(LEN(TRIM($B$12:$B34))&gt;0),--(P$12:P34=TRUE()),--($C$12:$C34&lt;&gt;TRUE())),SUMPRODUCT(--(LEN(TRIM($B$12:$B34))&gt;0),--(P$12:P34=TRUE())))&lt;=MOD(P$46,MAX(1,P$48)),1,0),0)</f>
        <v>0</v>
      </c>
    </row>
    <row r="75" customFormat="false" ht="15" hidden="true" customHeight="false" outlineLevel="0" collapsed="false">
      <c r="A75" s="13" t="s">
        <v>41</v>
      </c>
      <c r="D75" s="14" t="n">
        <f aca="false">IF(AND(D$47,D$48&gt;0,LEN(TRIM($B35))&gt;0,D35=TRUE(),IF(D$50,$C35&lt;&gt;TRUE(),TRUE())),QUOTIENT(D$46,MAX(1,D$48))+IF(IF(D$50,SUMPRODUCT(--(LEN(TRIM($B$12:$B35))&gt;0),--(D$12:D35=TRUE()),--($C$12:$C35&lt;&gt;TRUE())),SUMPRODUCT(--(LEN(TRIM($B$12:$B35))&gt;0),--(D$12:D35=TRUE())))&lt;=MOD(D$46,MAX(1,D$48)),1,0),0)</f>
        <v>0</v>
      </c>
      <c r="F75" s="14" t="n">
        <f aca="false">IF(AND(F$47,F$48&gt;0,LEN(TRIM($B35))&gt;0,F35=TRUE(),IF(F$50,$C35&lt;&gt;TRUE(),TRUE())),QUOTIENT(F$46,MAX(1,F$48))+IF(IF(F$50,SUMPRODUCT(--(LEN(TRIM($B$12:$B35))&gt;0),--(F$12:F35=TRUE()),--($C$12:$C35&lt;&gt;TRUE())),SUMPRODUCT(--(LEN(TRIM($B$12:$B35))&gt;0),--(F$12:F35=TRUE())))&lt;=MOD(F$46,MAX(1,F$48)),1,0),0)</f>
        <v>0</v>
      </c>
      <c r="H75" s="14" t="n">
        <f aca="false">IF(AND(H$47,H$48&gt;0,LEN(TRIM($B35))&gt;0,H35=TRUE(),IF(H$50,$C35&lt;&gt;TRUE(),TRUE())),QUOTIENT(H$46,MAX(1,H$48))+IF(IF(H$50,SUMPRODUCT(--(LEN(TRIM($B$12:$B35))&gt;0),--(H$12:H35=TRUE()),--($C$12:$C35&lt;&gt;TRUE())),SUMPRODUCT(--(LEN(TRIM($B$12:$B35))&gt;0),--(H$12:H35=TRUE())))&lt;=MOD(H$46,MAX(1,H$48)),1,0),0)</f>
        <v>0</v>
      </c>
      <c r="J75" s="14" t="n">
        <f aca="false">IF(AND(J$47,J$48&gt;0,LEN(TRIM($B35))&gt;0,J35=TRUE(),IF(J$50,$C35&lt;&gt;TRUE(),TRUE())),QUOTIENT(J$46,MAX(1,J$48))+IF(IF(J$50,SUMPRODUCT(--(LEN(TRIM($B$12:$B35))&gt;0),--(J$12:J35=TRUE()),--($C$12:$C35&lt;&gt;TRUE())),SUMPRODUCT(--(LEN(TRIM($B$12:$B35))&gt;0),--(J$12:J35=TRUE())))&lt;=MOD(J$46,MAX(1,J$48)),1,0),0)</f>
        <v>0</v>
      </c>
      <c r="L75" s="14" t="n">
        <f aca="false">IF(AND(L$47,L$48&gt;0,LEN(TRIM($B35))&gt;0,L35=TRUE(),IF(L$50,$C35&lt;&gt;TRUE(),TRUE())),QUOTIENT(L$46,MAX(1,L$48))+IF(IF(L$50,SUMPRODUCT(--(LEN(TRIM($B$12:$B35))&gt;0),--(L$12:L35=TRUE()),--($C$12:$C35&lt;&gt;TRUE())),SUMPRODUCT(--(LEN(TRIM($B$12:$B35))&gt;0),--(L$12:L35=TRUE())))&lt;=MOD(L$46,MAX(1,L$48)),1,0),0)</f>
        <v>0</v>
      </c>
      <c r="N75" s="14" t="n">
        <f aca="false">IF(AND(N$47,N$48&gt;0,LEN(TRIM($B35))&gt;0,N35=TRUE(),IF(N$50,$C35&lt;&gt;TRUE(),TRUE())),QUOTIENT(N$46,MAX(1,N$48))+IF(IF(N$50,SUMPRODUCT(--(LEN(TRIM($B$12:$B35))&gt;0),--(N$12:N35=TRUE()),--($C$12:$C35&lt;&gt;TRUE())),SUMPRODUCT(--(LEN(TRIM($B$12:$B35))&gt;0),--(N$12:N35=TRUE())))&lt;=MOD(N$46,MAX(1,N$48)),1,0),0)</f>
        <v>0</v>
      </c>
      <c r="P75" s="14" t="n">
        <f aca="false">IF(AND(P$47,P$48&gt;0,LEN(TRIM($B35))&gt;0,P35=TRUE(),IF(P$50,$C35&lt;&gt;TRUE(),TRUE())),QUOTIENT(P$46,MAX(1,P$48))+IF(IF(P$50,SUMPRODUCT(--(LEN(TRIM($B$12:$B35))&gt;0),--(P$12:P35=TRUE()),--($C$12:$C35&lt;&gt;TRUE())),SUMPRODUCT(--(LEN(TRIM($B$12:$B35))&gt;0),--(P$12:P35=TRUE())))&lt;=MOD(P$46,MAX(1,P$48)),1,0),0)</f>
        <v>0</v>
      </c>
    </row>
    <row r="76" customFormat="false" ht="15" hidden="true" customHeight="false" outlineLevel="0" collapsed="false">
      <c r="A76" s="13" t="s">
        <v>42</v>
      </c>
      <c r="D76" s="14" t="n">
        <f aca="false">IF(AND(D$47,D$48&gt;0,LEN(TRIM($B36))&gt;0,D36=TRUE(),IF(D$50,$C36&lt;&gt;TRUE(),TRUE())),QUOTIENT(D$46,MAX(1,D$48))+IF(IF(D$50,SUMPRODUCT(--(LEN(TRIM($B$12:$B36))&gt;0),--(D$12:D36=TRUE()),--($C$12:$C36&lt;&gt;TRUE())),SUMPRODUCT(--(LEN(TRIM($B$12:$B36))&gt;0),--(D$12:D36=TRUE())))&lt;=MOD(D$46,MAX(1,D$48)),1,0),0)</f>
        <v>0</v>
      </c>
      <c r="F76" s="14" t="n">
        <f aca="false">IF(AND(F$47,F$48&gt;0,LEN(TRIM($B36))&gt;0,F36=TRUE(),IF(F$50,$C36&lt;&gt;TRUE(),TRUE())),QUOTIENT(F$46,MAX(1,F$48))+IF(IF(F$50,SUMPRODUCT(--(LEN(TRIM($B$12:$B36))&gt;0),--(F$12:F36=TRUE()),--($C$12:$C36&lt;&gt;TRUE())),SUMPRODUCT(--(LEN(TRIM($B$12:$B36))&gt;0),--(F$12:F36=TRUE())))&lt;=MOD(F$46,MAX(1,F$48)),1,0),0)</f>
        <v>0</v>
      </c>
      <c r="H76" s="14" t="n">
        <f aca="false">IF(AND(H$47,H$48&gt;0,LEN(TRIM($B36))&gt;0,H36=TRUE(),IF(H$50,$C36&lt;&gt;TRUE(),TRUE())),QUOTIENT(H$46,MAX(1,H$48))+IF(IF(H$50,SUMPRODUCT(--(LEN(TRIM($B$12:$B36))&gt;0),--(H$12:H36=TRUE()),--($C$12:$C36&lt;&gt;TRUE())),SUMPRODUCT(--(LEN(TRIM($B$12:$B36))&gt;0),--(H$12:H36=TRUE())))&lt;=MOD(H$46,MAX(1,H$48)),1,0),0)</f>
        <v>0</v>
      </c>
      <c r="J76" s="14" t="n">
        <f aca="false">IF(AND(J$47,J$48&gt;0,LEN(TRIM($B36))&gt;0,J36=TRUE(),IF(J$50,$C36&lt;&gt;TRUE(),TRUE())),QUOTIENT(J$46,MAX(1,J$48))+IF(IF(J$50,SUMPRODUCT(--(LEN(TRIM($B$12:$B36))&gt;0),--(J$12:J36=TRUE()),--($C$12:$C36&lt;&gt;TRUE())),SUMPRODUCT(--(LEN(TRIM($B$12:$B36))&gt;0),--(J$12:J36=TRUE())))&lt;=MOD(J$46,MAX(1,J$48)),1,0),0)</f>
        <v>0</v>
      </c>
      <c r="L76" s="14" t="n">
        <f aca="false">IF(AND(L$47,L$48&gt;0,LEN(TRIM($B36))&gt;0,L36=TRUE(),IF(L$50,$C36&lt;&gt;TRUE(),TRUE())),QUOTIENT(L$46,MAX(1,L$48))+IF(IF(L$50,SUMPRODUCT(--(LEN(TRIM($B$12:$B36))&gt;0),--(L$12:L36=TRUE()),--($C$12:$C36&lt;&gt;TRUE())),SUMPRODUCT(--(LEN(TRIM($B$12:$B36))&gt;0),--(L$12:L36=TRUE())))&lt;=MOD(L$46,MAX(1,L$48)),1,0),0)</f>
        <v>0</v>
      </c>
      <c r="N76" s="14" t="n">
        <f aca="false">IF(AND(N$47,N$48&gt;0,LEN(TRIM($B36))&gt;0,N36=TRUE(),IF(N$50,$C36&lt;&gt;TRUE(),TRUE())),QUOTIENT(N$46,MAX(1,N$48))+IF(IF(N$50,SUMPRODUCT(--(LEN(TRIM($B$12:$B36))&gt;0),--(N$12:N36=TRUE()),--($C$12:$C36&lt;&gt;TRUE())),SUMPRODUCT(--(LEN(TRIM($B$12:$B36))&gt;0),--(N$12:N36=TRUE())))&lt;=MOD(N$46,MAX(1,N$48)),1,0),0)</f>
        <v>0</v>
      </c>
      <c r="P76" s="14" t="n">
        <f aca="false">IF(AND(P$47,P$48&gt;0,LEN(TRIM($B36))&gt;0,P36=TRUE(),IF(P$50,$C36&lt;&gt;TRUE(),TRUE())),QUOTIENT(P$46,MAX(1,P$48))+IF(IF(P$50,SUMPRODUCT(--(LEN(TRIM($B$12:$B36))&gt;0),--(P$12:P36=TRUE()),--($C$12:$C36&lt;&gt;TRUE())),SUMPRODUCT(--(LEN(TRIM($B$12:$B36))&gt;0),--(P$12:P36=TRUE())))&lt;=MOD(P$46,MAX(1,P$48)),1,0),0)</f>
        <v>0</v>
      </c>
    </row>
    <row r="77" customFormat="false" ht="15" hidden="true" customHeight="false" outlineLevel="0" collapsed="false">
      <c r="A77" s="13" t="s">
        <v>43</v>
      </c>
      <c r="D77" s="14" t="n">
        <f aca="false">IF(AND(D$47,D$48&gt;0,LEN(TRIM($B37))&gt;0,D37=TRUE(),IF(D$50,$C37&lt;&gt;TRUE(),TRUE())),QUOTIENT(D$46,MAX(1,D$48))+IF(IF(D$50,SUMPRODUCT(--(LEN(TRIM($B$12:$B37))&gt;0),--(D$12:D37=TRUE()),--($C$12:$C37&lt;&gt;TRUE())),SUMPRODUCT(--(LEN(TRIM($B$12:$B37))&gt;0),--(D$12:D37=TRUE())))&lt;=MOD(D$46,MAX(1,D$48)),1,0),0)</f>
        <v>0</v>
      </c>
      <c r="F77" s="14" t="n">
        <f aca="false">IF(AND(F$47,F$48&gt;0,LEN(TRIM($B37))&gt;0,F37=TRUE(),IF(F$50,$C37&lt;&gt;TRUE(),TRUE())),QUOTIENT(F$46,MAX(1,F$48))+IF(IF(F$50,SUMPRODUCT(--(LEN(TRIM($B$12:$B37))&gt;0),--(F$12:F37=TRUE()),--($C$12:$C37&lt;&gt;TRUE())),SUMPRODUCT(--(LEN(TRIM($B$12:$B37))&gt;0),--(F$12:F37=TRUE())))&lt;=MOD(F$46,MAX(1,F$48)),1,0),0)</f>
        <v>0</v>
      </c>
      <c r="H77" s="14" t="n">
        <f aca="false">IF(AND(H$47,H$48&gt;0,LEN(TRIM($B37))&gt;0,H37=TRUE(),IF(H$50,$C37&lt;&gt;TRUE(),TRUE())),QUOTIENT(H$46,MAX(1,H$48))+IF(IF(H$50,SUMPRODUCT(--(LEN(TRIM($B$12:$B37))&gt;0),--(H$12:H37=TRUE()),--($C$12:$C37&lt;&gt;TRUE())),SUMPRODUCT(--(LEN(TRIM($B$12:$B37))&gt;0),--(H$12:H37=TRUE())))&lt;=MOD(H$46,MAX(1,H$48)),1,0),0)</f>
        <v>0</v>
      </c>
      <c r="J77" s="14" t="n">
        <f aca="false">IF(AND(J$47,J$48&gt;0,LEN(TRIM($B37))&gt;0,J37=TRUE(),IF(J$50,$C37&lt;&gt;TRUE(),TRUE())),QUOTIENT(J$46,MAX(1,J$48))+IF(IF(J$50,SUMPRODUCT(--(LEN(TRIM($B$12:$B37))&gt;0),--(J$12:J37=TRUE()),--($C$12:$C37&lt;&gt;TRUE())),SUMPRODUCT(--(LEN(TRIM($B$12:$B37))&gt;0),--(J$12:J37=TRUE())))&lt;=MOD(J$46,MAX(1,J$48)),1,0),0)</f>
        <v>0</v>
      </c>
      <c r="L77" s="14" t="n">
        <f aca="false">IF(AND(L$47,L$48&gt;0,LEN(TRIM($B37))&gt;0,L37=TRUE(),IF(L$50,$C37&lt;&gt;TRUE(),TRUE())),QUOTIENT(L$46,MAX(1,L$48))+IF(IF(L$50,SUMPRODUCT(--(LEN(TRIM($B$12:$B37))&gt;0),--(L$12:L37=TRUE()),--($C$12:$C37&lt;&gt;TRUE())),SUMPRODUCT(--(LEN(TRIM($B$12:$B37))&gt;0),--(L$12:L37=TRUE())))&lt;=MOD(L$46,MAX(1,L$48)),1,0),0)</f>
        <v>0</v>
      </c>
      <c r="N77" s="14" t="n">
        <f aca="false">IF(AND(N$47,N$48&gt;0,LEN(TRIM($B37))&gt;0,N37=TRUE(),IF(N$50,$C37&lt;&gt;TRUE(),TRUE())),QUOTIENT(N$46,MAX(1,N$48))+IF(IF(N$50,SUMPRODUCT(--(LEN(TRIM($B$12:$B37))&gt;0),--(N$12:N37=TRUE()),--($C$12:$C37&lt;&gt;TRUE())),SUMPRODUCT(--(LEN(TRIM($B$12:$B37))&gt;0),--(N$12:N37=TRUE())))&lt;=MOD(N$46,MAX(1,N$48)),1,0),0)</f>
        <v>0</v>
      </c>
      <c r="P77" s="14" t="n">
        <f aca="false">IF(AND(P$47,P$48&gt;0,LEN(TRIM($B37))&gt;0,P37=TRUE(),IF(P$50,$C37&lt;&gt;TRUE(),TRUE())),QUOTIENT(P$46,MAX(1,P$48))+IF(IF(P$50,SUMPRODUCT(--(LEN(TRIM($B$12:$B37))&gt;0),--(P$12:P37=TRUE()),--($C$12:$C37&lt;&gt;TRUE())),SUMPRODUCT(--(LEN(TRIM($B$12:$B37))&gt;0),--(P$12:P37=TRUE())))&lt;=MOD(P$46,MAX(1,P$48)),1,0),0)</f>
        <v>0</v>
      </c>
    </row>
    <row r="78" customFormat="false" ht="15" hidden="true" customHeight="false" outlineLevel="0" collapsed="false">
      <c r="A78" s="13" t="s">
        <v>44</v>
      </c>
      <c r="D78" s="14" t="n">
        <f aca="false">IF(AND(D$47,D$48&gt;0,LEN(TRIM($B38))&gt;0,D38=TRUE(),IF(D$50,$C38&lt;&gt;TRUE(),TRUE())),QUOTIENT(D$46,MAX(1,D$48))+IF(IF(D$50,SUMPRODUCT(--(LEN(TRIM($B$12:$B38))&gt;0),--(D$12:D38=TRUE()),--($C$12:$C38&lt;&gt;TRUE())),SUMPRODUCT(--(LEN(TRIM($B$12:$B38))&gt;0),--(D$12:D38=TRUE())))&lt;=MOD(D$46,MAX(1,D$48)),1,0),0)</f>
        <v>0</v>
      </c>
      <c r="F78" s="14" t="n">
        <f aca="false">IF(AND(F$47,F$48&gt;0,LEN(TRIM($B38))&gt;0,F38=TRUE(),IF(F$50,$C38&lt;&gt;TRUE(),TRUE())),QUOTIENT(F$46,MAX(1,F$48))+IF(IF(F$50,SUMPRODUCT(--(LEN(TRIM($B$12:$B38))&gt;0),--(F$12:F38=TRUE()),--($C$12:$C38&lt;&gt;TRUE())),SUMPRODUCT(--(LEN(TRIM($B$12:$B38))&gt;0),--(F$12:F38=TRUE())))&lt;=MOD(F$46,MAX(1,F$48)),1,0),0)</f>
        <v>0</v>
      </c>
      <c r="H78" s="14" t="n">
        <f aca="false">IF(AND(H$47,H$48&gt;0,LEN(TRIM($B38))&gt;0,H38=TRUE(),IF(H$50,$C38&lt;&gt;TRUE(),TRUE())),QUOTIENT(H$46,MAX(1,H$48))+IF(IF(H$50,SUMPRODUCT(--(LEN(TRIM($B$12:$B38))&gt;0),--(H$12:H38=TRUE()),--($C$12:$C38&lt;&gt;TRUE())),SUMPRODUCT(--(LEN(TRIM($B$12:$B38))&gt;0),--(H$12:H38=TRUE())))&lt;=MOD(H$46,MAX(1,H$48)),1,0),0)</f>
        <v>0</v>
      </c>
      <c r="J78" s="14" t="n">
        <f aca="false">IF(AND(J$47,J$48&gt;0,LEN(TRIM($B38))&gt;0,J38=TRUE(),IF(J$50,$C38&lt;&gt;TRUE(),TRUE())),QUOTIENT(J$46,MAX(1,J$48))+IF(IF(J$50,SUMPRODUCT(--(LEN(TRIM($B$12:$B38))&gt;0),--(J$12:J38=TRUE()),--($C$12:$C38&lt;&gt;TRUE())),SUMPRODUCT(--(LEN(TRIM($B$12:$B38))&gt;0),--(J$12:J38=TRUE())))&lt;=MOD(J$46,MAX(1,J$48)),1,0),0)</f>
        <v>0</v>
      </c>
      <c r="L78" s="14" t="n">
        <f aca="false">IF(AND(L$47,L$48&gt;0,LEN(TRIM($B38))&gt;0,L38=TRUE(),IF(L$50,$C38&lt;&gt;TRUE(),TRUE())),QUOTIENT(L$46,MAX(1,L$48))+IF(IF(L$50,SUMPRODUCT(--(LEN(TRIM($B$12:$B38))&gt;0),--(L$12:L38=TRUE()),--($C$12:$C38&lt;&gt;TRUE())),SUMPRODUCT(--(LEN(TRIM($B$12:$B38))&gt;0),--(L$12:L38=TRUE())))&lt;=MOD(L$46,MAX(1,L$48)),1,0),0)</f>
        <v>0</v>
      </c>
      <c r="N78" s="14" t="n">
        <f aca="false">IF(AND(N$47,N$48&gt;0,LEN(TRIM($B38))&gt;0,N38=TRUE(),IF(N$50,$C38&lt;&gt;TRUE(),TRUE())),QUOTIENT(N$46,MAX(1,N$48))+IF(IF(N$50,SUMPRODUCT(--(LEN(TRIM($B$12:$B38))&gt;0),--(N$12:N38=TRUE()),--($C$12:$C38&lt;&gt;TRUE())),SUMPRODUCT(--(LEN(TRIM($B$12:$B38))&gt;0),--(N$12:N38=TRUE())))&lt;=MOD(N$46,MAX(1,N$48)),1,0),0)</f>
        <v>0</v>
      </c>
      <c r="P78" s="14" t="n">
        <f aca="false">IF(AND(P$47,P$48&gt;0,LEN(TRIM($B38))&gt;0,P38=TRUE(),IF(P$50,$C38&lt;&gt;TRUE(),TRUE())),QUOTIENT(P$46,MAX(1,P$48))+IF(IF(P$50,SUMPRODUCT(--(LEN(TRIM($B$12:$B38))&gt;0),--(P$12:P38=TRUE()),--($C$12:$C38&lt;&gt;TRUE())),SUMPRODUCT(--(LEN(TRIM($B$12:$B38))&gt;0),--(P$12:P38=TRUE())))&lt;=MOD(P$46,MAX(1,P$48)),1,0),0)</f>
        <v>0</v>
      </c>
    </row>
    <row r="79" customFormat="false" ht="15" hidden="true" customHeight="false" outlineLevel="0" collapsed="false">
      <c r="A79" s="13" t="s">
        <v>45</v>
      </c>
      <c r="D79" s="14" t="n">
        <f aca="false">IF(AND(D$47,D$48&gt;0,LEN(TRIM($B39))&gt;0,D39=TRUE(),IF(D$50,$C39&lt;&gt;TRUE(),TRUE())),QUOTIENT(D$46,MAX(1,D$48))+IF(IF(D$50,SUMPRODUCT(--(LEN(TRIM($B$12:$B39))&gt;0),--(D$12:D39=TRUE()),--($C$12:$C39&lt;&gt;TRUE())),SUMPRODUCT(--(LEN(TRIM($B$12:$B39))&gt;0),--(D$12:D39=TRUE())))&lt;=MOD(D$46,MAX(1,D$48)),1,0),0)</f>
        <v>0</v>
      </c>
      <c r="F79" s="14" t="n">
        <f aca="false">IF(AND(F$47,F$48&gt;0,LEN(TRIM($B39))&gt;0,F39=TRUE(),IF(F$50,$C39&lt;&gt;TRUE(),TRUE())),QUOTIENT(F$46,MAX(1,F$48))+IF(IF(F$50,SUMPRODUCT(--(LEN(TRIM($B$12:$B39))&gt;0),--(F$12:F39=TRUE()),--($C$12:$C39&lt;&gt;TRUE())),SUMPRODUCT(--(LEN(TRIM($B$12:$B39))&gt;0),--(F$12:F39=TRUE())))&lt;=MOD(F$46,MAX(1,F$48)),1,0),0)</f>
        <v>0</v>
      </c>
      <c r="H79" s="14" t="n">
        <f aca="false">IF(AND(H$47,H$48&gt;0,LEN(TRIM($B39))&gt;0,H39=TRUE(),IF(H$50,$C39&lt;&gt;TRUE(),TRUE())),QUOTIENT(H$46,MAX(1,H$48))+IF(IF(H$50,SUMPRODUCT(--(LEN(TRIM($B$12:$B39))&gt;0),--(H$12:H39=TRUE()),--($C$12:$C39&lt;&gt;TRUE())),SUMPRODUCT(--(LEN(TRIM($B$12:$B39))&gt;0),--(H$12:H39=TRUE())))&lt;=MOD(H$46,MAX(1,H$48)),1,0),0)</f>
        <v>0</v>
      </c>
      <c r="J79" s="14" t="n">
        <f aca="false">IF(AND(J$47,J$48&gt;0,LEN(TRIM($B39))&gt;0,J39=TRUE(),IF(J$50,$C39&lt;&gt;TRUE(),TRUE())),QUOTIENT(J$46,MAX(1,J$48))+IF(IF(J$50,SUMPRODUCT(--(LEN(TRIM($B$12:$B39))&gt;0),--(J$12:J39=TRUE()),--($C$12:$C39&lt;&gt;TRUE())),SUMPRODUCT(--(LEN(TRIM($B$12:$B39))&gt;0),--(J$12:J39=TRUE())))&lt;=MOD(J$46,MAX(1,J$48)),1,0),0)</f>
        <v>0</v>
      </c>
      <c r="L79" s="14" t="n">
        <f aca="false">IF(AND(L$47,L$48&gt;0,LEN(TRIM($B39))&gt;0,L39=TRUE(),IF(L$50,$C39&lt;&gt;TRUE(),TRUE())),QUOTIENT(L$46,MAX(1,L$48))+IF(IF(L$50,SUMPRODUCT(--(LEN(TRIM($B$12:$B39))&gt;0),--(L$12:L39=TRUE()),--($C$12:$C39&lt;&gt;TRUE())),SUMPRODUCT(--(LEN(TRIM($B$12:$B39))&gt;0),--(L$12:L39=TRUE())))&lt;=MOD(L$46,MAX(1,L$48)),1,0),0)</f>
        <v>0</v>
      </c>
      <c r="N79" s="14" t="n">
        <f aca="false">IF(AND(N$47,N$48&gt;0,LEN(TRIM($B39))&gt;0,N39=TRUE(),IF(N$50,$C39&lt;&gt;TRUE(),TRUE())),QUOTIENT(N$46,MAX(1,N$48))+IF(IF(N$50,SUMPRODUCT(--(LEN(TRIM($B$12:$B39))&gt;0),--(N$12:N39=TRUE()),--($C$12:$C39&lt;&gt;TRUE())),SUMPRODUCT(--(LEN(TRIM($B$12:$B39))&gt;0),--(N$12:N39=TRUE())))&lt;=MOD(N$46,MAX(1,N$48)),1,0),0)</f>
        <v>0</v>
      </c>
      <c r="P79" s="14" t="n">
        <f aca="false">IF(AND(P$47,P$48&gt;0,LEN(TRIM($B39))&gt;0,P39=TRUE(),IF(P$50,$C39&lt;&gt;TRUE(),TRUE())),QUOTIENT(P$46,MAX(1,P$48))+IF(IF(P$50,SUMPRODUCT(--(LEN(TRIM($B$12:$B39))&gt;0),--(P$12:P39=TRUE()),--($C$12:$C39&lt;&gt;TRUE())),SUMPRODUCT(--(LEN(TRIM($B$12:$B39))&gt;0),--(P$12:P39=TRUE())))&lt;=MOD(P$46,MAX(1,P$48)),1,0),0)</f>
        <v>0</v>
      </c>
    </row>
    <row r="80" customFormat="false" ht="15" hidden="true" customHeight="false" outlineLevel="0" collapsed="false">
      <c r="A80" s="13" t="s">
        <v>46</v>
      </c>
      <c r="D80" s="14" t="n">
        <f aca="false">IF(AND(D$47,D$48&gt;0,LEN(TRIM($B40))&gt;0,D40=TRUE(),IF(D$50,$C40&lt;&gt;TRUE(),TRUE())),QUOTIENT(D$46,MAX(1,D$48))+IF(IF(D$50,SUMPRODUCT(--(LEN(TRIM($B$12:$B40))&gt;0),--(D$12:D40=TRUE()),--($C$12:$C40&lt;&gt;TRUE())),SUMPRODUCT(--(LEN(TRIM($B$12:$B40))&gt;0),--(D$12:D40=TRUE())))&lt;=MOD(D$46,MAX(1,D$48)),1,0),0)</f>
        <v>0</v>
      </c>
      <c r="F80" s="14" t="n">
        <f aca="false">IF(AND(F$47,F$48&gt;0,LEN(TRIM($B40))&gt;0,F40=TRUE(),IF(F$50,$C40&lt;&gt;TRUE(),TRUE())),QUOTIENT(F$46,MAX(1,F$48))+IF(IF(F$50,SUMPRODUCT(--(LEN(TRIM($B$12:$B40))&gt;0),--(F$12:F40=TRUE()),--($C$12:$C40&lt;&gt;TRUE())),SUMPRODUCT(--(LEN(TRIM($B$12:$B40))&gt;0),--(F$12:F40=TRUE())))&lt;=MOD(F$46,MAX(1,F$48)),1,0),0)</f>
        <v>0</v>
      </c>
      <c r="H80" s="14" t="n">
        <f aca="false">IF(AND(H$47,H$48&gt;0,LEN(TRIM($B40))&gt;0,H40=TRUE(),IF(H$50,$C40&lt;&gt;TRUE(),TRUE())),QUOTIENT(H$46,MAX(1,H$48))+IF(IF(H$50,SUMPRODUCT(--(LEN(TRIM($B$12:$B40))&gt;0),--(H$12:H40=TRUE()),--($C$12:$C40&lt;&gt;TRUE())),SUMPRODUCT(--(LEN(TRIM($B$12:$B40))&gt;0),--(H$12:H40=TRUE())))&lt;=MOD(H$46,MAX(1,H$48)),1,0),0)</f>
        <v>0</v>
      </c>
      <c r="J80" s="14" t="n">
        <f aca="false">IF(AND(J$47,J$48&gt;0,LEN(TRIM($B40))&gt;0,J40=TRUE(),IF(J$50,$C40&lt;&gt;TRUE(),TRUE())),QUOTIENT(J$46,MAX(1,J$48))+IF(IF(J$50,SUMPRODUCT(--(LEN(TRIM($B$12:$B40))&gt;0),--(J$12:J40=TRUE()),--($C$12:$C40&lt;&gt;TRUE())),SUMPRODUCT(--(LEN(TRIM($B$12:$B40))&gt;0),--(J$12:J40=TRUE())))&lt;=MOD(J$46,MAX(1,J$48)),1,0),0)</f>
        <v>0</v>
      </c>
      <c r="L80" s="14" t="n">
        <f aca="false">IF(AND(L$47,L$48&gt;0,LEN(TRIM($B40))&gt;0,L40=TRUE(),IF(L$50,$C40&lt;&gt;TRUE(),TRUE())),QUOTIENT(L$46,MAX(1,L$48))+IF(IF(L$50,SUMPRODUCT(--(LEN(TRIM($B$12:$B40))&gt;0),--(L$12:L40=TRUE()),--($C$12:$C40&lt;&gt;TRUE())),SUMPRODUCT(--(LEN(TRIM($B$12:$B40))&gt;0),--(L$12:L40=TRUE())))&lt;=MOD(L$46,MAX(1,L$48)),1,0),0)</f>
        <v>0</v>
      </c>
      <c r="N80" s="14" t="n">
        <f aca="false">IF(AND(N$47,N$48&gt;0,LEN(TRIM($B40))&gt;0,N40=TRUE(),IF(N$50,$C40&lt;&gt;TRUE(),TRUE())),QUOTIENT(N$46,MAX(1,N$48))+IF(IF(N$50,SUMPRODUCT(--(LEN(TRIM($B$12:$B40))&gt;0),--(N$12:N40=TRUE()),--($C$12:$C40&lt;&gt;TRUE())),SUMPRODUCT(--(LEN(TRIM($B$12:$B40))&gt;0),--(N$12:N40=TRUE())))&lt;=MOD(N$46,MAX(1,N$48)),1,0),0)</f>
        <v>0</v>
      </c>
      <c r="P80" s="14" t="n">
        <f aca="false">IF(AND(P$47,P$48&gt;0,LEN(TRIM($B40))&gt;0,P40=TRUE(),IF(P$50,$C40&lt;&gt;TRUE(),TRUE())),QUOTIENT(P$46,MAX(1,P$48))+IF(IF(P$50,SUMPRODUCT(--(LEN(TRIM($B$12:$B40))&gt;0),--(P$12:P40=TRUE()),--($C$12:$C40&lt;&gt;TRUE())),SUMPRODUCT(--(LEN(TRIM($B$12:$B40))&gt;0),--(P$12:P40=TRUE())))&lt;=MOD(P$46,MAX(1,P$48)),1,0),0)</f>
        <v>0</v>
      </c>
    </row>
    <row r="81" customFormat="false" ht="15" hidden="true" customHeight="false" outlineLevel="0" collapsed="false">
      <c r="A81" s="13" t="s">
        <v>47</v>
      </c>
      <c r="D81" s="14" t="n">
        <f aca="false">IF(AND(D$47,D$48&gt;0,LEN(TRIM($B41))&gt;0,D41=TRUE(),IF(D$50,$C41&lt;&gt;TRUE(),TRUE())),QUOTIENT(D$46,MAX(1,D$48))+IF(IF(D$50,SUMPRODUCT(--(LEN(TRIM($B$12:$B41))&gt;0),--(D$12:D41=TRUE()),--($C$12:$C41&lt;&gt;TRUE())),SUMPRODUCT(--(LEN(TRIM($B$12:$B41))&gt;0),--(D$12:D41=TRUE())))&lt;=MOD(D$46,MAX(1,D$48)),1,0),0)</f>
        <v>0</v>
      </c>
      <c r="F81" s="14" t="n">
        <f aca="false">IF(AND(F$47,F$48&gt;0,LEN(TRIM($B41))&gt;0,F41=TRUE(),IF(F$50,$C41&lt;&gt;TRUE(),TRUE())),QUOTIENT(F$46,MAX(1,F$48))+IF(IF(F$50,SUMPRODUCT(--(LEN(TRIM($B$12:$B41))&gt;0),--(F$12:F41=TRUE()),--($C$12:$C41&lt;&gt;TRUE())),SUMPRODUCT(--(LEN(TRIM($B$12:$B41))&gt;0),--(F$12:F41=TRUE())))&lt;=MOD(F$46,MAX(1,F$48)),1,0),0)</f>
        <v>0</v>
      </c>
      <c r="H81" s="14" t="n">
        <f aca="false">IF(AND(H$47,H$48&gt;0,LEN(TRIM($B41))&gt;0,H41=TRUE(),IF(H$50,$C41&lt;&gt;TRUE(),TRUE())),QUOTIENT(H$46,MAX(1,H$48))+IF(IF(H$50,SUMPRODUCT(--(LEN(TRIM($B$12:$B41))&gt;0),--(H$12:H41=TRUE()),--($C$12:$C41&lt;&gt;TRUE())),SUMPRODUCT(--(LEN(TRIM($B$12:$B41))&gt;0),--(H$12:H41=TRUE())))&lt;=MOD(H$46,MAX(1,H$48)),1,0),0)</f>
        <v>0</v>
      </c>
      <c r="J81" s="14" t="n">
        <f aca="false">IF(AND(J$47,J$48&gt;0,LEN(TRIM($B41))&gt;0,J41=TRUE(),IF(J$50,$C41&lt;&gt;TRUE(),TRUE())),QUOTIENT(J$46,MAX(1,J$48))+IF(IF(J$50,SUMPRODUCT(--(LEN(TRIM($B$12:$B41))&gt;0),--(J$12:J41=TRUE()),--($C$12:$C41&lt;&gt;TRUE())),SUMPRODUCT(--(LEN(TRIM($B$12:$B41))&gt;0),--(J$12:J41=TRUE())))&lt;=MOD(J$46,MAX(1,J$48)),1,0),0)</f>
        <v>0</v>
      </c>
      <c r="L81" s="14" t="n">
        <f aca="false">IF(AND(L$47,L$48&gt;0,LEN(TRIM($B41))&gt;0,L41=TRUE(),IF(L$50,$C41&lt;&gt;TRUE(),TRUE())),QUOTIENT(L$46,MAX(1,L$48))+IF(IF(L$50,SUMPRODUCT(--(LEN(TRIM($B$12:$B41))&gt;0),--(L$12:L41=TRUE()),--($C$12:$C41&lt;&gt;TRUE())),SUMPRODUCT(--(LEN(TRIM($B$12:$B41))&gt;0),--(L$12:L41=TRUE())))&lt;=MOD(L$46,MAX(1,L$48)),1,0),0)</f>
        <v>0</v>
      </c>
      <c r="N81" s="14" t="n">
        <f aca="false">IF(AND(N$47,N$48&gt;0,LEN(TRIM($B41))&gt;0,N41=TRUE(),IF(N$50,$C41&lt;&gt;TRUE(),TRUE())),QUOTIENT(N$46,MAX(1,N$48))+IF(IF(N$50,SUMPRODUCT(--(LEN(TRIM($B$12:$B41))&gt;0),--(N$12:N41=TRUE()),--($C$12:$C41&lt;&gt;TRUE())),SUMPRODUCT(--(LEN(TRIM($B$12:$B41))&gt;0),--(N$12:N41=TRUE())))&lt;=MOD(N$46,MAX(1,N$48)),1,0),0)</f>
        <v>0</v>
      </c>
      <c r="P81" s="14" t="n">
        <f aca="false">IF(AND(P$47,P$48&gt;0,LEN(TRIM($B41))&gt;0,P41=TRUE(),IF(P$50,$C41&lt;&gt;TRUE(),TRUE())),QUOTIENT(P$46,MAX(1,P$48))+IF(IF(P$50,SUMPRODUCT(--(LEN(TRIM($B$12:$B41))&gt;0),--(P$12:P41=TRUE()),--($C$12:$C41&lt;&gt;TRUE())),SUMPRODUCT(--(LEN(TRIM($B$12:$B41))&gt;0),--(P$12:P41=TRUE())))&lt;=MOD(P$46,MAX(1,P$48)),1,0),0)</f>
        <v>0</v>
      </c>
    </row>
  </sheetData>
  <mergeCells count="28">
    <mergeCell ref="D4:E4"/>
    <mergeCell ref="F4:G4"/>
    <mergeCell ref="H4:I4"/>
    <mergeCell ref="J4:K4"/>
    <mergeCell ref="L4:M4"/>
    <mergeCell ref="N4:O4"/>
    <mergeCell ref="P4:Q4"/>
    <mergeCell ref="D5:E5"/>
    <mergeCell ref="F5:G5"/>
    <mergeCell ref="H5:I5"/>
    <mergeCell ref="J5:K5"/>
    <mergeCell ref="L5:M5"/>
    <mergeCell ref="N5:O5"/>
    <mergeCell ref="P5:Q5"/>
    <mergeCell ref="D9:E9"/>
    <mergeCell ref="F9:G9"/>
    <mergeCell ref="H9:I9"/>
    <mergeCell ref="J9:K9"/>
    <mergeCell ref="L9:M9"/>
    <mergeCell ref="N9:O9"/>
    <mergeCell ref="P9:Q9"/>
    <mergeCell ref="D10:E10"/>
    <mergeCell ref="F10:G10"/>
    <mergeCell ref="H10:I10"/>
    <mergeCell ref="J10:K10"/>
    <mergeCell ref="L10:M10"/>
    <mergeCell ref="N10:O10"/>
    <mergeCell ref="P10:Q10"/>
  </mergeCells>
  <dataValidations count="30"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3" type="custom">
      <formula1>OR(C3=1,C3=0)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12:C41" type="custom">
      <formula1>OR(C12=1,C12=0)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D12:D41" type="custom">
      <formula1>OR(D12=1,D12=0)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F12:F41" type="custom">
      <formula1>OR(F12=1,F12=0)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H12:H41" type="custom">
      <formula1>OR(H12=1,H12=0)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J12:J41" type="custom">
      <formula1>OR(J12=1,J12=0)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L12:L41" type="custom">
      <formula1>OR(L12=1,L12=0)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N12:N41" type="custom">
      <formula1>OR(N12=1,N12=0)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P12:P41" type="custom">
      <formula1>OR(P12=1,P12=0)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D5:E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6" type="custom">
      <formula1>OR(LEN(TRIM(D6&amp;""))=0,IFERROR(AND(ISNUMBER(D6),D6&gt;=0,D6&lt;=100000000,ROUND(D6,1)=D6),0))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F5:G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6" type="custom">
      <formula1>OR(LEN(TRIM(F6&amp;""))=0,IFERROR(AND(ISNUMBER(F6),F6&gt;=0,F6&lt;=100000000,ROUND(F6,1)=F6),0))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H5:I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6" type="custom">
      <formula1>OR(LEN(TRIM(H6&amp;""))=0,IFERROR(AND(ISNUMBER(H6),H6&gt;=0,H6&lt;=100000000,ROUND(H6,1)=H6),0))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J5:K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6" type="custom">
      <formula1>OR(LEN(TRIM(J6&amp;""))=0,IFERROR(AND(ISNUMBER(J6),J6&gt;=0,J6&lt;=100000000,ROUND(J6,1)=J6),0))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L5:M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6" type="custom">
      <formula1>OR(LEN(TRIM(L6&amp;""))=0,IFERROR(AND(ISNUMBER(L6),L6&gt;=0,L6&lt;=100000000,ROUND(L6,1)=L6),0))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N5:O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6" type="custom">
      <formula1>OR(LEN(TRIM(N6&amp;""))=0,IFERROR(AND(ISNUMBER(N6),N6&gt;=0,N6&lt;=100000000,ROUND(N6,1)=N6),0))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P5:Q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6" type="custom">
      <formula1>OR(LEN(TRIM(P6&amp;""))=0,IFERROR(AND(ISNUMBER(P6),P6&gt;=0,P6&lt;=100000000,ROUND(P6,1)=P6),0))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40"/>
    <col collapsed="false" customWidth="true" hidden="false" outlineLevel="0" max="2" min="2" style="0" width="22.86"/>
    <col collapsed="false" customWidth="true" hidden="false" outlineLevel="0" max="3" min="3" style="0" width="13.15"/>
    <col collapsed="false" customWidth="true" hidden="false" outlineLevel="0" max="17" min="4" style="0" width="21.14"/>
  </cols>
  <sheetData>
    <row r="1" customFormat="false" ht="32.8" hidden="true" customHeight="false" outlineLevel="0" collapsed="false">
      <c r="A1" s="1" t="s">
        <v>98</v>
      </c>
      <c r="D1" s="1" t="s">
        <v>99</v>
      </c>
      <c r="F1" s="1" t="s">
        <v>100</v>
      </c>
      <c r="H1" s="1" t="s">
        <v>101</v>
      </c>
      <c r="J1" s="1" t="s">
        <v>102</v>
      </c>
      <c r="L1" s="1" t="s">
        <v>103</v>
      </c>
      <c r="N1" s="1" t="s">
        <v>104</v>
      </c>
      <c r="P1" s="1" t="s">
        <v>105</v>
      </c>
    </row>
    <row r="2" customFormat="false" ht="48.5" hidden="false" customHeight="false" outlineLevel="0" collapsed="false">
      <c r="B2" s="16" t="s">
        <v>106</v>
      </c>
      <c r="D2" s="1" t="s">
        <v>67</v>
      </c>
    </row>
    <row r="3" customFormat="false" ht="48.5" hidden="false" customHeight="false" outlineLevel="0" collapsed="false">
      <c r="B3" s="1" t="s">
        <v>68</v>
      </c>
      <c r="C3" s="18" t="b">
        <f aca="false">FALSE()</f>
        <v>0</v>
      </c>
      <c r="D3" s="1" t="s">
        <v>69</v>
      </c>
    </row>
    <row r="4" customFormat="false" ht="27.75" hidden="false" customHeight="true" outlineLevel="0" collapsed="false">
      <c r="B4" s="1" t="s">
        <v>70</v>
      </c>
      <c r="D4" s="19" t="s">
        <v>71</v>
      </c>
      <c r="E4" s="19"/>
      <c r="F4" s="19" t="s">
        <v>72</v>
      </c>
      <c r="G4" s="19"/>
      <c r="H4" s="19" t="s">
        <v>73</v>
      </c>
      <c r="I4" s="19"/>
      <c r="J4" s="19" t="s">
        <v>74</v>
      </c>
      <c r="K4" s="19"/>
      <c r="L4" s="19" t="s">
        <v>75</v>
      </c>
      <c r="M4" s="19"/>
      <c r="N4" s="19" t="s">
        <v>76</v>
      </c>
      <c r="O4" s="19"/>
      <c r="P4" s="19" t="s">
        <v>77</v>
      </c>
      <c r="Q4" s="19"/>
    </row>
    <row r="5" customFormat="false" ht="27.75" hidden="false" customHeight="true" outlineLevel="0" collapsed="false">
      <c r="B5" s="1" t="s">
        <v>78</v>
      </c>
      <c r="D5" s="19" t="s">
        <v>71</v>
      </c>
      <c r="E5" s="19"/>
      <c r="F5" s="19" t="s">
        <v>72</v>
      </c>
      <c r="G5" s="19"/>
      <c r="H5" s="19" t="s">
        <v>73</v>
      </c>
      <c r="I5" s="19"/>
      <c r="J5" s="19" t="s">
        <v>74</v>
      </c>
      <c r="K5" s="19"/>
      <c r="L5" s="19" t="s">
        <v>75</v>
      </c>
      <c r="M5" s="19"/>
      <c r="N5" s="19" t="s">
        <v>76</v>
      </c>
      <c r="O5" s="19"/>
      <c r="P5" s="19" t="s">
        <v>77</v>
      </c>
      <c r="Q5" s="19"/>
    </row>
    <row r="6" customFormat="false" ht="27.75" hidden="false" customHeight="true" outlineLevel="0" collapsed="false">
      <c r="B6" s="1" t="s">
        <v>79</v>
      </c>
      <c r="D6" s="16"/>
      <c r="E6" s="1" t="s">
        <v>80</v>
      </c>
      <c r="F6" s="16"/>
      <c r="G6" s="1" t="s">
        <v>80</v>
      </c>
      <c r="H6" s="16"/>
      <c r="I6" s="1" t="s">
        <v>80</v>
      </c>
      <c r="J6" s="16"/>
      <c r="K6" s="1" t="s">
        <v>80</v>
      </c>
      <c r="L6" s="16"/>
      <c r="M6" s="1" t="s">
        <v>80</v>
      </c>
      <c r="N6" s="16"/>
      <c r="O6" s="1" t="s">
        <v>80</v>
      </c>
      <c r="P6" s="16"/>
      <c r="Q6" s="1" t="s">
        <v>80</v>
      </c>
    </row>
    <row r="7" customFormat="false" ht="27.75" hidden="false" customHeight="true" outlineLevel="0" collapsed="false">
      <c r="B7" s="1" t="s">
        <v>81</v>
      </c>
      <c r="D7" s="16"/>
      <c r="E7" s="20" t="str">
        <f aca="false">IFERROR(INDEX(成員名單!$B$5:$B$34,MATCH(D7,成員名單!$A$5:$A$34,0))&amp;"","")</f>
        <v/>
      </c>
      <c r="F7" s="16"/>
      <c r="G7" s="20" t="str">
        <f aca="false">IFERROR(INDEX(成員名單!$B$5:$B$34,MATCH(F7,成員名單!$A$5:$A$34,0))&amp;"","")</f>
        <v/>
      </c>
      <c r="H7" s="16"/>
      <c r="I7" s="20" t="str">
        <f aca="false">IFERROR(INDEX(成員名單!$B$5:$B$34,MATCH(H7,成員名單!$A$5:$A$34,0))&amp;"","")</f>
        <v/>
      </c>
      <c r="J7" s="16"/>
      <c r="K7" s="20" t="str">
        <f aca="false">IFERROR(INDEX(成員名單!$B$5:$B$34,MATCH(J7,成員名單!$A$5:$A$34,0))&amp;"","")</f>
        <v/>
      </c>
      <c r="L7" s="16"/>
      <c r="M7" s="20" t="str">
        <f aca="false">IFERROR(INDEX(成員名單!$B$5:$B$34,MATCH(L7,成員名單!$A$5:$A$34,0))&amp;"","")</f>
        <v/>
      </c>
      <c r="N7" s="16"/>
      <c r="O7" s="20" t="str">
        <f aca="false">IFERROR(INDEX(成員名單!$B$5:$B$34,MATCH(N7,成員名單!$A$5:$A$34,0))&amp;"","")</f>
        <v/>
      </c>
      <c r="P7" s="16"/>
      <c r="Q7" s="20" t="str">
        <f aca="false">IFERROR(INDEX(成員名單!$B$5:$B$34,MATCH(P7,成員名單!$A$5:$A$34,0))&amp;"","")</f>
        <v/>
      </c>
    </row>
    <row r="8" customFormat="false" ht="27.75" hidden="false" customHeight="true" outlineLevel="0" collapsed="false">
      <c r="B8" s="1" t="s">
        <v>82</v>
      </c>
      <c r="D8" s="20" t="n">
        <f aca="false">IF(D$47,D$48,0)</f>
        <v>0</v>
      </c>
      <c r="E8" s="1" t="s">
        <v>83</v>
      </c>
      <c r="F8" s="20" t="n">
        <f aca="false">IF(F$47,F$48,0)</f>
        <v>0</v>
      </c>
      <c r="G8" s="1" t="s">
        <v>83</v>
      </c>
      <c r="H8" s="20" t="n">
        <f aca="false">IF(H$47,H$48,0)</f>
        <v>0</v>
      </c>
      <c r="I8" s="1" t="s">
        <v>83</v>
      </c>
      <c r="J8" s="20" t="n">
        <f aca="false">IF(J$47,J$48,0)</f>
        <v>0</v>
      </c>
      <c r="K8" s="1" t="s">
        <v>83</v>
      </c>
      <c r="L8" s="20" t="n">
        <f aca="false">IF(L$47,L$48,0)</f>
        <v>0</v>
      </c>
      <c r="M8" s="1" t="s">
        <v>83</v>
      </c>
      <c r="N8" s="20" t="n">
        <f aca="false">IF(N$47,N$48,0)</f>
        <v>0</v>
      </c>
      <c r="O8" s="1" t="s">
        <v>83</v>
      </c>
      <c r="P8" s="20" t="n">
        <f aca="false">IF(P$47,P$48,0)</f>
        <v>0</v>
      </c>
      <c r="Q8" s="1" t="s">
        <v>83</v>
      </c>
    </row>
    <row r="9" customFormat="false" ht="27.75" hidden="false" customHeight="true" outlineLevel="0" collapsed="false">
      <c r="B9" s="1" t="s">
        <v>84</v>
      </c>
      <c r="D9" s="21" t="str">
        <f aca="false">IF(OR(NOT(D$47),D$48=0),"暫不分攤",TEXT(QUOTIENT(D$46,MAX(1,D$48))/10,"0.0")&amp;IF(MOD(D$46,MAX(1,D$48))&gt;0,"–"&amp;TEXT((QUOTIENT(D$46,MAX(1,D$48))+1)/10,"0.0"),"")&amp;" 元／人")</f>
        <v>暫不分攤</v>
      </c>
      <c r="E9" s="21"/>
      <c r="F9" s="21" t="str">
        <f aca="false">IF(OR(NOT(F$47),F$48=0),"暫不分攤",TEXT(QUOTIENT(F$46,MAX(1,F$48))/10,"0.0")&amp;IF(MOD(F$46,MAX(1,F$48))&gt;0,"–"&amp;TEXT((QUOTIENT(F$46,MAX(1,F$48))+1)/10,"0.0"),"")&amp;" 元／人")</f>
        <v>暫不分攤</v>
      </c>
      <c r="G9" s="21"/>
      <c r="H9" s="21" t="str">
        <f aca="false">IF(OR(NOT(H$47),H$48=0),"暫不分攤",TEXT(QUOTIENT(H$46,MAX(1,H$48))/10,"0.0")&amp;IF(MOD(H$46,MAX(1,H$48))&gt;0,"–"&amp;TEXT((QUOTIENT(H$46,MAX(1,H$48))+1)/10,"0.0"),"")&amp;" 元／人")</f>
        <v>暫不分攤</v>
      </c>
      <c r="I9" s="21"/>
      <c r="J9" s="21" t="str">
        <f aca="false">IF(OR(NOT(J$47),J$48=0),"暫不分攤",TEXT(QUOTIENT(J$46,MAX(1,J$48))/10,"0.0")&amp;IF(MOD(J$46,MAX(1,J$48))&gt;0,"–"&amp;TEXT((QUOTIENT(J$46,MAX(1,J$48))+1)/10,"0.0"),"")&amp;" 元／人")</f>
        <v>暫不分攤</v>
      </c>
      <c r="K9" s="21"/>
      <c r="L9" s="21" t="str">
        <f aca="false">IF(OR(NOT(L$47),L$48=0),"暫不分攤",TEXT(QUOTIENT(L$46,MAX(1,L$48))/10,"0.0")&amp;IF(MOD(L$46,MAX(1,L$48))&gt;0,"–"&amp;TEXT((QUOTIENT(L$46,MAX(1,L$48))+1)/10,"0.0"),"")&amp;" 元／人")</f>
        <v>暫不分攤</v>
      </c>
      <c r="M9" s="21"/>
      <c r="N9" s="21" t="str">
        <f aca="false">IF(OR(NOT(N$47),N$48=0),"暫不分攤",TEXT(QUOTIENT(N$46,MAX(1,N$48))/10,"0.0")&amp;IF(MOD(N$46,MAX(1,N$48))&gt;0,"–"&amp;TEXT((QUOTIENT(N$46,MAX(1,N$48))+1)/10,"0.0"),"")&amp;" 元／人")</f>
        <v>暫不分攤</v>
      </c>
      <c r="O9" s="21"/>
      <c r="P9" s="21" t="str">
        <f aca="false">IF(OR(NOT(P$47),P$48=0),"暫不分攤",TEXT(QUOTIENT(P$46,MAX(1,P$48))/10,"0.0")&amp;IF(MOD(P$46,MAX(1,P$48))&gt;0,"–"&amp;TEXT((QUOTIENT(P$46,MAX(1,P$48))+1)/10,"0.0"),"")&amp;" 元／人")</f>
        <v>暫不分攤</v>
      </c>
      <c r="Q9" s="21"/>
    </row>
    <row r="10" customFormat="false" ht="81.75" hidden="false" customHeight="true" outlineLevel="0" collapsed="false">
      <c r="B10" s="1" t="s">
        <v>53</v>
      </c>
      <c r="D10" s="22" t="str">
        <f aca="false">IF(NOT(D$47),"金額須為非負數且最多一位小數。 ","")&amp;IF(AND(D$46&gt;0,D$50,$C$3&lt;&gt;TRUE()),"未用車但有車資：保留金額，暫不分攤。 ","")&amp;IF(AND(D$46&gt;0,D$50,$C$3=TRUE(),$C$49=0),"請設定具名司機；車資暫不分攤。 ","")&amp;IF(AND(D$46&gt;0,D$48=0,NOT(AND(D$46&gt;0,D$50,$C$3&lt;&gt;TRUE())),NOT(AND(D$46&gt;0,D$50,$C$3=TRUE(),$C$49=0))),"沒有可分攤者。 ","")&amp;IF(AND(D$46&gt;0,LEN(TRIM(E7))=0),"請指定具名代墊者。","")</f>
        <v/>
      </c>
      <c r="E10" s="22"/>
      <c r="F10" s="22" t="str">
        <f aca="false">IF(NOT(F$47),"金額須為非負數且最多一位小數。 ","")&amp;IF(AND(F$46&gt;0,F$50,$C$3&lt;&gt;TRUE()),"未用車但有車資：保留金額，暫不分攤。 ","")&amp;IF(AND(F$46&gt;0,F$50,$C$3=TRUE(),$C$49=0),"請設定具名司機；車資暫不分攤。 ","")&amp;IF(AND(F$46&gt;0,F$48=0,NOT(AND(F$46&gt;0,F$50,$C$3&lt;&gt;TRUE())),NOT(AND(F$46&gt;0,F$50,$C$3=TRUE(),$C$49=0))),"沒有可分攤者。 ","")&amp;IF(AND(F$46&gt;0,LEN(TRIM(G7))=0),"請指定具名代墊者。","")</f>
        <v/>
      </c>
      <c r="G10" s="22"/>
      <c r="H10" s="22" t="str">
        <f aca="false">IF(NOT(H$47),"金額須為非負數且最多一位小數。 ","")&amp;IF(AND(H$46&gt;0,H$50,$C$3&lt;&gt;TRUE()),"未用車但有車資：保留金額，暫不分攤。 ","")&amp;IF(AND(H$46&gt;0,H$50,$C$3=TRUE(),$C$49=0),"請設定具名司機；車資暫不分攤。 ","")&amp;IF(AND(H$46&gt;0,H$48=0,NOT(AND(H$46&gt;0,H$50,$C$3&lt;&gt;TRUE())),NOT(AND(H$46&gt;0,H$50,$C$3=TRUE(),$C$49=0))),"沒有可分攤者。 ","")&amp;IF(AND(H$46&gt;0,LEN(TRIM(I7))=0),"請指定具名代墊者。","")</f>
        <v/>
      </c>
      <c r="I10" s="22"/>
      <c r="J10" s="22" t="str">
        <f aca="false">IF(NOT(J$47),"金額須為非負數且最多一位小數。 ","")&amp;IF(AND(J$46&gt;0,J$50,$C$3&lt;&gt;TRUE()),"未用車但有車資：保留金額，暫不分攤。 ","")&amp;IF(AND(J$46&gt;0,J$50,$C$3=TRUE(),$C$49=0),"請設定具名司機；車資暫不分攤。 ","")&amp;IF(AND(J$46&gt;0,J$48=0,NOT(AND(J$46&gt;0,J$50,$C$3&lt;&gt;TRUE())),NOT(AND(J$46&gt;0,J$50,$C$3=TRUE(),$C$49=0))),"沒有可分攤者。 ","")&amp;IF(AND(J$46&gt;0,LEN(TRIM(K7))=0),"請指定具名代墊者。","")</f>
        <v/>
      </c>
      <c r="K10" s="22"/>
      <c r="L10" s="22" t="str">
        <f aca="false">IF(NOT(L$47),"金額須為非負數且最多一位小數。 ","")&amp;IF(AND(L$46&gt;0,L$50,$C$3&lt;&gt;TRUE()),"未用車但有車資：保留金額，暫不分攤。 ","")&amp;IF(AND(L$46&gt;0,L$50,$C$3=TRUE(),$C$49=0),"請設定具名司機；車資暫不分攤。 ","")&amp;IF(AND(L$46&gt;0,L$48=0,NOT(AND(L$46&gt;0,L$50,$C$3&lt;&gt;TRUE())),NOT(AND(L$46&gt;0,L$50,$C$3=TRUE(),$C$49=0))),"沒有可分攤者。 ","")&amp;IF(AND(L$46&gt;0,LEN(TRIM(M7))=0),"請指定具名代墊者。","")</f>
        <v/>
      </c>
      <c r="M10" s="22"/>
      <c r="N10" s="22" t="str">
        <f aca="false">IF(NOT(N$47),"金額須為非負數且最多一位小數。 ","")&amp;IF(AND(N$46&gt;0,N$50,$C$3&lt;&gt;TRUE()),"未用車但有車資：保留金額，暫不分攤。 ","")&amp;IF(AND(N$46&gt;0,N$50,$C$3=TRUE(),$C$49=0),"請設定具名司機；車資暫不分攤。 ","")&amp;IF(AND(N$46&gt;0,N$48=0,NOT(AND(N$46&gt;0,N$50,$C$3&lt;&gt;TRUE())),NOT(AND(N$46&gt;0,N$50,$C$3=TRUE(),$C$49=0))),"沒有可分攤者。 ","")&amp;IF(AND(N$46&gt;0,LEN(TRIM(O7))=0),"請指定具名代墊者。","")</f>
        <v/>
      </c>
      <c r="O10" s="22"/>
      <c r="P10" s="22" t="str">
        <f aca="false">IF(NOT(P$47),"金額須為非負數且最多一位小數。 ","")&amp;IF(AND(P$46&gt;0,P$50,$C$3&lt;&gt;TRUE()),"未用車但有車資：保留金額，暫不分攤。 ","")&amp;IF(AND(P$46&gt;0,P$50,$C$3=TRUE(),$C$49=0),"請設定具名司機；車資暫不分攤。 ","")&amp;IF(AND(P$46&gt;0,P$48=0,NOT(AND(P$46&gt;0,P$50,$C$3&lt;&gt;TRUE())),NOT(AND(P$46&gt;0,P$50,$C$3=TRUE(),$C$49=0))),"沒有可分攤者。 ","")&amp;IF(AND(P$46&gt;0,LEN(TRIM(Q7))=0),"請指定具名代墊者。","")</f>
        <v/>
      </c>
      <c r="Q10" s="22"/>
    </row>
    <row r="11" customFormat="false" ht="30" hidden="false" customHeight="true" outlineLevel="0" collapsed="false">
      <c r="A11" s="3" t="s">
        <v>8</v>
      </c>
      <c r="B11" s="3" t="s">
        <v>9</v>
      </c>
      <c r="C11" s="3" t="s">
        <v>85</v>
      </c>
      <c r="D11" s="3" t="s">
        <v>86</v>
      </c>
      <c r="E11" s="3" t="s">
        <v>87</v>
      </c>
      <c r="F11" s="3" t="s">
        <v>86</v>
      </c>
      <c r="G11" s="3" t="s">
        <v>87</v>
      </c>
      <c r="H11" s="3" t="s">
        <v>86</v>
      </c>
      <c r="I11" s="3" t="s">
        <v>87</v>
      </c>
      <c r="J11" s="3" t="s">
        <v>86</v>
      </c>
      <c r="K11" s="3" t="s">
        <v>87</v>
      </c>
      <c r="L11" s="3" t="s">
        <v>86</v>
      </c>
      <c r="M11" s="3" t="s">
        <v>87</v>
      </c>
      <c r="N11" s="3" t="s">
        <v>86</v>
      </c>
      <c r="O11" s="3" t="s">
        <v>87</v>
      </c>
      <c r="P11" s="3" t="s">
        <v>86</v>
      </c>
      <c r="Q11" s="3" t="s">
        <v>87</v>
      </c>
    </row>
    <row r="12" customFormat="false" ht="27" hidden="false" customHeight="true" outlineLevel="0" collapsed="false">
      <c r="A12" s="8" t="s">
        <v>18</v>
      </c>
      <c r="B12" s="9" t="str">
        <f aca="false">IFERROR(INDEX(成員名單!$B$5:$B$34,MATCH($A12,成員名單!$A$5:$A$34,0))&amp;"","")</f>
        <v/>
      </c>
      <c r="C12" s="23" t="b">
        <f aca="false">FALSE()</f>
        <v>0</v>
      </c>
      <c r="D12" s="23" t="b">
        <f aca="false">FALSE()</f>
        <v>0</v>
      </c>
      <c r="E12" s="9" t="n">
        <f aca="false">D52/10</f>
        <v>0</v>
      </c>
      <c r="F12" s="23" t="b">
        <f aca="false">FALSE()</f>
        <v>0</v>
      </c>
      <c r="G12" s="9" t="n">
        <f aca="false">F52/10</f>
        <v>0</v>
      </c>
      <c r="H12" s="23" t="b">
        <f aca="false">FALSE()</f>
        <v>0</v>
      </c>
      <c r="I12" s="9" t="n">
        <f aca="false">H52/10</f>
        <v>0</v>
      </c>
      <c r="J12" s="23" t="b">
        <f aca="false">FALSE()</f>
        <v>0</v>
      </c>
      <c r="K12" s="9" t="n">
        <f aca="false">J52/10</f>
        <v>0</v>
      </c>
      <c r="L12" s="23" t="b">
        <f aca="false">FALSE()</f>
        <v>0</v>
      </c>
      <c r="M12" s="9" t="n">
        <f aca="false">L52/10</f>
        <v>0</v>
      </c>
      <c r="N12" s="23" t="b">
        <f aca="false">FALSE()</f>
        <v>0</v>
      </c>
      <c r="O12" s="9" t="n">
        <f aca="false">N52/10</f>
        <v>0</v>
      </c>
      <c r="P12" s="23" t="b">
        <f aca="false">FALSE()</f>
        <v>0</v>
      </c>
      <c r="Q12" s="9" t="n">
        <f aca="false">P52/10</f>
        <v>0</v>
      </c>
    </row>
    <row r="13" customFormat="false" ht="27" hidden="false" customHeight="true" outlineLevel="0" collapsed="false">
      <c r="A13" s="10" t="s">
        <v>19</v>
      </c>
      <c r="B13" s="11" t="str">
        <f aca="false">IFERROR(INDEX(成員名單!$B$5:$B$34,MATCH($A13,成員名單!$A$5:$A$34,0))&amp;"","")</f>
        <v/>
      </c>
      <c r="C13" s="23" t="b">
        <f aca="false">FALSE()</f>
        <v>0</v>
      </c>
      <c r="D13" s="23" t="b">
        <f aca="false">FALSE()</f>
        <v>0</v>
      </c>
      <c r="E13" s="11" t="n">
        <f aca="false">D53/10</f>
        <v>0</v>
      </c>
      <c r="F13" s="23" t="b">
        <f aca="false">FALSE()</f>
        <v>0</v>
      </c>
      <c r="G13" s="11" t="n">
        <f aca="false">F53/10</f>
        <v>0</v>
      </c>
      <c r="H13" s="23" t="b">
        <f aca="false">FALSE()</f>
        <v>0</v>
      </c>
      <c r="I13" s="11" t="n">
        <f aca="false">H53/10</f>
        <v>0</v>
      </c>
      <c r="J13" s="23" t="b">
        <f aca="false">FALSE()</f>
        <v>0</v>
      </c>
      <c r="K13" s="11" t="n">
        <f aca="false">J53/10</f>
        <v>0</v>
      </c>
      <c r="L13" s="23" t="b">
        <f aca="false">FALSE()</f>
        <v>0</v>
      </c>
      <c r="M13" s="11" t="n">
        <f aca="false">L53/10</f>
        <v>0</v>
      </c>
      <c r="N13" s="23" t="b">
        <f aca="false">FALSE()</f>
        <v>0</v>
      </c>
      <c r="O13" s="11" t="n">
        <f aca="false">N53/10</f>
        <v>0</v>
      </c>
      <c r="P13" s="23" t="b">
        <f aca="false">FALSE()</f>
        <v>0</v>
      </c>
      <c r="Q13" s="11" t="n">
        <f aca="false">P53/10</f>
        <v>0</v>
      </c>
    </row>
    <row r="14" customFormat="false" ht="27" hidden="false" customHeight="true" outlineLevel="0" collapsed="false">
      <c r="A14" s="8" t="s">
        <v>20</v>
      </c>
      <c r="B14" s="9" t="str">
        <f aca="false">IFERROR(INDEX(成員名單!$B$5:$B$34,MATCH($A14,成員名單!$A$5:$A$34,0))&amp;"","")</f>
        <v/>
      </c>
      <c r="C14" s="23" t="b">
        <f aca="false">FALSE()</f>
        <v>0</v>
      </c>
      <c r="D14" s="23" t="b">
        <f aca="false">FALSE()</f>
        <v>0</v>
      </c>
      <c r="E14" s="9" t="n">
        <f aca="false">D54/10</f>
        <v>0</v>
      </c>
      <c r="F14" s="23" t="b">
        <f aca="false">FALSE()</f>
        <v>0</v>
      </c>
      <c r="G14" s="9" t="n">
        <f aca="false">F54/10</f>
        <v>0</v>
      </c>
      <c r="H14" s="23" t="b">
        <f aca="false">FALSE()</f>
        <v>0</v>
      </c>
      <c r="I14" s="9" t="n">
        <f aca="false">H54/10</f>
        <v>0</v>
      </c>
      <c r="J14" s="23" t="b">
        <f aca="false">FALSE()</f>
        <v>0</v>
      </c>
      <c r="K14" s="9" t="n">
        <f aca="false">J54/10</f>
        <v>0</v>
      </c>
      <c r="L14" s="23" t="b">
        <f aca="false">FALSE()</f>
        <v>0</v>
      </c>
      <c r="M14" s="9" t="n">
        <f aca="false">L54/10</f>
        <v>0</v>
      </c>
      <c r="N14" s="23" t="b">
        <f aca="false">FALSE()</f>
        <v>0</v>
      </c>
      <c r="O14" s="9" t="n">
        <f aca="false">N54/10</f>
        <v>0</v>
      </c>
      <c r="P14" s="23" t="b">
        <f aca="false">FALSE()</f>
        <v>0</v>
      </c>
      <c r="Q14" s="9" t="n">
        <f aca="false">P54/10</f>
        <v>0</v>
      </c>
    </row>
    <row r="15" customFormat="false" ht="27" hidden="false" customHeight="true" outlineLevel="0" collapsed="false">
      <c r="A15" s="10" t="s">
        <v>21</v>
      </c>
      <c r="B15" s="11" t="str">
        <f aca="false">IFERROR(INDEX(成員名單!$B$5:$B$34,MATCH($A15,成員名單!$A$5:$A$34,0))&amp;"","")</f>
        <v/>
      </c>
      <c r="C15" s="23" t="b">
        <f aca="false">FALSE()</f>
        <v>0</v>
      </c>
      <c r="D15" s="23" t="b">
        <f aca="false">FALSE()</f>
        <v>0</v>
      </c>
      <c r="E15" s="11" t="n">
        <f aca="false">D55/10</f>
        <v>0</v>
      </c>
      <c r="F15" s="23" t="b">
        <f aca="false">FALSE()</f>
        <v>0</v>
      </c>
      <c r="G15" s="11" t="n">
        <f aca="false">F55/10</f>
        <v>0</v>
      </c>
      <c r="H15" s="23" t="b">
        <f aca="false">FALSE()</f>
        <v>0</v>
      </c>
      <c r="I15" s="11" t="n">
        <f aca="false">H55/10</f>
        <v>0</v>
      </c>
      <c r="J15" s="23" t="b">
        <f aca="false">FALSE()</f>
        <v>0</v>
      </c>
      <c r="K15" s="11" t="n">
        <f aca="false">J55/10</f>
        <v>0</v>
      </c>
      <c r="L15" s="23" t="b">
        <f aca="false">FALSE()</f>
        <v>0</v>
      </c>
      <c r="M15" s="11" t="n">
        <f aca="false">L55/10</f>
        <v>0</v>
      </c>
      <c r="N15" s="23" t="b">
        <f aca="false">FALSE()</f>
        <v>0</v>
      </c>
      <c r="O15" s="11" t="n">
        <f aca="false">N55/10</f>
        <v>0</v>
      </c>
      <c r="P15" s="23" t="b">
        <f aca="false">FALSE()</f>
        <v>0</v>
      </c>
      <c r="Q15" s="11" t="n">
        <f aca="false">P55/10</f>
        <v>0</v>
      </c>
    </row>
    <row r="16" customFormat="false" ht="27" hidden="false" customHeight="true" outlineLevel="0" collapsed="false">
      <c r="A16" s="8" t="s">
        <v>22</v>
      </c>
      <c r="B16" s="9" t="str">
        <f aca="false">IFERROR(INDEX(成員名單!$B$5:$B$34,MATCH($A16,成員名單!$A$5:$A$34,0))&amp;"","")</f>
        <v/>
      </c>
      <c r="C16" s="23" t="b">
        <f aca="false">FALSE()</f>
        <v>0</v>
      </c>
      <c r="D16" s="23" t="b">
        <f aca="false">FALSE()</f>
        <v>0</v>
      </c>
      <c r="E16" s="9" t="n">
        <f aca="false">D56/10</f>
        <v>0</v>
      </c>
      <c r="F16" s="23" t="b">
        <f aca="false">FALSE()</f>
        <v>0</v>
      </c>
      <c r="G16" s="9" t="n">
        <f aca="false">F56/10</f>
        <v>0</v>
      </c>
      <c r="H16" s="23" t="b">
        <f aca="false">FALSE()</f>
        <v>0</v>
      </c>
      <c r="I16" s="9" t="n">
        <f aca="false">H56/10</f>
        <v>0</v>
      </c>
      <c r="J16" s="23" t="b">
        <f aca="false">FALSE()</f>
        <v>0</v>
      </c>
      <c r="K16" s="9" t="n">
        <f aca="false">J56/10</f>
        <v>0</v>
      </c>
      <c r="L16" s="23" t="b">
        <f aca="false">FALSE()</f>
        <v>0</v>
      </c>
      <c r="M16" s="9" t="n">
        <f aca="false">L56/10</f>
        <v>0</v>
      </c>
      <c r="N16" s="23" t="b">
        <f aca="false">FALSE()</f>
        <v>0</v>
      </c>
      <c r="O16" s="9" t="n">
        <f aca="false">N56/10</f>
        <v>0</v>
      </c>
      <c r="P16" s="23" t="b">
        <f aca="false">FALSE()</f>
        <v>0</v>
      </c>
      <c r="Q16" s="9" t="n">
        <f aca="false">P56/10</f>
        <v>0</v>
      </c>
    </row>
    <row r="17" customFormat="false" ht="27" hidden="false" customHeight="true" outlineLevel="0" collapsed="false">
      <c r="A17" s="10" t="s">
        <v>23</v>
      </c>
      <c r="B17" s="11" t="str">
        <f aca="false">IFERROR(INDEX(成員名單!$B$5:$B$34,MATCH($A17,成員名單!$A$5:$A$34,0))&amp;"","")</f>
        <v/>
      </c>
      <c r="C17" s="23" t="b">
        <f aca="false">FALSE()</f>
        <v>0</v>
      </c>
      <c r="D17" s="23" t="b">
        <f aca="false">FALSE()</f>
        <v>0</v>
      </c>
      <c r="E17" s="11" t="n">
        <f aca="false">D57/10</f>
        <v>0</v>
      </c>
      <c r="F17" s="23" t="b">
        <f aca="false">FALSE()</f>
        <v>0</v>
      </c>
      <c r="G17" s="11" t="n">
        <f aca="false">F57/10</f>
        <v>0</v>
      </c>
      <c r="H17" s="23" t="b">
        <f aca="false">FALSE()</f>
        <v>0</v>
      </c>
      <c r="I17" s="11" t="n">
        <f aca="false">H57/10</f>
        <v>0</v>
      </c>
      <c r="J17" s="23" t="b">
        <f aca="false">FALSE()</f>
        <v>0</v>
      </c>
      <c r="K17" s="11" t="n">
        <f aca="false">J57/10</f>
        <v>0</v>
      </c>
      <c r="L17" s="23" t="b">
        <f aca="false">FALSE()</f>
        <v>0</v>
      </c>
      <c r="M17" s="11" t="n">
        <f aca="false">L57/10</f>
        <v>0</v>
      </c>
      <c r="N17" s="23" t="b">
        <f aca="false">FALSE()</f>
        <v>0</v>
      </c>
      <c r="O17" s="11" t="n">
        <f aca="false">N57/10</f>
        <v>0</v>
      </c>
      <c r="P17" s="23" t="b">
        <f aca="false">FALSE()</f>
        <v>0</v>
      </c>
      <c r="Q17" s="11" t="n">
        <f aca="false">P57/10</f>
        <v>0</v>
      </c>
    </row>
    <row r="18" customFormat="false" ht="27" hidden="false" customHeight="true" outlineLevel="0" collapsed="false">
      <c r="A18" s="8" t="s">
        <v>24</v>
      </c>
      <c r="B18" s="9" t="str">
        <f aca="false">IFERROR(INDEX(成員名單!$B$5:$B$34,MATCH($A18,成員名單!$A$5:$A$34,0))&amp;"","")</f>
        <v/>
      </c>
      <c r="C18" s="23" t="b">
        <f aca="false">FALSE()</f>
        <v>0</v>
      </c>
      <c r="D18" s="23" t="b">
        <f aca="false">FALSE()</f>
        <v>0</v>
      </c>
      <c r="E18" s="9" t="n">
        <f aca="false">D58/10</f>
        <v>0</v>
      </c>
      <c r="F18" s="23" t="b">
        <f aca="false">FALSE()</f>
        <v>0</v>
      </c>
      <c r="G18" s="9" t="n">
        <f aca="false">F58/10</f>
        <v>0</v>
      </c>
      <c r="H18" s="23" t="b">
        <f aca="false">FALSE()</f>
        <v>0</v>
      </c>
      <c r="I18" s="9" t="n">
        <f aca="false">H58/10</f>
        <v>0</v>
      </c>
      <c r="J18" s="23" t="b">
        <f aca="false">FALSE()</f>
        <v>0</v>
      </c>
      <c r="K18" s="9" t="n">
        <f aca="false">J58/10</f>
        <v>0</v>
      </c>
      <c r="L18" s="23" t="b">
        <f aca="false">FALSE()</f>
        <v>0</v>
      </c>
      <c r="M18" s="9" t="n">
        <f aca="false">L58/10</f>
        <v>0</v>
      </c>
      <c r="N18" s="23" t="b">
        <f aca="false">FALSE()</f>
        <v>0</v>
      </c>
      <c r="O18" s="9" t="n">
        <f aca="false">N58/10</f>
        <v>0</v>
      </c>
      <c r="P18" s="23" t="b">
        <f aca="false">FALSE()</f>
        <v>0</v>
      </c>
      <c r="Q18" s="9" t="n">
        <f aca="false">P58/10</f>
        <v>0</v>
      </c>
    </row>
    <row r="19" customFormat="false" ht="27" hidden="false" customHeight="true" outlineLevel="0" collapsed="false">
      <c r="A19" s="10" t="s">
        <v>25</v>
      </c>
      <c r="B19" s="11" t="str">
        <f aca="false">IFERROR(INDEX(成員名單!$B$5:$B$34,MATCH($A19,成員名單!$A$5:$A$34,0))&amp;"","")</f>
        <v/>
      </c>
      <c r="C19" s="23" t="b">
        <f aca="false">FALSE()</f>
        <v>0</v>
      </c>
      <c r="D19" s="23" t="b">
        <f aca="false">FALSE()</f>
        <v>0</v>
      </c>
      <c r="E19" s="11" t="n">
        <f aca="false">D59/10</f>
        <v>0</v>
      </c>
      <c r="F19" s="23" t="b">
        <f aca="false">FALSE()</f>
        <v>0</v>
      </c>
      <c r="G19" s="11" t="n">
        <f aca="false">F59/10</f>
        <v>0</v>
      </c>
      <c r="H19" s="23" t="b">
        <f aca="false">FALSE()</f>
        <v>0</v>
      </c>
      <c r="I19" s="11" t="n">
        <f aca="false">H59/10</f>
        <v>0</v>
      </c>
      <c r="J19" s="23" t="b">
        <f aca="false">FALSE()</f>
        <v>0</v>
      </c>
      <c r="K19" s="11" t="n">
        <f aca="false">J59/10</f>
        <v>0</v>
      </c>
      <c r="L19" s="23" t="b">
        <f aca="false">FALSE()</f>
        <v>0</v>
      </c>
      <c r="M19" s="11" t="n">
        <f aca="false">L59/10</f>
        <v>0</v>
      </c>
      <c r="N19" s="23" t="b">
        <f aca="false">FALSE()</f>
        <v>0</v>
      </c>
      <c r="O19" s="11" t="n">
        <f aca="false">N59/10</f>
        <v>0</v>
      </c>
      <c r="P19" s="23" t="b">
        <f aca="false">FALSE()</f>
        <v>0</v>
      </c>
      <c r="Q19" s="11" t="n">
        <f aca="false">P59/10</f>
        <v>0</v>
      </c>
    </row>
    <row r="20" customFormat="false" ht="27" hidden="false" customHeight="true" outlineLevel="0" collapsed="false">
      <c r="A20" s="8" t="s">
        <v>26</v>
      </c>
      <c r="B20" s="9" t="str">
        <f aca="false">IFERROR(INDEX(成員名單!$B$5:$B$34,MATCH($A20,成員名單!$A$5:$A$34,0))&amp;"","")</f>
        <v/>
      </c>
      <c r="C20" s="23" t="b">
        <f aca="false">FALSE()</f>
        <v>0</v>
      </c>
      <c r="D20" s="23" t="b">
        <f aca="false">FALSE()</f>
        <v>0</v>
      </c>
      <c r="E20" s="9" t="n">
        <f aca="false">D60/10</f>
        <v>0</v>
      </c>
      <c r="F20" s="23" t="b">
        <f aca="false">FALSE()</f>
        <v>0</v>
      </c>
      <c r="G20" s="9" t="n">
        <f aca="false">F60/10</f>
        <v>0</v>
      </c>
      <c r="H20" s="23" t="b">
        <f aca="false">FALSE()</f>
        <v>0</v>
      </c>
      <c r="I20" s="9" t="n">
        <f aca="false">H60/10</f>
        <v>0</v>
      </c>
      <c r="J20" s="23" t="b">
        <f aca="false">FALSE()</f>
        <v>0</v>
      </c>
      <c r="K20" s="9" t="n">
        <f aca="false">J60/10</f>
        <v>0</v>
      </c>
      <c r="L20" s="23" t="b">
        <f aca="false">FALSE()</f>
        <v>0</v>
      </c>
      <c r="M20" s="9" t="n">
        <f aca="false">L60/10</f>
        <v>0</v>
      </c>
      <c r="N20" s="23" t="b">
        <f aca="false">FALSE()</f>
        <v>0</v>
      </c>
      <c r="O20" s="9" t="n">
        <f aca="false">N60/10</f>
        <v>0</v>
      </c>
      <c r="P20" s="23" t="b">
        <f aca="false">FALSE()</f>
        <v>0</v>
      </c>
      <c r="Q20" s="9" t="n">
        <f aca="false">P60/10</f>
        <v>0</v>
      </c>
    </row>
    <row r="21" customFormat="false" ht="27" hidden="false" customHeight="true" outlineLevel="0" collapsed="false">
      <c r="A21" s="10" t="s">
        <v>27</v>
      </c>
      <c r="B21" s="11" t="str">
        <f aca="false">IFERROR(INDEX(成員名單!$B$5:$B$34,MATCH($A21,成員名單!$A$5:$A$34,0))&amp;"","")</f>
        <v/>
      </c>
      <c r="C21" s="23" t="b">
        <f aca="false">FALSE()</f>
        <v>0</v>
      </c>
      <c r="D21" s="23" t="b">
        <f aca="false">FALSE()</f>
        <v>0</v>
      </c>
      <c r="E21" s="11" t="n">
        <f aca="false">D61/10</f>
        <v>0</v>
      </c>
      <c r="F21" s="23" t="b">
        <f aca="false">FALSE()</f>
        <v>0</v>
      </c>
      <c r="G21" s="11" t="n">
        <f aca="false">F61/10</f>
        <v>0</v>
      </c>
      <c r="H21" s="23" t="b">
        <f aca="false">FALSE()</f>
        <v>0</v>
      </c>
      <c r="I21" s="11" t="n">
        <f aca="false">H61/10</f>
        <v>0</v>
      </c>
      <c r="J21" s="23" t="b">
        <f aca="false">FALSE()</f>
        <v>0</v>
      </c>
      <c r="K21" s="11" t="n">
        <f aca="false">J61/10</f>
        <v>0</v>
      </c>
      <c r="L21" s="23" t="b">
        <f aca="false">FALSE()</f>
        <v>0</v>
      </c>
      <c r="M21" s="11" t="n">
        <f aca="false">L61/10</f>
        <v>0</v>
      </c>
      <c r="N21" s="23" t="b">
        <f aca="false">FALSE()</f>
        <v>0</v>
      </c>
      <c r="O21" s="11" t="n">
        <f aca="false">N61/10</f>
        <v>0</v>
      </c>
      <c r="P21" s="23" t="b">
        <f aca="false">FALSE()</f>
        <v>0</v>
      </c>
      <c r="Q21" s="11" t="n">
        <f aca="false">P61/10</f>
        <v>0</v>
      </c>
    </row>
    <row r="22" customFormat="false" ht="27" hidden="false" customHeight="true" outlineLevel="0" collapsed="false">
      <c r="A22" s="8" t="s">
        <v>28</v>
      </c>
      <c r="B22" s="9" t="str">
        <f aca="false">IFERROR(INDEX(成員名單!$B$5:$B$34,MATCH($A22,成員名單!$A$5:$A$34,0))&amp;"","")</f>
        <v/>
      </c>
      <c r="C22" s="23" t="b">
        <f aca="false">FALSE()</f>
        <v>0</v>
      </c>
      <c r="D22" s="23" t="b">
        <f aca="false">FALSE()</f>
        <v>0</v>
      </c>
      <c r="E22" s="9" t="n">
        <f aca="false">D62/10</f>
        <v>0</v>
      </c>
      <c r="F22" s="23" t="b">
        <f aca="false">FALSE()</f>
        <v>0</v>
      </c>
      <c r="G22" s="9" t="n">
        <f aca="false">F62/10</f>
        <v>0</v>
      </c>
      <c r="H22" s="23" t="b">
        <f aca="false">FALSE()</f>
        <v>0</v>
      </c>
      <c r="I22" s="9" t="n">
        <f aca="false">H62/10</f>
        <v>0</v>
      </c>
      <c r="J22" s="23" t="b">
        <f aca="false">FALSE()</f>
        <v>0</v>
      </c>
      <c r="K22" s="9" t="n">
        <f aca="false">J62/10</f>
        <v>0</v>
      </c>
      <c r="L22" s="23" t="b">
        <f aca="false">FALSE()</f>
        <v>0</v>
      </c>
      <c r="M22" s="9" t="n">
        <f aca="false">L62/10</f>
        <v>0</v>
      </c>
      <c r="N22" s="23" t="b">
        <f aca="false">FALSE()</f>
        <v>0</v>
      </c>
      <c r="O22" s="9" t="n">
        <f aca="false">N62/10</f>
        <v>0</v>
      </c>
      <c r="P22" s="23" t="b">
        <f aca="false">FALSE()</f>
        <v>0</v>
      </c>
      <c r="Q22" s="9" t="n">
        <f aca="false">P62/10</f>
        <v>0</v>
      </c>
    </row>
    <row r="23" customFormat="false" ht="27" hidden="false" customHeight="true" outlineLevel="0" collapsed="false">
      <c r="A23" s="10" t="s">
        <v>29</v>
      </c>
      <c r="B23" s="11" t="str">
        <f aca="false">IFERROR(INDEX(成員名單!$B$5:$B$34,MATCH($A23,成員名單!$A$5:$A$34,0))&amp;"","")</f>
        <v/>
      </c>
      <c r="C23" s="23" t="b">
        <f aca="false">FALSE()</f>
        <v>0</v>
      </c>
      <c r="D23" s="23" t="b">
        <f aca="false">FALSE()</f>
        <v>0</v>
      </c>
      <c r="E23" s="11" t="n">
        <f aca="false">D63/10</f>
        <v>0</v>
      </c>
      <c r="F23" s="23" t="b">
        <f aca="false">FALSE()</f>
        <v>0</v>
      </c>
      <c r="G23" s="11" t="n">
        <f aca="false">F63/10</f>
        <v>0</v>
      </c>
      <c r="H23" s="23" t="b">
        <f aca="false">FALSE()</f>
        <v>0</v>
      </c>
      <c r="I23" s="11" t="n">
        <f aca="false">H63/10</f>
        <v>0</v>
      </c>
      <c r="J23" s="23" t="b">
        <f aca="false">FALSE()</f>
        <v>0</v>
      </c>
      <c r="K23" s="11" t="n">
        <f aca="false">J63/10</f>
        <v>0</v>
      </c>
      <c r="L23" s="23" t="b">
        <f aca="false">FALSE()</f>
        <v>0</v>
      </c>
      <c r="M23" s="11" t="n">
        <f aca="false">L63/10</f>
        <v>0</v>
      </c>
      <c r="N23" s="23" t="b">
        <f aca="false">FALSE()</f>
        <v>0</v>
      </c>
      <c r="O23" s="11" t="n">
        <f aca="false">N63/10</f>
        <v>0</v>
      </c>
      <c r="P23" s="23" t="b">
        <f aca="false">FALSE()</f>
        <v>0</v>
      </c>
      <c r="Q23" s="11" t="n">
        <f aca="false">P63/10</f>
        <v>0</v>
      </c>
    </row>
    <row r="24" customFormat="false" ht="27" hidden="false" customHeight="true" outlineLevel="0" collapsed="false">
      <c r="A24" s="8" t="s">
        <v>30</v>
      </c>
      <c r="B24" s="9" t="str">
        <f aca="false">IFERROR(INDEX(成員名單!$B$5:$B$34,MATCH($A24,成員名單!$A$5:$A$34,0))&amp;"","")</f>
        <v/>
      </c>
      <c r="C24" s="23" t="b">
        <f aca="false">FALSE()</f>
        <v>0</v>
      </c>
      <c r="D24" s="23" t="b">
        <f aca="false">FALSE()</f>
        <v>0</v>
      </c>
      <c r="E24" s="9" t="n">
        <f aca="false">D64/10</f>
        <v>0</v>
      </c>
      <c r="F24" s="23" t="b">
        <f aca="false">FALSE()</f>
        <v>0</v>
      </c>
      <c r="G24" s="9" t="n">
        <f aca="false">F64/10</f>
        <v>0</v>
      </c>
      <c r="H24" s="23" t="b">
        <f aca="false">FALSE()</f>
        <v>0</v>
      </c>
      <c r="I24" s="9" t="n">
        <f aca="false">H64/10</f>
        <v>0</v>
      </c>
      <c r="J24" s="23" t="b">
        <f aca="false">FALSE()</f>
        <v>0</v>
      </c>
      <c r="K24" s="9" t="n">
        <f aca="false">J64/10</f>
        <v>0</v>
      </c>
      <c r="L24" s="23" t="b">
        <f aca="false">FALSE()</f>
        <v>0</v>
      </c>
      <c r="M24" s="9" t="n">
        <f aca="false">L64/10</f>
        <v>0</v>
      </c>
      <c r="N24" s="23" t="b">
        <f aca="false">FALSE()</f>
        <v>0</v>
      </c>
      <c r="O24" s="9" t="n">
        <f aca="false">N64/10</f>
        <v>0</v>
      </c>
      <c r="P24" s="23" t="b">
        <f aca="false">FALSE()</f>
        <v>0</v>
      </c>
      <c r="Q24" s="9" t="n">
        <f aca="false">P64/10</f>
        <v>0</v>
      </c>
    </row>
    <row r="25" customFormat="false" ht="27" hidden="false" customHeight="true" outlineLevel="0" collapsed="false">
      <c r="A25" s="10" t="s">
        <v>31</v>
      </c>
      <c r="B25" s="11" t="str">
        <f aca="false">IFERROR(INDEX(成員名單!$B$5:$B$34,MATCH($A25,成員名單!$A$5:$A$34,0))&amp;"","")</f>
        <v/>
      </c>
      <c r="C25" s="23" t="b">
        <f aca="false">FALSE()</f>
        <v>0</v>
      </c>
      <c r="D25" s="23" t="b">
        <f aca="false">FALSE()</f>
        <v>0</v>
      </c>
      <c r="E25" s="11" t="n">
        <f aca="false">D65/10</f>
        <v>0</v>
      </c>
      <c r="F25" s="23" t="b">
        <f aca="false">FALSE()</f>
        <v>0</v>
      </c>
      <c r="G25" s="11" t="n">
        <f aca="false">F65/10</f>
        <v>0</v>
      </c>
      <c r="H25" s="23" t="b">
        <f aca="false">FALSE()</f>
        <v>0</v>
      </c>
      <c r="I25" s="11" t="n">
        <f aca="false">H65/10</f>
        <v>0</v>
      </c>
      <c r="J25" s="23" t="b">
        <f aca="false">FALSE()</f>
        <v>0</v>
      </c>
      <c r="K25" s="11" t="n">
        <f aca="false">J65/10</f>
        <v>0</v>
      </c>
      <c r="L25" s="23" t="b">
        <f aca="false">FALSE()</f>
        <v>0</v>
      </c>
      <c r="M25" s="11" t="n">
        <f aca="false">L65/10</f>
        <v>0</v>
      </c>
      <c r="N25" s="23" t="b">
        <f aca="false">FALSE()</f>
        <v>0</v>
      </c>
      <c r="O25" s="11" t="n">
        <f aca="false">N65/10</f>
        <v>0</v>
      </c>
      <c r="P25" s="23" t="b">
        <f aca="false">FALSE()</f>
        <v>0</v>
      </c>
      <c r="Q25" s="11" t="n">
        <f aca="false">P65/10</f>
        <v>0</v>
      </c>
    </row>
    <row r="26" customFormat="false" ht="27" hidden="false" customHeight="true" outlineLevel="0" collapsed="false">
      <c r="A26" s="8" t="s">
        <v>32</v>
      </c>
      <c r="B26" s="9" t="str">
        <f aca="false">IFERROR(INDEX(成員名單!$B$5:$B$34,MATCH($A26,成員名單!$A$5:$A$34,0))&amp;"","")</f>
        <v/>
      </c>
      <c r="C26" s="23" t="b">
        <f aca="false">FALSE()</f>
        <v>0</v>
      </c>
      <c r="D26" s="23" t="b">
        <f aca="false">FALSE()</f>
        <v>0</v>
      </c>
      <c r="E26" s="9" t="n">
        <f aca="false">D66/10</f>
        <v>0</v>
      </c>
      <c r="F26" s="23" t="b">
        <f aca="false">FALSE()</f>
        <v>0</v>
      </c>
      <c r="G26" s="9" t="n">
        <f aca="false">F66/10</f>
        <v>0</v>
      </c>
      <c r="H26" s="23" t="b">
        <f aca="false">FALSE()</f>
        <v>0</v>
      </c>
      <c r="I26" s="9" t="n">
        <f aca="false">H66/10</f>
        <v>0</v>
      </c>
      <c r="J26" s="23" t="b">
        <f aca="false">FALSE()</f>
        <v>0</v>
      </c>
      <c r="K26" s="9" t="n">
        <f aca="false">J66/10</f>
        <v>0</v>
      </c>
      <c r="L26" s="23" t="b">
        <f aca="false">FALSE()</f>
        <v>0</v>
      </c>
      <c r="M26" s="9" t="n">
        <f aca="false">L66/10</f>
        <v>0</v>
      </c>
      <c r="N26" s="23" t="b">
        <f aca="false">FALSE()</f>
        <v>0</v>
      </c>
      <c r="O26" s="9" t="n">
        <f aca="false">N66/10</f>
        <v>0</v>
      </c>
      <c r="P26" s="23" t="b">
        <f aca="false">FALSE()</f>
        <v>0</v>
      </c>
      <c r="Q26" s="9" t="n">
        <f aca="false">P66/10</f>
        <v>0</v>
      </c>
    </row>
    <row r="27" customFormat="false" ht="27" hidden="false" customHeight="true" outlineLevel="0" collapsed="false">
      <c r="A27" s="10" t="s">
        <v>33</v>
      </c>
      <c r="B27" s="11" t="str">
        <f aca="false">IFERROR(INDEX(成員名單!$B$5:$B$34,MATCH($A27,成員名單!$A$5:$A$34,0))&amp;"","")</f>
        <v/>
      </c>
      <c r="C27" s="23" t="b">
        <f aca="false">FALSE()</f>
        <v>0</v>
      </c>
      <c r="D27" s="23" t="b">
        <f aca="false">FALSE()</f>
        <v>0</v>
      </c>
      <c r="E27" s="11" t="n">
        <f aca="false">D67/10</f>
        <v>0</v>
      </c>
      <c r="F27" s="23" t="b">
        <f aca="false">FALSE()</f>
        <v>0</v>
      </c>
      <c r="G27" s="11" t="n">
        <f aca="false">F67/10</f>
        <v>0</v>
      </c>
      <c r="H27" s="23" t="b">
        <f aca="false">FALSE()</f>
        <v>0</v>
      </c>
      <c r="I27" s="11" t="n">
        <f aca="false">H67/10</f>
        <v>0</v>
      </c>
      <c r="J27" s="23" t="b">
        <f aca="false">FALSE()</f>
        <v>0</v>
      </c>
      <c r="K27" s="11" t="n">
        <f aca="false">J67/10</f>
        <v>0</v>
      </c>
      <c r="L27" s="23" t="b">
        <f aca="false">FALSE()</f>
        <v>0</v>
      </c>
      <c r="M27" s="11" t="n">
        <f aca="false">L67/10</f>
        <v>0</v>
      </c>
      <c r="N27" s="23" t="b">
        <f aca="false">FALSE()</f>
        <v>0</v>
      </c>
      <c r="O27" s="11" t="n">
        <f aca="false">N67/10</f>
        <v>0</v>
      </c>
      <c r="P27" s="23" t="b">
        <f aca="false">FALSE()</f>
        <v>0</v>
      </c>
      <c r="Q27" s="11" t="n">
        <f aca="false">P67/10</f>
        <v>0</v>
      </c>
    </row>
    <row r="28" customFormat="false" ht="27" hidden="false" customHeight="true" outlineLevel="0" collapsed="false">
      <c r="A28" s="8" t="s">
        <v>34</v>
      </c>
      <c r="B28" s="9" t="str">
        <f aca="false">IFERROR(INDEX(成員名單!$B$5:$B$34,MATCH($A28,成員名單!$A$5:$A$34,0))&amp;"","")</f>
        <v/>
      </c>
      <c r="C28" s="23" t="b">
        <f aca="false">FALSE()</f>
        <v>0</v>
      </c>
      <c r="D28" s="23" t="b">
        <f aca="false">FALSE()</f>
        <v>0</v>
      </c>
      <c r="E28" s="9" t="n">
        <f aca="false">D68/10</f>
        <v>0</v>
      </c>
      <c r="F28" s="23" t="b">
        <f aca="false">FALSE()</f>
        <v>0</v>
      </c>
      <c r="G28" s="9" t="n">
        <f aca="false">F68/10</f>
        <v>0</v>
      </c>
      <c r="H28" s="23" t="b">
        <f aca="false">FALSE()</f>
        <v>0</v>
      </c>
      <c r="I28" s="9" t="n">
        <f aca="false">H68/10</f>
        <v>0</v>
      </c>
      <c r="J28" s="23" t="b">
        <f aca="false">FALSE()</f>
        <v>0</v>
      </c>
      <c r="K28" s="9" t="n">
        <f aca="false">J68/10</f>
        <v>0</v>
      </c>
      <c r="L28" s="23" t="b">
        <f aca="false">FALSE()</f>
        <v>0</v>
      </c>
      <c r="M28" s="9" t="n">
        <f aca="false">L68/10</f>
        <v>0</v>
      </c>
      <c r="N28" s="23" t="b">
        <f aca="false">FALSE()</f>
        <v>0</v>
      </c>
      <c r="O28" s="9" t="n">
        <f aca="false">N68/10</f>
        <v>0</v>
      </c>
      <c r="P28" s="23" t="b">
        <f aca="false">FALSE()</f>
        <v>0</v>
      </c>
      <c r="Q28" s="9" t="n">
        <f aca="false">P68/10</f>
        <v>0</v>
      </c>
    </row>
    <row r="29" customFormat="false" ht="27" hidden="false" customHeight="true" outlineLevel="0" collapsed="false">
      <c r="A29" s="10" t="s">
        <v>35</v>
      </c>
      <c r="B29" s="11" t="str">
        <f aca="false">IFERROR(INDEX(成員名單!$B$5:$B$34,MATCH($A29,成員名單!$A$5:$A$34,0))&amp;"","")</f>
        <v/>
      </c>
      <c r="C29" s="23" t="b">
        <f aca="false">FALSE()</f>
        <v>0</v>
      </c>
      <c r="D29" s="23" t="b">
        <f aca="false">FALSE()</f>
        <v>0</v>
      </c>
      <c r="E29" s="11" t="n">
        <f aca="false">D69/10</f>
        <v>0</v>
      </c>
      <c r="F29" s="23" t="b">
        <f aca="false">FALSE()</f>
        <v>0</v>
      </c>
      <c r="G29" s="11" t="n">
        <f aca="false">F69/10</f>
        <v>0</v>
      </c>
      <c r="H29" s="23" t="b">
        <f aca="false">FALSE()</f>
        <v>0</v>
      </c>
      <c r="I29" s="11" t="n">
        <f aca="false">H69/10</f>
        <v>0</v>
      </c>
      <c r="J29" s="23" t="b">
        <f aca="false">FALSE()</f>
        <v>0</v>
      </c>
      <c r="K29" s="11" t="n">
        <f aca="false">J69/10</f>
        <v>0</v>
      </c>
      <c r="L29" s="23" t="b">
        <f aca="false">FALSE()</f>
        <v>0</v>
      </c>
      <c r="M29" s="11" t="n">
        <f aca="false">L69/10</f>
        <v>0</v>
      </c>
      <c r="N29" s="23" t="b">
        <f aca="false">FALSE()</f>
        <v>0</v>
      </c>
      <c r="O29" s="11" t="n">
        <f aca="false">N69/10</f>
        <v>0</v>
      </c>
      <c r="P29" s="23" t="b">
        <f aca="false">FALSE()</f>
        <v>0</v>
      </c>
      <c r="Q29" s="11" t="n">
        <f aca="false">P69/10</f>
        <v>0</v>
      </c>
    </row>
    <row r="30" customFormat="false" ht="27" hidden="false" customHeight="true" outlineLevel="0" collapsed="false">
      <c r="A30" s="8" t="s">
        <v>36</v>
      </c>
      <c r="B30" s="9" t="str">
        <f aca="false">IFERROR(INDEX(成員名單!$B$5:$B$34,MATCH($A30,成員名單!$A$5:$A$34,0))&amp;"","")</f>
        <v/>
      </c>
      <c r="C30" s="23" t="b">
        <f aca="false">FALSE()</f>
        <v>0</v>
      </c>
      <c r="D30" s="23" t="b">
        <f aca="false">FALSE()</f>
        <v>0</v>
      </c>
      <c r="E30" s="9" t="n">
        <f aca="false">D70/10</f>
        <v>0</v>
      </c>
      <c r="F30" s="23" t="b">
        <f aca="false">FALSE()</f>
        <v>0</v>
      </c>
      <c r="G30" s="9" t="n">
        <f aca="false">F70/10</f>
        <v>0</v>
      </c>
      <c r="H30" s="23" t="b">
        <f aca="false">FALSE()</f>
        <v>0</v>
      </c>
      <c r="I30" s="9" t="n">
        <f aca="false">H70/10</f>
        <v>0</v>
      </c>
      <c r="J30" s="23" t="b">
        <f aca="false">FALSE()</f>
        <v>0</v>
      </c>
      <c r="K30" s="9" t="n">
        <f aca="false">J70/10</f>
        <v>0</v>
      </c>
      <c r="L30" s="23" t="b">
        <f aca="false">FALSE()</f>
        <v>0</v>
      </c>
      <c r="M30" s="9" t="n">
        <f aca="false">L70/10</f>
        <v>0</v>
      </c>
      <c r="N30" s="23" t="b">
        <f aca="false">FALSE()</f>
        <v>0</v>
      </c>
      <c r="O30" s="9" t="n">
        <f aca="false">N70/10</f>
        <v>0</v>
      </c>
      <c r="P30" s="23" t="b">
        <f aca="false">FALSE()</f>
        <v>0</v>
      </c>
      <c r="Q30" s="9" t="n">
        <f aca="false">P70/10</f>
        <v>0</v>
      </c>
    </row>
    <row r="31" customFormat="false" ht="27" hidden="false" customHeight="true" outlineLevel="0" collapsed="false">
      <c r="A31" s="10" t="s">
        <v>37</v>
      </c>
      <c r="B31" s="11" t="str">
        <f aca="false">IFERROR(INDEX(成員名單!$B$5:$B$34,MATCH($A31,成員名單!$A$5:$A$34,0))&amp;"","")</f>
        <v/>
      </c>
      <c r="C31" s="23" t="b">
        <f aca="false">FALSE()</f>
        <v>0</v>
      </c>
      <c r="D31" s="23" t="b">
        <f aca="false">FALSE()</f>
        <v>0</v>
      </c>
      <c r="E31" s="11" t="n">
        <f aca="false">D71/10</f>
        <v>0</v>
      </c>
      <c r="F31" s="23" t="b">
        <f aca="false">FALSE()</f>
        <v>0</v>
      </c>
      <c r="G31" s="11" t="n">
        <f aca="false">F71/10</f>
        <v>0</v>
      </c>
      <c r="H31" s="23" t="b">
        <f aca="false">FALSE()</f>
        <v>0</v>
      </c>
      <c r="I31" s="11" t="n">
        <f aca="false">H71/10</f>
        <v>0</v>
      </c>
      <c r="J31" s="23" t="b">
        <f aca="false">FALSE()</f>
        <v>0</v>
      </c>
      <c r="K31" s="11" t="n">
        <f aca="false">J71/10</f>
        <v>0</v>
      </c>
      <c r="L31" s="23" t="b">
        <f aca="false">FALSE()</f>
        <v>0</v>
      </c>
      <c r="M31" s="11" t="n">
        <f aca="false">L71/10</f>
        <v>0</v>
      </c>
      <c r="N31" s="23" t="b">
        <f aca="false">FALSE()</f>
        <v>0</v>
      </c>
      <c r="O31" s="11" t="n">
        <f aca="false">N71/10</f>
        <v>0</v>
      </c>
      <c r="P31" s="23" t="b">
        <f aca="false">FALSE()</f>
        <v>0</v>
      </c>
      <c r="Q31" s="11" t="n">
        <f aca="false">P71/10</f>
        <v>0</v>
      </c>
    </row>
    <row r="32" customFormat="false" ht="27" hidden="false" customHeight="true" outlineLevel="0" collapsed="false">
      <c r="A32" s="8" t="s">
        <v>38</v>
      </c>
      <c r="B32" s="9" t="str">
        <f aca="false">IFERROR(INDEX(成員名單!$B$5:$B$34,MATCH($A32,成員名單!$A$5:$A$34,0))&amp;"","")</f>
        <v/>
      </c>
      <c r="C32" s="23" t="b">
        <f aca="false">FALSE()</f>
        <v>0</v>
      </c>
      <c r="D32" s="23" t="b">
        <f aca="false">FALSE()</f>
        <v>0</v>
      </c>
      <c r="E32" s="9" t="n">
        <f aca="false">D72/10</f>
        <v>0</v>
      </c>
      <c r="F32" s="23" t="b">
        <f aca="false">FALSE()</f>
        <v>0</v>
      </c>
      <c r="G32" s="9" t="n">
        <f aca="false">F72/10</f>
        <v>0</v>
      </c>
      <c r="H32" s="23" t="b">
        <f aca="false">FALSE()</f>
        <v>0</v>
      </c>
      <c r="I32" s="9" t="n">
        <f aca="false">H72/10</f>
        <v>0</v>
      </c>
      <c r="J32" s="23" t="b">
        <f aca="false">FALSE()</f>
        <v>0</v>
      </c>
      <c r="K32" s="9" t="n">
        <f aca="false">J72/10</f>
        <v>0</v>
      </c>
      <c r="L32" s="23" t="b">
        <f aca="false">FALSE()</f>
        <v>0</v>
      </c>
      <c r="M32" s="9" t="n">
        <f aca="false">L72/10</f>
        <v>0</v>
      </c>
      <c r="N32" s="23" t="b">
        <f aca="false">FALSE()</f>
        <v>0</v>
      </c>
      <c r="O32" s="9" t="n">
        <f aca="false">N72/10</f>
        <v>0</v>
      </c>
      <c r="P32" s="23" t="b">
        <f aca="false">FALSE()</f>
        <v>0</v>
      </c>
      <c r="Q32" s="9" t="n">
        <f aca="false">P72/10</f>
        <v>0</v>
      </c>
    </row>
    <row r="33" customFormat="false" ht="27" hidden="false" customHeight="true" outlineLevel="0" collapsed="false">
      <c r="A33" s="10" t="s">
        <v>39</v>
      </c>
      <c r="B33" s="11" t="str">
        <f aca="false">IFERROR(INDEX(成員名單!$B$5:$B$34,MATCH($A33,成員名單!$A$5:$A$34,0))&amp;"","")</f>
        <v/>
      </c>
      <c r="C33" s="23" t="b">
        <f aca="false">FALSE()</f>
        <v>0</v>
      </c>
      <c r="D33" s="23" t="b">
        <f aca="false">FALSE()</f>
        <v>0</v>
      </c>
      <c r="E33" s="11" t="n">
        <f aca="false">D73/10</f>
        <v>0</v>
      </c>
      <c r="F33" s="23" t="b">
        <f aca="false">FALSE()</f>
        <v>0</v>
      </c>
      <c r="G33" s="11" t="n">
        <f aca="false">F73/10</f>
        <v>0</v>
      </c>
      <c r="H33" s="23" t="b">
        <f aca="false">FALSE()</f>
        <v>0</v>
      </c>
      <c r="I33" s="11" t="n">
        <f aca="false">H73/10</f>
        <v>0</v>
      </c>
      <c r="J33" s="23" t="b">
        <f aca="false">FALSE()</f>
        <v>0</v>
      </c>
      <c r="K33" s="11" t="n">
        <f aca="false">J73/10</f>
        <v>0</v>
      </c>
      <c r="L33" s="23" t="b">
        <f aca="false">FALSE()</f>
        <v>0</v>
      </c>
      <c r="M33" s="11" t="n">
        <f aca="false">L73/10</f>
        <v>0</v>
      </c>
      <c r="N33" s="23" t="b">
        <f aca="false">FALSE()</f>
        <v>0</v>
      </c>
      <c r="O33" s="11" t="n">
        <f aca="false">N73/10</f>
        <v>0</v>
      </c>
      <c r="P33" s="23" t="b">
        <f aca="false">FALSE()</f>
        <v>0</v>
      </c>
      <c r="Q33" s="11" t="n">
        <f aca="false">P73/10</f>
        <v>0</v>
      </c>
    </row>
    <row r="34" customFormat="false" ht="27" hidden="false" customHeight="true" outlineLevel="0" collapsed="false">
      <c r="A34" s="8" t="s">
        <v>40</v>
      </c>
      <c r="B34" s="9" t="str">
        <f aca="false">IFERROR(INDEX(成員名單!$B$5:$B$34,MATCH($A34,成員名單!$A$5:$A$34,0))&amp;"","")</f>
        <v/>
      </c>
      <c r="C34" s="23" t="b">
        <f aca="false">FALSE()</f>
        <v>0</v>
      </c>
      <c r="D34" s="23" t="b">
        <f aca="false">FALSE()</f>
        <v>0</v>
      </c>
      <c r="E34" s="9" t="n">
        <f aca="false">D74/10</f>
        <v>0</v>
      </c>
      <c r="F34" s="23" t="b">
        <f aca="false">FALSE()</f>
        <v>0</v>
      </c>
      <c r="G34" s="9" t="n">
        <f aca="false">F74/10</f>
        <v>0</v>
      </c>
      <c r="H34" s="23" t="b">
        <f aca="false">FALSE()</f>
        <v>0</v>
      </c>
      <c r="I34" s="9" t="n">
        <f aca="false">H74/10</f>
        <v>0</v>
      </c>
      <c r="J34" s="23" t="b">
        <f aca="false">FALSE()</f>
        <v>0</v>
      </c>
      <c r="K34" s="9" t="n">
        <f aca="false">J74/10</f>
        <v>0</v>
      </c>
      <c r="L34" s="23" t="b">
        <f aca="false">FALSE()</f>
        <v>0</v>
      </c>
      <c r="M34" s="9" t="n">
        <f aca="false">L74/10</f>
        <v>0</v>
      </c>
      <c r="N34" s="23" t="b">
        <f aca="false">FALSE()</f>
        <v>0</v>
      </c>
      <c r="O34" s="9" t="n">
        <f aca="false">N74/10</f>
        <v>0</v>
      </c>
      <c r="P34" s="23" t="b">
        <f aca="false">FALSE()</f>
        <v>0</v>
      </c>
      <c r="Q34" s="9" t="n">
        <f aca="false">P74/10</f>
        <v>0</v>
      </c>
    </row>
    <row r="35" customFormat="false" ht="27" hidden="false" customHeight="true" outlineLevel="0" collapsed="false">
      <c r="A35" s="10" t="s">
        <v>41</v>
      </c>
      <c r="B35" s="11" t="str">
        <f aca="false">IFERROR(INDEX(成員名單!$B$5:$B$34,MATCH($A35,成員名單!$A$5:$A$34,0))&amp;"","")</f>
        <v/>
      </c>
      <c r="C35" s="23" t="b">
        <f aca="false">FALSE()</f>
        <v>0</v>
      </c>
      <c r="D35" s="23" t="b">
        <f aca="false">FALSE()</f>
        <v>0</v>
      </c>
      <c r="E35" s="11" t="n">
        <f aca="false">D75/10</f>
        <v>0</v>
      </c>
      <c r="F35" s="23" t="b">
        <f aca="false">FALSE()</f>
        <v>0</v>
      </c>
      <c r="G35" s="11" t="n">
        <f aca="false">F75/10</f>
        <v>0</v>
      </c>
      <c r="H35" s="23" t="b">
        <f aca="false">FALSE()</f>
        <v>0</v>
      </c>
      <c r="I35" s="11" t="n">
        <f aca="false">H75/10</f>
        <v>0</v>
      </c>
      <c r="J35" s="23" t="b">
        <f aca="false">FALSE()</f>
        <v>0</v>
      </c>
      <c r="K35" s="11" t="n">
        <f aca="false">J75/10</f>
        <v>0</v>
      </c>
      <c r="L35" s="23" t="b">
        <f aca="false">FALSE()</f>
        <v>0</v>
      </c>
      <c r="M35" s="11" t="n">
        <f aca="false">L75/10</f>
        <v>0</v>
      </c>
      <c r="N35" s="23" t="b">
        <f aca="false">FALSE()</f>
        <v>0</v>
      </c>
      <c r="O35" s="11" t="n">
        <f aca="false">N75/10</f>
        <v>0</v>
      </c>
      <c r="P35" s="23" t="b">
        <f aca="false">FALSE()</f>
        <v>0</v>
      </c>
      <c r="Q35" s="11" t="n">
        <f aca="false">P75/10</f>
        <v>0</v>
      </c>
    </row>
    <row r="36" customFormat="false" ht="27" hidden="false" customHeight="true" outlineLevel="0" collapsed="false">
      <c r="A36" s="8" t="s">
        <v>42</v>
      </c>
      <c r="B36" s="9" t="str">
        <f aca="false">IFERROR(INDEX(成員名單!$B$5:$B$34,MATCH($A36,成員名單!$A$5:$A$34,0))&amp;"","")</f>
        <v/>
      </c>
      <c r="C36" s="23" t="b">
        <f aca="false">FALSE()</f>
        <v>0</v>
      </c>
      <c r="D36" s="23" t="b">
        <f aca="false">FALSE()</f>
        <v>0</v>
      </c>
      <c r="E36" s="9" t="n">
        <f aca="false">D76/10</f>
        <v>0</v>
      </c>
      <c r="F36" s="23" t="b">
        <f aca="false">FALSE()</f>
        <v>0</v>
      </c>
      <c r="G36" s="9" t="n">
        <f aca="false">F76/10</f>
        <v>0</v>
      </c>
      <c r="H36" s="23" t="b">
        <f aca="false">FALSE()</f>
        <v>0</v>
      </c>
      <c r="I36" s="9" t="n">
        <f aca="false">H76/10</f>
        <v>0</v>
      </c>
      <c r="J36" s="23" t="b">
        <f aca="false">FALSE()</f>
        <v>0</v>
      </c>
      <c r="K36" s="9" t="n">
        <f aca="false">J76/10</f>
        <v>0</v>
      </c>
      <c r="L36" s="23" t="b">
        <f aca="false">FALSE()</f>
        <v>0</v>
      </c>
      <c r="M36" s="9" t="n">
        <f aca="false">L76/10</f>
        <v>0</v>
      </c>
      <c r="N36" s="23" t="b">
        <f aca="false">FALSE()</f>
        <v>0</v>
      </c>
      <c r="O36" s="9" t="n">
        <f aca="false">N76/10</f>
        <v>0</v>
      </c>
      <c r="P36" s="23" t="b">
        <f aca="false">FALSE()</f>
        <v>0</v>
      </c>
      <c r="Q36" s="9" t="n">
        <f aca="false">P76/10</f>
        <v>0</v>
      </c>
    </row>
    <row r="37" customFormat="false" ht="27" hidden="false" customHeight="true" outlineLevel="0" collapsed="false">
      <c r="A37" s="10" t="s">
        <v>43</v>
      </c>
      <c r="B37" s="11" t="str">
        <f aca="false">IFERROR(INDEX(成員名單!$B$5:$B$34,MATCH($A37,成員名單!$A$5:$A$34,0))&amp;"","")</f>
        <v/>
      </c>
      <c r="C37" s="23" t="b">
        <f aca="false">FALSE()</f>
        <v>0</v>
      </c>
      <c r="D37" s="23" t="b">
        <f aca="false">FALSE()</f>
        <v>0</v>
      </c>
      <c r="E37" s="11" t="n">
        <f aca="false">D77/10</f>
        <v>0</v>
      </c>
      <c r="F37" s="23" t="b">
        <f aca="false">FALSE()</f>
        <v>0</v>
      </c>
      <c r="G37" s="11" t="n">
        <f aca="false">F77/10</f>
        <v>0</v>
      </c>
      <c r="H37" s="23" t="b">
        <f aca="false">FALSE()</f>
        <v>0</v>
      </c>
      <c r="I37" s="11" t="n">
        <f aca="false">H77/10</f>
        <v>0</v>
      </c>
      <c r="J37" s="23" t="b">
        <f aca="false">FALSE()</f>
        <v>0</v>
      </c>
      <c r="K37" s="11" t="n">
        <f aca="false">J77/10</f>
        <v>0</v>
      </c>
      <c r="L37" s="23" t="b">
        <f aca="false">FALSE()</f>
        <v>0</v>
      </c>
      <c r="M37" s="11" t="n">
        <f aca="false">L77/10</f>
        <v>0</v>
      </c>
      <c r="N37" s="23" t="b">
        <f aca="false">FALSE()</f>
        <v>0</v>
      </c>
      <c r="O37" s="11" t="n">
        <f aca="false">N77/10</f>
        <v>0</v>
      </c>
      <c r="P37" s="23" t="b">
        <f aca="false">FALSE()</f>
        <v>0</v>
      </c>
      <c r="Q37" s="11" t="n">
        <f aca="false">P77/10</f>
        <v>0</v>
      </c>
    </row>
    <row r="38" customFormat="false" ht="27" hidden="false" customHeight="true" outlineLevel="0" collapsed="false">
      <c r="A38" s="8" t="s">
        <v>44</v>
      </c>
      <c r="B38" s="9" t="str">
        <f aca="false">IFERROR(INDEX(成員名單!$B$5:$B$34,MATCH($A38,成員名單!$A$5:$A$34,0))&amp;"","")</f>
        <v/>
      </c>
      <c r="C38" s="23" t="b">
        <f aca="false">FALSE()</f>
        <v>0</v>
      </c>
      <c r="D38" s="23" t="b">
        <f aca="false">FALSE()</f>
        <v>0</v>
      </c>
      <c r="E38" s="9" t="n">
        <f aca="false">D78/10</f>
        <v>0</v>
      </c>
      <c r="F38" s="23" t="b">
        <f aca="false">FALSE()</f>
        <v>0</v>
      </c>
      <c r="G38" s="9" t="n">
        <f aca="false">F78/10</f>
        <v>0</v>
      </c>
      <c r="H38" s="23" t="b">
        <f aca="false">FALSE()</f>
        <v>0</v>
      </c>
      <c r="I38" s="9" t="n">
        <f aca="false">H78/10</f>
        <v>0</v>
      </c>
      <c r="J38" s="23" t="b">
        <f aca="false">FALSE()</f>
        <v>0</v>
      </c>
      <c r="K38" s="9" t="n">
        <f aca="false">J78/10</f>
        <v>0</v>
      </c>
      <c r="L38" s="23" t="b">
        <f aca="false">FALSE()</f>
        <v>0</v>
      </c>
      <c r="M38" s="9" t="n">
        <f aca="false">L78/10</f>
        <v>0</v>
      </c>
      <c r="N38" s="23" t="b">
        <f aca="false">FALSE()</f>
        <v>0</v>
      </c>
      <c r="O38" s="9" t="n">
        <f aca="false">N78/10</f>
        <v>0</v>
      </c>
      <c r="P38" s="23" t="b">
        <f aca="false">FALSE()</f>
        <v>0</v>
      </c>
      <c r="Q38" s="9" t="n">
        <f aca="false">P78/10</f>
        <v>0</v>
      </c>
    </row>
    <row r="39" customFormat="false" ht="27" hidden="false" customHeight="true" outlineLevel="0" collapsed="false">
      <c r="A39" s="10" t="s">
        <v>45</v>
      </c>
      <c r="B39" s="11" t="str">
        <f aca="false">IFERROR(INDEX(成員名單!$B$5:$B$34,MATCH($A39,成員名單!$A$5:$A$34,0))&amp;"","")</f>
        <v/>
      </c>
      <c r="C39" s="23" t="b">
        <f aca="false">FALSE()</f>
        <v>0</v>
      </c>
      <c r="D39" s="23" t="b">
        <f aca="false">FALSE()</f>
        <v>0</v>
      </c>
      <c r="E39" s="11" t="n">
        <f aca="false">D79/10</f>
        <v>0</v>
      </c>
      <c r="F39" s="23" t="b">
        <f aca="false">FALSE()</f>
        <v>0</v>
      </c>
      <c r="G39" s="11" t="n">
        <f aca="false">F79/10</f>
        <v>0</v>
      </c>
      <c r="H39" s="23" t="b">
        <f aca="false">FALSE()</f>
        <v>0</v>
      </c>
      <c r="I39" s="11" t="n">
        <f aca="false">H79/10</f>
        <v>0</v>
      </c>
      <c r="J39" s="23" t="b">
        <f aca="false">FALSE()</f>
        <v>0</v>
      </c>
      <c r="K39" s="11" t="n">
        <f aca="false">J79/10</f>
        <v>0</v>
      </c>
      <c r="L39" s="23" t="b">
        <f aca="false">FALSE()</f>
        <v>0</v>
      </c>
      <c r="M39" s="11" t="n">
        <f aca="false">L79/10</f>
        <v>0</v>
      </c>
      <c r="N39" s="23" t="b">
        <f aca="false">FALSE()</f>
        <v>0</v>
      </c>
      <c r="O39" s="11" t="n">
        <f aca="false">N79/10</f>
        <v>0</v>
      </c>
      <c r="P39" s="23" t="b">
        <f aca="false">FALSE()</f>
        <v>0</v>
      </c>
      <c r="Q39" s="11" t="n">
        <f aca="false">P79/10</f>
        <v>0</v>
      </c>
    </row>
    <row r="40" customFormat="false" ht="27" hidden="false" customHeight="true" outlineLevel="0" collapsed="false">
      <c r="A40" s="8" t="s">
        <v>46</v>
      </c>
      <c r="B40" s="9" t="str">
        <f aca="false">IFERROR(INDEX(成員名單!$B$5:$B$34,MATCH($A40,成員名單!$A$5:$A$34,0))&amp;"","")</f>
        <v/>
      </c>
      <c r="C40" s="23" t="b">
        <f aca="false">FALSE()</f>
        <v>0</v>
      </c>
      <c r="D40" s="23" t="b">
        <f aca="false">FALSE()</f>
        <v>0</v>
      </c>
      <c r="E40" s="9" t="n">
        <f aca="false">D80/10</f>
        <v>0</v>
      </c>
      <c r="F40" s="23" t="b">
        <f aca="false">FALSE()</f>
        <v>0</v>
      </c>
      <c r="G40" s="9" t="n">
        <f aca="false">F80/10</f>
        <v>0</v>
      </c>
      <c r="H40" s="23" t="b">
        <f aca="false">FALSE()</f>
        <v>0</v>
      </c>
      <c r="I40" s="9" t="n">
        <f aca="false">H80/10</f>
        <v>0</v>
      </c>
      <c r="J40" s="23" t="b">
        <f aca="false">FALSE()</f>
        <v>0</v>
      </c>
      <c r="K40" s="9" t="n">
        <f aca="false">J80/10</f>
        <v>0</v>
      </c>
      <c r="L40" s="23" t="b">
        <f aca="false">FALSE()</f>
        <v>0</v>
      </c>
      <c r="M40" s="9" t="n">
        <f aca="false">L80/10</f>
        <v>0</v>
      </c>
      <c r="N40" s="23" t="b">
        <f aca="false">FALSE()</f>
        <v>0</v>
      </c>
      <c r="O40" s="9" t="n">
        <f aca="false">N80/10</f>
        <v>0</v>
      </c>
      <c r="P40" s="23" t="b">
        <f aca="false">FALSE()</f>
        <v>0</v>
      </c>
      <c r="Q40" s="9" t="n">
        <f aca="false">P80/10</f>
        <v>0</v>
      </c>
    </row>
    <row r="41" customFormat="false" ht="27" hidden="false" customHeight="true" outlineLevel="0" collapsed="false">
      <c r="A41" s="10" t="s">
        <v>47</v>
      </c>
      <c r="B41" s="11" t="str">
        <f aca="false">IFERROR(INDEX(成員名單!$B$5:$B$34,MATCH($A41,成員名單!$A$5:$A$34,0))&amp;"","")</f>
        <v/>
      </c>
      <c r="C41" s="23" t="b">
        <f aca="false">FALSE()</f>
        <v>0</v>
      </c>
      <c r="D41" s="23" t="b">
        <f aca="false">FALSE()</f>
        <v>0</v>
      </c>
      <c r="E41" s="11" t="n">
        <f aca="false">D81/10</f>
        <v>0</v>
      </c>
      <c r="F41" s="23" t="b">
        <f aca="false">FALSE()</f>
        <v>0</v>
      </c>
      <c r="G41" s="11" t="n">
        <f aca="false">F81/10</f>
        <v>0</v>
      </c>
      <c r="H41" s="23" t="b">
        <f aca="false">FALSE()</f>
        <v>0</v>
      </c>
      <c r="I41" s="11" t="n">
        <f aca="false">H81/10</f>
        <v>0</v>
      </c>
      <c r="J41" s="23" t="b">
        <f aca="false">FALSE()</f>
        <v>0</v>
      </c>
      <c r="K41" s="11" t="n">
        <f aca="false">J81/10</f>
        <v>0</v>
      </c>
      <c r="L41" s="23" t="b">
        <f aca="false">FALSE()</f>
        <v>0</v>
      </c>
      <c r="M41" s="11" t="n">
        <f aca="false">L81/10</f>
        <v>0</v>
      </c>
      <c r="N41" s="23" t="b">
        <f aca="false">FALSE()</f>
        <v>0</v>
      </c>
      <c r="O41" s="11" t="n">
        <f aca="false">N81/10</f>
        <v>0</v>
      </c>
      <c r="P41" s="23" t="b">
        <f aca="false">FALSE()</f>
        <v>0</v>
      </c>
      <c r="Q41" s="11" t="n">
        <f aca="false">P81/10</f>
        <v>0</v>
      </c>
    </row>
    <row r="42" customFormat="false" ht="27" hidden="false" customHeight="true" outlineLevel="0" collapsed="false">
      <c r="A42" s="12"/>
      <c r="B42" s="8" t="s">
        <v>88</v>
      </c>
      <c r="C42" s="12"/>
      <c r="D42" s="12"/>
      <c r="E42" s="9" t="n">
        <f aca="false">D51/10</f>
        <v>0</v>
      </c>
      <c r="F42" s="12"/>
      <c r="G42" s="9" t="n">
        <f aca="false">F51/10</f>
        <v>0</v>
      </c>
      <c r="H42" s="12"/>
      <c r="I42" s="9" t="n">
        <f aca="false">H51/10</f>
        <v>0</v>
      </c>
      <c r="J42" s="12"/>
      <c r="K42" s="9" t="n">
        <f aca="false">J51/10</f>
        <v>0</v>
      </c>
      <c r="L42" s="12"/>
      <c r="M42" s="9" t="n">
        <f aca="false">L51/10</f>
        <v>0</v>
      </c>
      <c r="N42" s="12"/>
      <c r="O42" s="9" t="n">
        <f aca="false">N51/10</f>
        <v>0</v>
      </c>
      <c r="P42" s="12"/>
      <c r="Q42" s="9" t="n">
        <f aca="false">P51/10</f>
        <v>0</v>
      </c>
    </row>
    <row r="46" customFormat="false" ht="15" hidden="true" customHeight="false" outlineLevel="0" collapsed="false">
      <c r="D46" s="14" t="n">
        <f aca="false">IFERROR(IF(D$47,ROUND(D$6*10,0),0),0)</f>
        <v>0</v>
      </c>
      <c r="F46" s="14" t="n">
        <f aca="false">IFERROR(IF(F$47,ROUND(F$6*10,0),0),0)</f>
        <v>0</v>
      </c>
      <c r="H46" s="14" t="n">
        <f aca="false">IFERROR(IF(H$47,ROUND(H$6*10,0),0),0)</f>
        <v>0</v>
      </c>
      <c r="J46" s="14" t="n">
        <f aca="false">IFERROR(IF(J$47,ROUND(J$6*10,0),0),0)</f>
        <v>0</v>
      </c>
      <c r="L46" s="14" t="n">
        <f aca="false">IFERROR(IF(L$47,ROUND(L$6*10,0),0),0)</f>
        <v>0</v>
      </c>
      <c r="N46" s="14" t="n">
        <f aca="false">IFERROR(IF(N$47,ROUND(N$6*10,0),0),0)</f>
        <v>0</v>
      </c>
      <c r="P46" s="14" t="n">
        <f aca="false">IFERROR(IF(P$47,ROUND(P$6*10,0),0),0)</f>
        <v>0</v>
      </c>
    </row>
    <row r="47" customFormat="false" ht="15" hidden="true" customHeight="false" outlineLevel="0" collapsed="false">
      <c r="D47" s="14" t="n">
        <f aca="false">IF(LEN(TRIM(D$6&amp;""))=0,TRUE(),IFERROR(AND(ISNUMBER(D$6),D$6&gt;=0,D$6&lt;=100000000,ROUND(D$6,1)=D$6),FALSE()))</f>
        <v>1</v>
      </c>
      <c r="F47" s="14" t="n">
        <f aca="false">IF(LEN(TRIM(F$6&amp;""))=0,TRUE(),IFERROR(AND(ISNUMBER(F$6),F$6&gt;=0,F$6&lt;=100000000,ROUND(F$6,1)=F$6),FALSE()))</f>
        <v>1</v>
      </c>
      <c r="H47" s="14" t="n">
        <f aca="false">IF(LEN(TRIM(H$6&amp;""))=0,TRUE(),IFERROR(AND(ISNUMBER(H$6),H$6&gt;=0,H$6&lt;=100000000,ROUND(H$6,1)=H$6),FALSE()))</f>
        <v>1</v>
      </c>
      <c r="J47" s="14" t="n">
        <f aca="false">IF(LEN(TRIM(J$6&amp;""))=0,TRUE(),IFERROR(AND(ISNUMBER(J$6),J$6&gt;=0,J$6&lt;=100000000,ROUND(J$6,1)=J$6),FALSE()))</f>
        <v>1</v>
      </c>
      <c r="L47" s="14" t="n">
        <f aca="false">IF(LEN(TRIM(L$6&amp;""))=0,TRUE(),IFERROR(AND(ISNUMBER(L$6),L$6&gt;=0,L$6&lt;=100000000,ROUND(L$6,1)=L$6),FALSE()))</f>
        <v>1</v>
      </c>
      <c r="N47" s="14" t="n">
        <f aca="false">IF(LEN(TRIM(N$6&amp;""))=0,TRUE(),IFERROR(AND(ISNUMBER(N$6),N$6&gt;=0,N$6&lt;=100000000,ROUND(N$6,1)=N$6),FALSE()))</f>
        <v>1</v>
      </c>
      <c r="P47" s="14" t="n">
        <f aca="false">IF(LEN(TRIM(P$6&amp;""))=0,TRUE(),IFERROR(AND(ISNUMBER(P$6),P$6&gt;=0,P$6&lt;=100000000,ROUND(P$6,1)=P$6),FALSE()))</f>
        <v>1</v>
      </c>
    </row>
    <row r="48" customFormat="false" ht="15" hidden="true" customHeight="false" outlineLevel="0" collapsed="false">
      <c r="D48" s="14" t="n">
        <f aca="false">IF(D$50,IF(AND($C$3=TRUE(),$C$49&gt;0),SUMPRODUCT(--(LEN(TRIM($B$12:$B$41))&gt;0),--(D$12:D$41=TRUE()),--($C$12:$C$41&lt;&gt;TRUE())),0),SUMPRODUCT(--(LEN(TRIM($B$12:$B$41))&gt;0),--(D$12:D$41=TRUE())))</f>
        <v>0</v>
      </c>
      <c r="F48" s="14" t="n">
        <f aca="false">IF(F$50,IF(AND($C$3=TRUE(),$C$49&gt;0),SUMPRODUCT(--(LEN(TRIM($B$12:$B$41))&gt;0),--(F$12:F$41=TRUE()),--($C$12:$C$41&lt;&gt;TRUE())),0),SUMPRODUCT(--(LEN(TRIM($B$12:$B$41))&gt;0),--(F$12:F$41=TRUE())))</f>
        <v>0</v>
      </c>
      <c r="H48" s="14" t="n">
        <f aca="false">IF(H$50,IF(AND($C$3=TRUE(),$C$49&gt;0),SUMPRODUCT(--(LEN(TRIM($B$12:$B$41))&gt;0),--(H$12:H$41=TRUE()),--($C$12:$C$41&lt;&gt;TRUE())),0),SUMPRODUCT(--(LEN(TRIM($B$12:$B$41))&gt;0),--(H$12:H$41=TRUE())))</f>
        <v>0</v>
      </c>
      <c r="J48" s="14" t="n">
        <f aca="false">IF(J$50,IF(AND($C$3=TRUE(),$C$49&gt;0),SUMPRODUCT(--(LEN(TRIM($B$12:$B$41))&gt;0),--(J$12:J$41=TRUE()),--($C$12:$C$41&lt;&gt;TRUE())),0),SUMPRODUCT(--(LEN(TRIM($B$12:$B$41))&gt;0),--(J$12:J$41=TRUE())))</f>
        <v>0</v>
      </c>
      <c r="L48" s="14" t="n">
        <f aca="false">IF(L$50,IF(AND($C$3=TRUE(),$C$49&gt;0),SUMPRODUCT(--(LEN(TRIM($B$12:$B$41))&gt;0),--(L$12:L$41=TRUE()),--($C$12:$C$41&lt;&gt;TRUE())),0),SUMPRODUCT(--(LEN(TRIM($B$12:$B$41))&gt;0),--(L$12:L$41=TRUE())))</f>
        <v>0</v>
      </c>
      <c r="N48" s="14" t="n">
        <f aca="false">IF(N$50,IF(AND($C$3=TRUE(),$C$49&gt;0),SUMPRODUCT(--(LEN(TRIM($B$12:$B$41))&gt;0),--(N$12:N$41=TRUE()),--($C$12:$C$41&lt;&gt;TRUE())),0),SUMPRODUCT(--(LEN(TRIM($B$12:$B$41))&gt;0),--(N$12:N$41=TRUE())))</f>
        <v>0</v>
      </c>
      <c r="P48" s="14" t="n">
        <f aca="false">IF(P$50,IF(AND($C$3=TRUE(),$C$49&gt;0),SUMPRODUCT(--(LEN(TRIM($B$12:$B$41))&gt;0),--(P$12:P$41=TRUE()),--($C$12:$C$41&lt;&gt;TRUE())),0),SUMPRODUCT(--(LEN(TRIM($B$12:$B$41))&gt;0),--(P$12:P$41=TRUE())))</f>
        <v>0</v>
      </c>
    </row>
    <row r="49" customFormat="false" ht="15" hidden="true" customHeight="false" outlineLevel="0" collapsed="false">
      <c r="C49" s="14" t="n">
        <f aca="false">SUMPRODUCT(--(LEN(TRIM($B$12:$B$41))&gt;0),--($C$12:$C$41=TRUE()))</f>
        <v>0</v>
      </c>
    </row>
    <row r="50" customFormat="false" ht="15" hidden="true" customHeight="false" outlineLevel="0" collapsed="false">
      <c r="D50" s="14" t="n">
        <f aca="false">OR(D$5="油錢",D$5="租車費")</f>
        <v>0</v>
      </c>
      <c r="F50" s="14" t="n">
        <f aca="false">OR(F$5="油錢",F$5="租車費")</f>
        <v>0</v>
      </c>
      <c r="H50" s="14" t="n">
        <f aca="false">OR(H$5="油錢",H$5="租車費")</f>
        <v>0</v>
      </c>
      <c r="J50" s="14" t="n">
        <f aca="false">OR(J$5="油錢",J$5="租車費")</f>
        <v>1</v>
      </c>
      <c r="L50" s="14" t="n">
        <f aca="false">OR(L$5="油錢",L$5="租車費")</f>
        <v>1</v>
      </c>
      <c r="N50" s="14" t="n">
        <f aca="false">OR(N$5="油錢",N$5="租車費")</f>
        <v>0</v>
      </c>
      <c r="P50" s="14" t="n">
        <f aca="false">OR(P$5="油錢",P$5="租車費")</f>
        <v>0</v>
      </c>
    </row>
    <row r="51" customFormat="false" ht="15" hidden="true" customHeight="false" outlineLevel="0" collapsed="false">
      <c r="D51" s="14" t="n">
        <f aca="false">SUM(D52:D81)</f>
        <v>0</v>
      </c>
      <c r="F51" s="14" t="n">
        <f aca="false">SUM(F52:F81)</f>
        <v>0</v>
      </c>
      <c r="H51" s="14" t="n">
        <f aca="false">SUM(H52:H81)</f>
        <v>0</v>
      </c>
      <c r="J51" s="14" t="n">
        <f aca="false">SUM(J52:J81)</f>
        <v>0</v>
      </c>
      <c r="L51" s="14" t="n">
        <f aca="false">SUM(L52:L81)</f>
        <v>0</v>
      </c>
      <c r="N51" s="14" t="n">
        <f aca="false">SUM(N52:N81)</f>
        <v>0</v>
      </c>
      <c r="P51" s="14" t="n">
        <f aca="false">SUM(P52:P81)</f>
        <v>0</v>
      </c>
    </row>
    <row r="52" customFormat="false" ht="15" hidden="true" customHeight="false" outlineLevel="0" collapsed="false">
      <c r="A52" s="13" t="s">
        <v>18</v>
      </c>
      <c r="D52" s="14" t="n">
        <f aca="false">IF(AND(D$47,D$48&gt;0,LEN(TRIM($B12))&gt;0,D12=TRUE(),IF(D$50,$C12&lt;&gt;TRUE(),TRUE())),QUOTIENT(D$46,MAX(1,D$48))+IF(IF(D$50,SUMPRODUCT(--(LEN(TRIM($B$12:$B12))&gt;0),--(D$12:D12=TRUE()),--($C$12:$C12&lt;&gt;TRUE())),SUMPRODUCT(--(LEN(TRIM($B$12:$B12))&gt;0),--(D$12:D12=TRUE())))&lt;=MOD(D$46,MAX(1,D$48)),1,0),0)</f>
        <v>0</v>
      </c>
      <c r="F52" s="14" t="n">
        <f aca="false">IF(AND(F$47,F$48&gt;0,LEN(TRIM($B12))&gt;0,F12=TRUE(),IF(F$50,$C12&lt;&gt;TRUE(),TRUE())),QUOTIENT(F$46,MAX(1,F$48))+IF(IF(F$50,SUMPRODUCT(--(LEN(TRIM($B$12:$B12))&gt;0),--(F$12:F12=TRUE()),--($C$12:$C12&lt;&gt;TRUE())),SUMPRODUCT(--(LEN(TRIM($B$12:$B12))&gt;0),--(F$12:F12=TRUE())))&lt;=MOD(F$46,MAX(1,F$48)),1,0),0)</f>
        <v>0</v>
      </c>
      <c r="H52" s="14" t="n">
        <f aca="false">IF(AND(H$47,H$48&gt;0,LEN(TRIM($B12))&gt;0,H12=TRUE(),IF(H$50,$C12&lt;&gt;TRUE(),TRUE())),QUOTIENT(H$46,MAX(1,H$48))+IF(IF(H$50,SUMPRODUCT(--(LEN(TRIM($B$12:$B12))&gt;0),--(H$12:H12=TRUE()),--($C$12:$C12&lt;&gt;TRUE())),SUMPRODUCT(--(LEN(TRIM($B$12:$B12))&gt;0),--(H$12:H12=TRUE())))&lt;=MOD(H$46,MAX(1,H$48)),1,0),0)</f>
        <v>0</v>
      </c>
      <c r="J52" s="14" t="n">
        <f aca="false">IF(AND(J$47,J$48&gt;0,LEN(TRIM($B12))&gt;0,J12=TRUE(),IF(J$50,$C12&lt;&gt;TRUE(),TRUE())),QUOTIENT(J$46,MAX(1,J$48))+IF(IF(J$50,SUMPRODUCT(--(LEN(TRIM($B$12:$B12))&gt;0),--(J$12:J12=TRUE()),--($C$12:$C12&lt;&gt;TRUE())),SUMPRODUCT(--(LEN(TRIM($B$12:$B12))&gt;0),--(J$12:J12=TRUE())))&lt;=MOD(J$46,MAX(1,J$48)),1,0),0)</f>
        <v>0</v>
      </c>
      <c r="L52" s="14" t="n">
        <f aca="false">IF(AND(L$47,L$48&gt;0,LEN(TRIM($B12))&gt;0,L12=TRUE(),IF(L$50,$C12&lt;&gt;TRUE(),TRUE())),QUOTIENT(L$46,MAX(1,L$48))+IF(IF(L$50,SUMPRODUCT(--(LEN(TRIM($B$12:$B12))&gt;0),--(L$12:L12=TRUE()),--($C$12:$C12&lt;&gt;TRUE())),SUMPRODUCT(--(LEN(TRIM($B$12:$B12))&gt;0),--(L$12:L12=TRUE())))&lt;=MOD(L$46,MAX(1,L$48)),1,0),0)</f>
        <v>0</v>
      </c>
      <c r="N52" s="14" t="n">
        <f aca="false">IF(AND(N$47,N$48&gt;0,LEN(TRIM($B12))&gt;0,N12=TRUE(),IF(N$50,$C12&lt;&gt;TRUE(),TRUE())),QUOTIENT(N$46,MAX(1,N$48))+IF(IF(N$50,SUMPRODUCT(--(LEN(TRIM($B$12:$B12))&gt;0),--(N$12:N12=TRUE()),--($C$12:$C12&lt;&gt;TRUE())),SUMPRODUCT(--(LEN(TRIM($B$12:$B12))&gt;0),--(N$12:N12=TRUE())))&lt;=MOD(N$46,MAX(1,N$48)),1,0),0)</f>
        <v>0</v>
      </c>
      <c r="P52" s="14" t="n">
        <f aca="false">IF(AND(P$47,P$48&gt;0,LEN(TRIM($B12))&gt;0,P12=TRUE(),IF(P$50,$C12&lt;&gt;TRUE(),TRUE())),QUOTIENT(P$46,MAX(1,P$48))+IF(IF(P$50,SUMPRODUCT(--(LEN(TRIM($B$12:$B12))&gt;0),--(P$12:P12=TRUE()),--($C$12:$C12&lt;&gt;TRUE())),SUMPRODUCT(--(LEN(TRIM($B$12:$B12))&gt;0),--(P$12:P12=TRUE())))&lt;=MOD(P$46,MAX(1,P$48)),1,0),0)</f>
        <v>0</v>
      </c>
    </row>
    <row r="53" customFormat="false" ht="15" hidden="true" customHeight="false" outlineLevel="0" collapsed="false">
      <c r="A53" s="13" t="s">
        <v>19</v>
      </c>
      <c r="D53" s="14" t="n">
        <f aca="false">IF(AND(D$47,D$48&gt;0,LEN(TRIM($B13))&gt;0,D13=TRUE(),IF(D$50,$C13&lt;&gt;TRUE(),TRUE())),QUOTIENT(D$46,MAX(1,D$48))+IF(IF(D$50,SUMPRODUCT(--(LEN(TRIM($B$12:$B13))&gt;0),--(D$12:D13=TRUE()),--($C$12:$C13&lt;&gt;TRUE())),SUMPRODUCT(--(LEN(TRIM($B$12:$B13))&gt;0),--(D$12:D13=TRUE())))&lt;=MOD(D$46,MAX(1,D$48)),1,0),0)</f>
        <v>0</v>
      </c>
      <c r="F53" s="14" t="n">
        <f aca="false">IF(AND(F$47,F$48&gt;0,LEN(TRIM($B13))&gt;0,F13=TRUE(),IF(F$50,$C13&lt;&gt;TRUE(),TRUE())),QUOTIENT(F$46,MAX(1,F$48))+IF(IF(F$50,SUMPRODUCT(--(LEN(TRIM($B$12:$B13))&gt;0),--(F$12:F13=TRUE()),--($C$12:$C13&lt;&gt;TRUE())),SUMPRODUCT(--(LEN(TRIM($B$12:$B13))&gt;0),--(F$12:F13=TRUE())))&lt;=MOD(F$46,MAX(1,F$48)),1,0),0)</f>
        <v>0</v>
      </c>
      <c r="H53" s="14" t="n">
        <f aca="false">IF(AND(H$47,H$48&gt;0,LEN(TRIM($B13))&gt;0,H13=TRUE(),IF(H$50,$C13&lt;&gt;TRUE(),TRUE())),QUOTIENT(H$46,MAX(1,H$48))+IF(IF(H$50,SUMPRODUCT(--(LEN(TRIM($B$12:$B13))&gt;0),--(H$12:H13=TRUE()),--($C$12:$C13&lt;&gt;TRUE())),SUMPRODUCT(--(LEN(TRIM($B$12:$B13))&gt;0),--(H$12:H13=TRUE())))&lt;=MOD(H$46,MAX(1,H$48)),1,0),0)</f>
        <v>0</v>
      </c>
      <c r="J53" s="14" t="n">
        <f aca="false">IF(AND(J$47,J$48&gt;0,LEN(TRIM($B13))&gt;0,J13=TRUE(),IF(J$50,$C13&lt;&gt;TRUE(),TRUE())),QUOTIENT(J$46,MAX(1,J$48))+IF(IF(J$50,SUMPRODUCT(--(LEN(TRIM($B$12:$B13))&gt;0),--(J$12:J13=TRUE()),--($C$12:$C13&lt;&gt;TRUE())),SUMPRODUCT(--(LEN(TRIM($B$12:$B13))&gt;0),--(J$12:J13=TRUE())))&lt;=MOD(J$46,MAX(1,J$48)),1,0),0)</f>
        <v>0</v>
      </c>
      <c r="L53" s="14" t="n">
        <f aca="false">IF(AND(L$47,L$48&gt;0,LEN(TRIM($B13))&gt;0,L13=TRUE(),IF(L$50,$C13&lt;&gt;TRUE(),TRUE())),QUOTIENT(L$46,MAX(1,L$48))+IF(IF(L$50,SUMPRODUCT(--(LEN(TRIM($B$12:$B13))&gt;0),--(L$12:L13=TRUE()),--($C$12:$C13&lt;&gt;TRUE())),SUMPRODUCT(--(LEN(TRIM($B$12:$B13))&gt;0),--(L$12:L13=TRUE())))&lt;=MOD(L$46,MAX(1,L$48)),1,0),0)</f>
        <v>0</v>
      </c>
      <c r="N53" s="14" t="n">
        <f aca="false">IF(AND(N$47,N$48&gt;0,LEN(TRIM($B13))&gt;0,N13=TRUE(),IF(N$50,$C13&lt;&gt;TRUE(),TRUE())),QUOTIENT(N$46,MAX(1,N$48))+IF(IF(N$50,SUMPRODUCT(--(LEN(TRIM($B$12:$B13))&gt;0),--(N$12:N13=TRUE()),--($C$12:$C13&lt;&gt;TRUE())),SUMPRODUCT(--(LEN(TRIM($B$12:$B13))&gt;0),--(N$12:N13=TRUE())))&lt;=MOD(N$46,MAX(1,N$48)),1,0),0)</f>
        <v>0</v>
      </c>
      <c r="P53" s="14" t="n">
        <f aca="false">IF(AND(P$47,P$48&gt;0,LEN(TRIM($B13))&gt;0,P13=TRUE(),IF(P$50,$C13&lt;&gt;TRUE(),TRUE())),QUOTIENT(P$46,MAX(1,P$48))+IF(IF(P$50,SUMPRODUCT(--(LEN(TRIM($B$12:$B13))&gt;0),--(P$12:P13=TRUE()),--($C$12:$C13&lt;&gt;TRUE())),SUMPRODUCT(--(LEN(TRIM($B$12:$B13))&gt;0),--(P$12:P13=TRUE())))&lt;=MOD(P$46,MAX(1,P$48)),1,0),0)</f>
        <v>0</v>
      </c>
    </row>
    <row r="54" customFormat="false" ht="15" hidden="true" customHeight="false" outlineLevel="0" collapsed="false">
      <c r="A54" s="13" t="s">
        <v>20</v>
      </c>
      <c r="D54" s="14" t="n">
        <f aca="false">IF(AND(D$47,D$48&gt;0,LEN(TRIM($B14))&gt;0,D14=TRUE(),IF(D$50,$C14&lt;&gt;TRUE(),TRUE())),QUOTIENT(D$46,MAX(1,D$48))+IF(IF(D$50,SUMPRODUCT(--(LEN(TRIM($B$12:$B14))&gt;0),--(D$12:D14=TRUE()),--($C$12:$C14&lt;&gt;TRUE())),SUMPRODUCT(--(LEN(TRIM($B$12:$B14))&gt;0),--(D$12:D14=TRUE())))&lt;=MOD(D$46,MAX(1,D$48)),1,0),0)</f>
        <v>0</v>
      </c>
      <c r="F54" s="14" t="n">
        <f aca="false">IF(AND(F$47,F$48&gt;0,LEN(TRIM($B14))&gt;0,F14=TRUE(),IF(F$50,$C14&lt;&gt;TRUE(),TRUE())),QUOTIENT(F$46,MAX(1,F$48))+IF(IF(F$50,SUMPRODUCT(--(LEN(TRIM($B$12:$B14))&gt;0),--(F$12:F14=TRUE()),--($C$12:$C14&lt;&gt;TRUE())),SUMPRODUCT(--(LEN(TRIM($B$12:$B14))&gt;0),--(F$12:F14=TRUE())))&lt;=MOD(F$46,MAX(1,F$48)),1,0),0)</f>
        <v>0</v>
      </c>
      <c r="H54" s="14" t="n">
        <f aca="false">IF(AND(H$47,H$48&gt;0,LEN(TRIM($B14))&gt;0,H14=TRUE(),IF(H$50,$C14&lt;&gt;TRUE(),TRUE())),QUOTIENT(H$46,MAX(1,H$48))+IF(IF(H$50,SUMPRODUCT(--(LEN(TRIM($B$12:$B14))&gt;0),--(H$12:H14=TRUE()),--($C$12:$C14&lt;&gt;TRUE())),SUMPRODUCT(--(LEN(TRIM($B$12:$B14))&gt;0),--(H$12:H14=TRUE())))&lt;=MOD(H$46,MAX(1,H$48)),1,0),0)</f>
        <v>0</v>
      </c>
      <c r="J54" s="14" t="n">
        <f aca="false">IF(AND(J$47,J$48&gt;0,LEN(TRIM($B14))&gt;0,J14=TRUE(),IF(J$50,$C14&lt;&gt;TRUE(),TRUE())),QUOTIENT(J$46,MAX(1,J$48))+IF(IF(J$50,SUMPRODUCT(--(LEN(TRIM($B$12:$B14))&gt;0),--(J$12:J14=TRUE()),--($C$12:$C14&lt;&gt;TRUE())),SUMPRODUCT(--(LEN(TRIM($B$12:$B14))&gt;0),--(J$12:J14=TRUE())))&lt;=MOD(J$46,MAX(1,J$48)),1,0),0)</f>
        <v>0</v>
      </c>
      <c r="L54" s="14" t="n">
        <f aca="false">IF(AND(L$47,L$48&gt;0,LEN(TRIM($B14))&gt;0,L14=TRUE(),IF(L$50,$C14&lt;&gt;TRUE(),TRUE())),QUOTIENT(L$46,MAX(1,L$48))+IF(IF(L$50,SUMPRODUCT(--(LEN(TRIM($B$12:$B14))&gt;0),--(L$12:L14=TRUE()),--($C$12:$C14&lt;&gt;TRUE())),SUMPRODUCT(--(LEN(TRIM($B$12:$B14))&gt;0),--(L$12:L14=TRUE())))&lt;=MOD(L$46,MAX(1,L$48)),1,0),0)</f>
        <v>0</v>
      </c>
      <c r="N54" s="14" t="n">
        <f aca="false">IF(AND(N$47,N$48&gt;0,LEN(TRIM($B14))&gt;0,N14=TRUE(),IF(N$50,$C14&lt;&gt;TRUE(),TRUE())),QUOTIENT(N$46,MAX(1,N$48))+IF(IF(N$50,SUMPRODUCT(--(LEN(TRIM($B$12:$B14))&gt;0),--(N$12:N14=TRUE()),--($C$12:$C14&lt;&gt;TRUE())),SUMPRODUCT(--(LEN(TRIM($B$12:$B14))&gt;0),--(N$12:N14=TRUE())))&lt;=MOD(N$46,MAX(1,N$48)),1,0),0)</f>
        <v>0</v>
      </c>
      <c r="P54" s="14" t="n">
        <f aca="false">IF(AND(P$47,P$48&gt;0,LEN(TRIM($B14))&gt;0,P14=TRUE(),IF(P$50,$C14&lt;&gt;TRUE(),TRUE())),QUOTIENT(P$46,MAX(1,P$48))+IF(IF(P$50,SUMPRODUCT(--(LEN(TRIM($B$12:$B14))&gt;0),--(P$12:P14=TRUE()),--($C$12:$C14&lt;&gt;TRUE())),SUMPRODUCT(--(LEN(TRIM($B$12:$B14))&gt;0),--(P$12:P14=TRUE())))&lt;=MOD(P$46,MAX(1,P$48)),1,0),0)</f>
        <v>0</v>
      </c>
    </row>
    <row r="55" customFormat="false" ht="15" hidden="true" customHeight="false" outlineLevel="0" collapsed="false">
      <c r="A55" s="13" t="s">
        <v>21</v>
      </c>
      <c r="D55" s="14" t="n">
        <f aca="false">IF(AND(D$47,D$48&gt;0,LEN(TRIM($B15))&gt;0,D15=TRUE(),IF(D$50,$C15&lt;&gt;TRUE(),TRUE())),QUOTIENT(D$46,MAX(1,D$48))+IF(IF(D$50,SUMPRODUCT(--(LEN(TRIM($B$12:$B15))&gt;0),--(D$12:D15=TRUE()),--($C$12:$C15&lt;&gt;TRUE())),SUMPRODUCT(--(LEN(TRIM($B$12:$B15))&gt;0),--(D$12:D15=TRUE())))&lt;=MOD(D$46,MAX(1,D$48)),1,0),0)</f>
        <v>0</v>
      </c>
      <c r="F55" s="14" t="n">
        <f aca="false">IF(AND(F$47,F$48&gt;0,LEN(TRIM($B15))&gt;0,F15=TRUE(),IF(F$50,$C15&lt;&gt;TRUE(),TRUE())),QUOTIENT(F$46,MAX(1,F$48))+IF(IF(F$50,SUMPRODUCT(--(LEN(TRIM($B$12:$B15))&gt;0),--(F$12:F15=TRUE()),--($C$12:$C15&lt;&gt;TRUE())),SUMPRODUCT(--(LEN(TRIM($B$12:$B15))&gt;0),--(F$12:F15=TRUE())))&lt;=MOD(F$46,MAX(1,F$48)),1,0),0)</f>
        <v>0</v>
      </c>
      <c r="H55" s="14" t="n">
        <f aca="false">IF(AND(H$47,H$48&gt;0,LEN(TRIM($B15))&gt;0,H15=TRUE(),IF(H$50,$C15&lt;&gt;TRUE(),TRUE())),QUOTIENT(H$46,MAX(1,H$48))+IF(IF(H$50,SUMPRODUCT(--(LEN(TRIM($B$12:$B15))&gt;0),--(H$12:H15=TRUE()),--($C$12:$C15&lt;&gt;TRUE())),SUMPRODUCT(--(LEN(TRIM($B$12:$B15))&gt;0),--(H$12:H15=TRUE())))&lt;=MOD(H$46,MAX(1,H$48)),1,0),0)</f>
        <v>0</v>
      </c>
      <c r="J55" s="14" t="n">
        <f aca="false">IF(AND(J$47,J$48&gt;0,LEN(TRIM($B15))&gt;0,J15=TRUE(),IF(J$50,$C15&lt;&gt;TRUE(),TRUE())),QUOTIENT(J$46,MAX(1,J$48))+IF(IF(J$50,SUMPRODUCT(--(LEN(TRIM($B$12:$B15))&gt;0),--(J$12:J15=TRUE()),--($C$12:$C15&lt;&gt;TRUE())),SUMPRODUCT(--(LEN(TRIM($B$12:$B15))&gt;0),--(J$12:J15=TRUE())))&lt;=MOD(J$46,MAX(1,J$48)),1,0),0)</f>
        <v>0</v>
      </c>
      <c r="L55" s="14" t="n">
        <f aca="false">IF(AND(L$47,L$48&gt;0,LEN(TRIM($B15))&gt;0,L15=TRUE(),IF(L$50,$C15&lt;&gt;TRUE(),TRUE())),QUOTIENT(L$46,MAX(1,L$48))+IF(IF(L$50,SUMPRODUCT(--(LEN(TRIM($B$12:$B15))&gt;0),--(L$12:L15=TRUE()),--($C$12:$C15&lt;&gt;TRUE())),SUMPRODUCT(--(LEN(TRIM($B$12:$B15))&gt;0),--(L$12:L15=TRUE())))&lt;=MOD(L$46,MAX(1,L$48)),1,0),0)</f>
        <v>0</v>
      </c>
      <c r="N55" s="14" t="n">
        <f aca="false">IF(AND(N$47,N$48&gt;0,LEN(TRIM($B15))&gt;0,N15=TRUE(),IF(N$50,$C15&lt;&gt;TRUE(),TRUE())),QUOTIENT(N$46,MAX(1,N$48))+IF(IF(N$50,SUMPRODUCT(--(LEN(TRIM($B$12:$B15))&gt;0),--(N$12:N15=TRUE()),--($C$12:$C15&lt;&gt;TRUE())),SUMPRODUCT(--(LEN(TRIM($B$12:$B15))&gt;0),--(N$12:N15=TRUE())))&lt;=MOD(N$46,MAX(1,N$48)),1,0),0)</f>
        <v>0</v>
      </c>
      <c r="P55" s="14" t="n">
        <f aca="false">IF(AND(P$47,P$48&gt;0,LEN(TRIM($B15))&gt;0,P15=TRUE(),IF(P$50,$C15&lt;&gt;TRUE(),TRUE())),QUOTIENT(P$46,MAX(1,P$48))+IF(IF(P$50,SUMPRODUCT(--(LEN(TRIM($B$12:$B15))&gt;0),--(P$12:P15=TRUE()),--($C$12:$C15&lt;&gt;TRUE())),SUMPRODUCT(--(LEN(TRIM($B$12:$B15))&gt;0),--(P$12:P15=TRUE())))&lt;=MOD(P$46,MAX(1,P$48)),1,0),0)</f>
        <v>0</v>
      </c>
    </row>
    <row r="56" customFormat="false" ht="15" hidden="true" customHeight="false" outlineLevel="0" collapsed="false">
      <c r="A56" s="13" t="s">
        <v>22</v>
      </c>
      <c r="D56" s="14" t="n">
        <f aca="false">IF(AND(D$47,D$48&gt;0,LEN(TRIM($B16))&gt;0,D16=TRUE(),IF(D$50,$C16&lt;&gt;TRUE(),TRUE())),QUOTIENT(D$46,MAX(1,D$48))+IF(IF(D$50,SUMPRODUCT(--(LEN(TRIM($B$12:$B16))&gt;0),--(D$12:D16=TRUE()),--($C$12:$C16&lt;&gt;TRUE())),SUMPRODUCT(--(LEN(TRIM($B$12:$B16))&gt;0),--(D$12:D16=TRUE())))&lt;=MOD(D$46,MAX(1,D$48)),1,0),0)</f>
        <v>0</v>
      </c>
      <c r="F56" s="14" t="n">
        <f aca="false">IF(AND(F$47,F$48&gt;0,LEN(TRIM($B16))&gt;0,F16=TRUE(),IF(F$50,$C16&lt;&gt;TRUE(),TRUE())),QUOTIENT(F$46,MAX(1,F$48))+IF(IF(F$50,SUMPRODUCT(--(LEN(TRIM($B$12:$B16))&gt;0),--(F$12:F16=TRUE()),--($C$12:$C16&lt;&gt;TRUE())),SUMPRODUCT(--(LEN(TRIM($B$12:$B16))&gt;0),--(F$12:F16=TRUE())))&lt;=MOD(F$46,MAX(1,F$48)),1,0),0)</f>
        <v>0</v>
      </c>
      <c r="H56" s="14" t="n">
        <f aca="false">IF(AND(H$47,H$48&gt;0,LEN(TRIM($B16))&gt;0,H16=TRUE(),IF(H$50,$C16&lt;&gt;TRUE(),TRUE())),QUOTIENT(H$46,MAX(1,H$48))+IF(IF(H$50,SUMPRODUCT(--(LEN(TRIM($B$12:$B16))&gt;0),--(H$12:H16=TRUE()),--($C$12:$C16&lt;&gt;TRUE())),SUMPRODUCT(--(LEN(TRIM($B$12:$B16))&gt;0),--(H$12:H16=TRUE())))&lt;=MOD(H$46,MAX(1,H$48)),1,0),0)</f>
        <v>0</v>
      </c>
      <c r="J56" s="14" t="n">
        <f aca="false">IF(AND(J$47,J$48&gt;0,LEN(TRIM($B16))&gt;0,J16=TRUE(),IF(J$50,$C16&lt;&gt;TRUE(),TRUE())),QUOTIENT(J$46,MAX(1,J$48))+IF(IF(J$50,SUMPRODUCT(--(LEN(TRIM($B$12:$B16))&gt;0),--(J$12:J16=TRUE()),--($C$12:$C16&lt;&gt;TRUE())),SUMPRODUCT(--(LEN(TRIM($B$12:$B16))&gt;0),--(J$12:J16=TRUE())))&lt;=MOD(J$46,MAX(1,J$48)),1,0),0)</f>
        <v>0</v>
      </c>
      <c r="L56" s="14" t="n">
        <f aca="false">IF(AND(L$47,L$48&gt;0,LEN(TRIM($B16))&gt;0,L16=TRUE(),IF(L$50,$C16&lt;&gt;TRUE(),TRUE())),QUOTIENT(L$46,MAX(1,L$48))+IF(IF(L$50,SUMPRODUCT(--(LEN(TRIM($B$12:$B16))&gt;0),--(L$12:L16=TRUE()),--($C$12:$C16&lt;&gt;TRUE())),SUMPRODUCT(--(LEN(TRIM($B$12:$B16))&gt;0),--(L$12:L16=TRUE())))&lt;=MOD(L$46,MAX(1,L$48)),1,0),0)</f>
        <v>0</v>
      </c>
      <c r="N56" s="14" t="n">
        <f aca="false">IF(AND(N$47,N$48&gt;0,LEN(TRIM($B16))&gt;0,N16=TRUE(),IF(N$50,$C16&lt;&gt;TRUE(),TRUE())),QUOTIENT(N$46,MAX(1,N$48))+IF(IF(N$50,SUMPRODUCT(--(LEN(TRIM($B$12:$B16))&gt;0),--(N$12:N16=TRUE()),--($C$12:$C16&lt;&gt;TRUE())),SUMPRODUCT(--(LEN(TRIM($B$12:$B16))&gt;0),--(N$12:N16=TRUE())))&lt;=MOD(N$46,MAX(1,N$48)),1,0),0)</f>
        <v>0</v>
      </c>
      <c r="P56" s="14" t="n">
        <f aca="false">IF(AND(P$47,P$48&gt;0,LEN(TRIM($B16))&gt;0,P16=TRUE(),IF(P$50,$C16&lt;&gt;TRUE(),TRUE())),QUOTIENT(P$46,MAX(1,P$48))+IF(IF(P$50,SUMPRODUCT(--(LEN(TRIM($B$12:$B16))&gt;0),--(P$12:P16=TRUE()),--($C$12:$C16&lt;&gt;TRUE())),SUMPRODUCT(--(LEN(TRIM($B$12:$B16))&gt;0),--(P$12:P16=TRUE())))&lt;=MOD(P$46,MAX(1,P$48)),1,0),0)</f>
        <v>0</v>
      </c>
    </row>
    <row r="57" customFormat="false" ht="15" hidden="true" customHeight="false" outlineLevel="0" collapsed="false">
      <c r="A57" s="13" t="s">
        <v>23</v>
      </c>
      <c r="D57" s="14" t="n">
        <f aca="false">IF(AND(D$47,D$48&gt;0,LEN(TRIM($B17))&gt;0,D17=TRUE(),IF(D$50,$C17&lt;&gt;TRUE(),TRUE())),QUOTIENT(D$46,MAX(1,D$48))+IF(IF(D$50,SUMPRODUCT(--(LEN(TRIM($B$12:$B17))&gt;0),--(D$12:D17=TRUE()),--($C$12:$C17&lt;&gt;TRUE())),SUMPRODUCT(--(LEN(TRIM($B$12:$B17))&gt;0),--(D$12:D17=TRUE())))&lt;=MOD(D$46,MAX(1,D$48)),1,0),0)</f>
        <v>0</v>
      </c>
      <c r="F57" s="14" t="n">
        <f aca="false">IF(AND(F$47,F$48&gt;0,LEN(TRIM($B17))&gt;0,F17=TRUE(),IF(F$50,$C17&lt;&gt;TRUE(),TRUE())),QUOTIENT(F$46,MAX(1,F$48))+IF(IF(F$50,SUMPRODUCT(--(LEN(TRIM($B$12:$B17))&gt;0),--(F$12:F17=TRUE()),--($C$12:$C17&lt;&gt;TRUE())),SUMPRODUCT(--(LEN(TRIM($B$12:$B17))&gt;0),--(F$12:F17=TRUE())))&lt;=MOD(F$46,MAX(1,F$48)),1,0),0)</f>
        <v>0</v>
      </c>
      <c r="H57" s="14" t="n">
        <f aca="false">IF(AND(H$47,H$48&gt;0,LEN(TRIM($B17))&gt;0,H17=TRUE(),IF(H$50,$C17&lt;&gt;TRUE(),TRUE())),QUOTIENT(H$46,MAX(1,H$48))+IF(IF(H$50,SUMPRODUCT(--(LEN(TRIM($B$12:$B17))&gt;0),--(H$12:H17=TRUE()),--($C$12:$C17&lt;&gt;TRUE())),SUMPRODUCT(--(LEN(TRIM($B$12:$B17))&gt;0),--(H$12:H17=TRUE())))&lt;=MOD(H$46,MAX(1,H$48)),1,0),0)</f>
        <v>0</v>
      </c>
      <c r="J57" s="14" t="n">
        <f aca="false">IF(AND(J$47,J$48&gt;0,LEN(TRIM($B17))&gt;0,J17=TRUE(),IF(J$50,$C17&lt;&gt;TRUE(),TRUE())),QUOTIENT(J$46,MAX(1,J$48))+IF(IF(J$50,SUMPRODUCT(--(LEN(TRIM($B$12:$B17))&gt;0),--(J$12:J17=TRUE()),--($C$12:$C17&lt;&gt;TRUE())),SUMPRODUCT(--(LEN(TRIM($B$12:$B17))&gt;0),--(J$12:J17=TRUE())))&lt;=MOD(J$46,MAX(1,J$48)),1,0),0)</f>
        <v>0</v>
      </c>
      <c r="L57" s="14" t="n">
        <f aca="false">IF(AND(L$47,L$48&gt;0,LEN(TRIM($B17))&gt;0,L17=TRUE(),IF(L$50,$C17&lt;&gt;TRUE(),TRUE())),QUOTIENT(L$46,MAX(1,L$48))+IF(IF(L$50,SUMPRODUCT(--(LEN(TRIM($B$12:$B17))&gt;0),--(L$12:L17=TRUE()),--($C$12:$C17&lt;&gt;TRUE())),SUMPRODUCT(--(LEN(TRIM($B$12:$B17))&gt;0),--(L$12:L17=TRUE())))&lt;=MOD(L$46,MAX(1,L$48)),1,0),0)</f>
        <v>0</v>
      </c>
      <c r="N57" s="14" t="n">
        <f aca="false">IF(AND(N$47,N$48&gt;0,LEN(TRIM($B17))&gt;0,N17=TRUE(),IF(N$50,$C17&lt;&gt;TRUE(),TRUE())),QUOTIENT(N$46,MAX(1,N$48))+IF(IF(N$50,SUMPRODUCT(--(LEN(TRIM($B$12:$B17))&gt;0),--(N$12:N17=TRUE()),--($C$12:$C17&lt;&gt;TRUE())),SUMPRODUCT(--(LEN(TRIM($B$12:$B17))&gt;0),--(N$12:N17=TRUE())))&lt;=MOD(N$46,MAX(1,N$48)),1,0),0)</f>
        <v>0</v>
      </c>
      <c r="P57" s="14" t="n">
        <f aca="false">IF(AND(P$47,P$48&gt;0,LEN(TRIM($B17))&gt;0,P17=TRUE(),IF(P$50,$C17&lt;&gt;TRUE(),TRUE())),QUOTIENT(P$46,MAX(1,P$48))+IF(IF(P$50,SUMPRODUCT(--(LEN(TRIM($B$12:$B17))&gt;0),--(P$12:P17=TRUE()),--($C$12:$C17&lt;&gt;TRUE())),SUMPRODUCT(--(LEN(TRIM($B$12:$B17))&gt;0),--(P$12:P17=TRUE())))&lt;=MOD(P$46,MAX(1,P$48)),1,0),0)</f>
        <v>0</v>
      </c>
    </row>
    <row r="58" customFormat="false" ht="15" hidden="true" customHeight="false" outlineLevel="0" collapsed="false">
      <c r="A58" s="13" t="s">
        <v>24</v>
      </c>
      <c r="D58" s="14" t="n">
        <f aca="false">IF(AND(D$47,D$48&gt;0,LEN(TRIM($B18))&gt;0,D18=TRUE(),IF(D$50,$C18&lt;&gt;TRUE(),TRUE())),QUOTIENT(D$46,MAX(1,D$48))+IF(IF(D$50,SUMPRODUCT(--(LEN(TRIM($B$12:$B18))&gt;0),--(D$12:D18=TRUE()),--($C$12:$C18&lt;&gt;TRUE())),SUMPRODUCT(--(LEN(TRIM($B$12:$B18))&gt;0),--(D$12:D18=TRUE())))&lt;=MOD(D$46,MAX(1,D$48)),1,0),0)</f>
        <v>0</v>
      </c>
      <c r="F58" s="14" t="n">
        <f aca="false">IF(AND(F$47,F$48&gt;0,LEN(TRIM($B18))&gt;0,F18=TRUE(),IF(F$50,$C18&lt;&gt;TRUE(),TRUE())),QUOTIENT(F$46,MAX(1,F$48))+IF(IF(F$50,SUMPRODUCT(--(LEN(TRIM($B$12:$B18))&gt;0),--(F$12:F18=TRUE()),--($C$12:$C18&lt;&gt;TRUE())),SUMPRODUCT(--(LEN(TRIM($B$12:$B18))&gt;0),--(F$12:F18=TRUE())))&lt;=MOD(F$46,MAX(1,F$48)),1,0),0)</f>
        <v>0</v>
      </c>
      <c r="H58" s="14" t="n">
        <f aca="false">IF(AND(H$47,H$48&gt;0,LEN(TRIM($B18))&gt;0,H18=TRUE(),IF(H$50,$C18&lt;&gt;TRUE(),TRUE())),QUOTIENT(H$46,MAX(1,H$48))+IF(IF(H$50,SUMPRODUCT(--(LEN(TRIM($B$12:$B18))&gt;0),--(H$12:H18=TRUE()),--($C$12:$C18&lt;&gt;TRUE())),SUMPRODUCT(--(LEN(TRIM($B$12:$B18))&gt;0),--(H$12:H18=TRUE())))&lt;=MOD(H$46,MAX(1,H$48)),1,0),0)</f>
        <v>0</v>
      </c>
      <c r="J58" s="14" t="n">
        <f aca="false">IF(AND(J$47,J$48&gt;0,LEN(TRIM($B18))&gt;0,J18=TRUE(),IF(J$50,$C18&lt;&gt;TRUE(),TRUE())),QUOTIENT(J$46,MAX(1,J$48))+IF(IF(J$50,SUMPRODUCT(--(LEN(TRIM($B$12:$B18))&gt;0),--(J$12:J18=TRUE()),--($C$12:$C18&lt;&gt;TRUE())),SUMPRODUCT(--(LEN(TRIM($B$12:$B18))&gt;0),--(J$12:J18=TRUE())))&lt;=MOD(J$46,MAX(1,J$48)),1,0),0)</f>
        <v>0</v>
      </c>
      <c r="L58" s="14" t="n">
        <f aca="false">IF(AND(L$47,L$48&gt;0,LEN(TRIM($B18))&gt;0,L18=TRUE(),IF(L$50,$C18&lt;&gt;TRUE(),TRUE())),QUOTIENT(L$46,MAX(1,L$48))+IF(IF(L$50,SUMPRODUCT(--(LEN(TRIM($B$12:$B18))&gt;0),--(L$12:L18=TRUE()),--($C$12:$C18&lt;&gt;TRUE())),SUMPRODUCT(--(LEN(TRIM($B$12:$B18))&gt;0),--(L$12:L18=TRUE())))&lt;=MOD(L$46,MAX(1,L$48)),1,0),0)</f>
        <v>0</v>
      </c>
      <c r="N58" s="14" t="n">
        <f aca="false">IF(AND(N$47,N$48&gt;0,LEN(TRIM($B18))&gt;0,N18=TRUE(),IF(N$50,$C18&lt;&gt;TRUE(),TRUE())),QUOTIENT(N$46,MAX(1,N$48))+IF(IF(N$50,SUMPRODUCT(--(LEN(TRIM($B$12:$B18))&gt;0),--(N$12:N18=TRUE()),--($C$12:$C18&lt;&gt;TRUE())),SUMPRODUCT(--(LEN(TRIM($B$12:$B18))&gt;0),--(N$12:N18=TRUE())))&lt;=MOD(N$46,MAX(1,N$48)),1,0),0)</f>
        <v>0</v>
      </c>
      <c r="P58" s="14" t="n">
        <f aca="false">IF(AND(P$47,P$48&gt;0,LEN(TRIM($B18))&gt;0,P18=TRUE(),IF(P$50,$C18&lt;&gt;TRUE(),TRUE())),QUOTIENT(P$46,MAX(1,P$48))+IF(IF(P$50,SUMPRODUCT(--(LEN(TRIM($B$12:$B18))&gt;0),--(P$12:P18=TRUE()),--($C$12:$C18&lt;&gt;TRUE())),SUMPRODUCT(--(LEN(TRIM($B$12:$B18))&gt;0),--(P$12:P18=TRUE())))&lt;=MOD(P$46,MAX(1,P$48)),1,0),0)</f>
        <v>0</v>
      </c>
    </row>
    <row r="59" customFormat="false" ht="15" hidden="true" customHeight="false" outlineLevel="0" collapsed="false">
      <c r="A59" s="13" t="s">
        <v>25</v>
      </c>
      <c r="D59" s="14" t="n">
        <f aca="false">IF(AND(D$47,D$48&gt;0,LEN(TRIM($B19))&gt;0,D19=TRUE(),IF(D$50,$C19&lt;&gt;TRUE(),TRUE())),QUOTIENT(D$46,MAX(1,D$48))+IF(IF(D$50,SUMPRODUCT(--(LEN(TRIM($B$12:$B19))&gt;0),--(D$12:D19=TRUE()),--($C$12:$C19&lt;&gt;TRUE())),SUMPRODUCT(--(LEN(TRIM($B$12:$B19))&gt;0),--(D$12:D19=TRUE())))&lt;=MOD(D$46,MAX(1,D$48)),1,0),0)</f>
        <v>0</v>
      </c>
      <c r="F59" s="14" t="n">
        <f aca="false">IF(AND(F$47,F$48&gt;0,LEN(TRIM($B19))&gt;0,F19=TRUE(),IF(F$50,$C19&lt;&gt;TRUE(),TRUE())),QUOTIENT(F$46,MAX(1,F$48))+IF(IF(F$50,SUMPRODUCT(--(LEN(TRIM($B$12:$B19))&gt;0),--(F$12:F19=TRUE()),--($C$12:$C19&lt;&gt;TRUE())),SUMPRODUCT(--(LEN(TRIM($B$12:$B19))&gt;0),--(F$12:F19=TRUE())))&lt;=MOD(F$46,MAX(1,F$48)),1,0),0)</f>
        <v>0</v>
      </c>
      <c r="H59" s="14" t="n">
        <f aca="false">IF(AND(H$47,H$48&gt;0,LEN(TRIM($B19))&gt;0,H19=TRUE(),IF(H$50,$C19&lt;&gt;TRUE(),TRUE())),QUOTIENT(H$46,MAX(1,H$48))+IF(IF(H$50,SUMPRODUCT(--(LEN(TRIM($B$12:$B19))&gt;0),--(H$12:H19=TRUE()),--($C$12:$C19&lt;&gt;TRUE())),SUMPRODUCT(--(LEN(TRIM($B$12:$B19))&gt;0),--(H$12:H19=TRUE())))&lt;=MOD(H$46,MAX(1,H$48)),1,0),0)</f>
        <v>0</v>
      </c>
      <c r="J59" s="14" t="n">
        <f aca="false">IF(AND(J$47,J$48&gt;0,LEN(TRIM($B19))&gt;0,J19=TRUE(),IF(J$50,$C19&lt;&gt;TRUE(),TRUE())),QUOTIENT(J$46,MAX(1,J$48))+IF(IF(J$50,SUMPRODUCT(--(LEN(TRIM($B$12:$B19))&gt;0),--(J$12:J19=TRUE()),--($C$12:$C19&lt;&gt;TRUE())),SUMPRODUCT(--(LEN(TRIM($B$12:$B19))&gt;0),--(J$12:J19=TRUE())))&lt;=MOD(J$46,MAX(1,J$48)),1,0),0)</f>
        <v>0</v>
      </c>
      <c r="L59" s="14" t="n">
        <f aca="false">IF(AND(L$47,L$48&gt;0,LEN(TRIM($B19))&gt;0,L19=TRUE(),IF(L$50,$C19&lt;&gt;TRUE(),TRUE())),QUOTIENT(L$46,MAX(1,L$48))+IF(IF(L$50,SUMPRODUCT(--(LEN(TRIM($B$12:$B19))&gt;0),--(L$12:L19=TRUE()),--($C$12:$C19&lt;&gt;TRUE())),SUMPRODUCT(--(LEN(TRIM($B$12:$B19))&gt;0),--(L$12:L19=TRUE())))&lt;=MOD(L$46,MAX(1,L$48)),1,0),0)</f>
        <v>0</v>
      </c>
      <c r="N59" s="14" t="n">
        <f aca="false">IF(AND(N$47,N$48&gt;0,LEN(TRIM($B19))&gt;0,N19=TRUE(),IF(N$50,$C19&lt;&gt;TRUE(),TRUE())),QUOTIENT(N$46,MAX(1,N$48))+IF(IF(N$50,SUMPRODUCT(--(LEN(TRIM($B$12:$B19))&gt;0),--(N$12:N19=TRUE()),--($C$12:$C19&lt;&gt;TRUE())),SUMPRODUCT(--(LEN(TRIM($B$12:$B19))&gt;0),--(N$12:N19=TRUE())))&lt;=MOD(N$46,MAX(1,N$48)),1,0),0)</f>
        <v>0</v>
      </c>
      <c r="P59" s="14" t="n">
        <f aca="false">IF(AND(P$47,P$48&gt;0,LEN(TRIM($B19))&gt;0,P19=TRUE(),IF(P$50,$C19&lt;&gt;TRUE(),TRUE())),QUOTIENT(P$46,MAX(1,P$48))+IF(IF(P$50,SUMPRODUCT(--(LEN(TRIM($B$12:$B19))&gt;0),--(P$12:P19=TRUE()),--($C$12:$C19&lt;&gt;TRUE())),SUMPRODUCT(--(LEN(TRIM($B$12:$B19))&gt;0),--(P$12:P19=TRUE())))&lt;=MOD(P$46,MAX(1,P$48)),1,0),0)</f>
        <v>0</v>
      </c>
    </row>
    <row r="60" customFormat="false" ht="15" hidden="true" customHeight="false" outlineLevel="0" collapsed="false">
      <c r="A60" s="13" t="s">
        <v>26</v>
      </c>
      <c r="D60" s="14" t="n">
        <f aca="false">IF(AND(D$47,D$48&gt;0,LEN(TRIM($B20))&gt;0,D20=TRUE(),IF(D$50,$C20&lt;&gt;TRUE(),TRUE())),QUOTIENT(D$46,MAX(1,D$48))+IF(IF(D$50,SUMPRODUCT(--(LEN(TRIM($B$12:$B20))&gt;0),--(D$12:D20=TRUE()),--($C$12:$C20&lt;&gt;TRUE())),SUMPRODUCT(--(LEN(TRIM($B$12:$B20))&gt;0),--(D$12:D20=TRUE())))&lt;=MOD(D$46,MAX(1,D$48)),1,0),0)</f>
        <v>0</v>
      </c>
      <c r="F60" s="14" t="n">
        <f aca="false">IF(AND(F$47,F$48&gt;0,LEN(TRIM($B20))&gt;0,F20=TRUE(),IF(F$50,$C20&lt;&gt;TRUE(),TRUE())),QUOTIENT(F$46,MAX(1,F$48))+IF(IF(F$50,SUMPRODUCT(--(LEN(TRIM($B$12:$B20))&gt;0),--(F$12:F20=TRUE()),--($C$12:$C20&lt;&gt;TRUE())),SUMPRODUCT(--(LEN(TRIM($B$12:$B20))&gt;0),--(F$12:F20=TRUE())))&lt;=MOD(F$46,MAX(1,F$48)),1,0),0)</f>
        <v>0</v>
      </c>
      <c r="H60" s="14" t="n">
        <f aca="false">IF(AND(H$47,H$48&gt;0,LEN(TRIM($B20))&gt;0,H20=TRUE(),IF(H$50,$C20&lt;&gt;TRUE(),TRUE())),QUOTIENT(H$46,MAX(1,H$48))+IF(IF(H$50,SUMPRODUCT(--(LEN(TRIM($B$12:$B20))&gt;0),--(H$12:H20=TRUE()),--($C$12:$C20&lt;&gt;TRUE())),SUMPRODUCT(--(LEN(TRIM($B$12:$B20))&gt;0),--(H$12:H20=TRUE())))&lt;=MOD(H$46,MAX(1,H$48)),1,0),0)</f>
        <v>0</v>
      </c>
      <c r="J60" s="14" t="n">
        <f aca="false">IF(AND(J$47,J$48&gt;0,LEN(TRIM($B20))&gt;0,J20=TRUE(),IF(J$50,$C20&lt;&gt;TRUE(),TRUE())),QUOTIENT(J$46,MAX(1,J$48))+IF(IF(J$50,SUMPRODUCT(--(LEN(TRIM($B$12:$B20))&gt;0),--(J$12:J20=TRUE()),--($C$12:$C20&lt;&gt;TRUE())),SUMPRODUCT(--(LEN(TRIM($B$12:$B20))&gt;0),--(J$12:J20=TRUE())))&lt;=MOD(J$46,MAX(1,J$48)),1,0),0)</f>
        <v>0</v>
      </c>
      <c r="L60" s="14" t="n">
        <f aca="false">IF(AND(L$47,L$48&gt;0,LEN(TRIM($B20))&gt;0,L20=TRUE(),IF(L$50,$C20&lt;&gt;TRUE(),TRUE())),QUOTIENT(L$46,MAX(1,L$48))+IF(IF(L$50,SUMPRODUCT(--(LEN(TRIM($B$12:$B20))&gt;0),--(L$12:L20=TRUE()),--($C$12:$C20&lt;&gt;TRUE())),SUMPRODUCT(--(LEN(TRIM($B$12:$B20))&gt;0),--(L$12:L20=TRUE())))&lt;=MOD(L$46,MAX(1,L$48)),1,0),0)</f>
        <v>0</v>
      </c>
      <c r="N60" s="14" t="n">
        <f aca="false">IF(AND(N$47,N$48&gt;0,LEN(TRIM($B20))&gt;0,N20=TRUE(),IF(N$50,$C20&lt;&gt;TRUE(),TRUE())),QUOTIENT(N$46,MAX(1,N$48))+IF(IF(N$50,SUMPRODUCT(--(LEN(TRIM($B$12:$B20))&gt;0),--(N$12:N20=TRUE()),--($C$12:$C20&lt;&gt;TRUE())),SUMPRODUCT(--(LEN(TRIM($B$12:$B20))&gt;0),--(N$12:N20=TRUE())))&lt;=MOD(N$46,MAX(1,N$48)),1,0),0)</f>
        <v>0</v>
      </c>
      <c r="P60" s="14" t="n">
        <f aca="false">IF(AND(P$47,P$48&gt;0,LEN(TRIM($B20))&gt;0,P20=TRUE(),IF(P$50,$C20&lt;&gt;TRUE(),TRUE())),QUOTIENT(P$46,MAX(1,P$48))+IF(IF(P$50,SUMPRODUCT(--(LEN(TRIM($B$12:$B20))&gt;0),--(P$12:P20=TRUE()),--($C$12:$C20&lt;&gt;TRUE())),SUMPRODUCT(--(LEN(TRIM($B$12:$B20))&gt;0),--(P$12:P20=TRUE())))&lt;=MOD(P$46,MAX(1,P$48)),1,0),0)</f>
        <v>0</v>
      </c>
    </row>
    <row r="61" customFormat="false" ht="15" hidden="true" customHeight="false" outlineLevel="0" collapsed="false">
      <c r="A61" s="13" t="s">
        <v>27</v>
      </c>
      <c r="D61" s="14" t="n">
        <f aca="false">IF(AND(D$47,D$48&gt;0,LEN(TRIM($B21))&gt;0,D21=TRUE(),IF(D$50,$C21&lt;&gt;TRUE(),TRUE())),QUOTIENT(D$46,MAX(1,D$48))+IF(IF(D$50,SUMPRODUCT(--(LEN(TRIM($B$12:$B21))&gt;0),--(D$12:D21=TRUE()),--($C$12:$C21&lt;&gt;TRUE())),SUMPRODUCT(--(LEN(TRIM($B$12:$B21))&gt;0),--(D$12:D21=TRUE())))&lt;=MOD(D$46,MAX(1,D$48)),1,0),0)</f>
        <v>0</v>
      </c>
      <c r="F61" s="14" t="n">
        <f aca="false">IF(AND(F$47,F$48&gt;0,LEN(TRIM($B21))&gt;0,F21=TRUE(),IF(F$50,$C21&lt;&gt;TRUE(),TRUE())),QUOTIENT(F$46,MAX(1,F$48))+IF(IF(F$50,SUMPRODUCT(--(LEN(TRIM($B$12:$B21))&gt;0),--(F$12:F21=TRUE()),--($C$12:$C21&lt;&gt;TRUE())),SUMPRODUCT(--(LEN(TRIM($B$12:$B21))&gt;0),--(F$12:F21=TRUE())))&lt;=MOD(F$46,MAX(1,F$48)),1,0),0)</f>
        <v>0</v>
      </c>
      <c r="H61" s="14" t="n">
        <f aca="false">IF(AND(H$47,H$48&gt;0,LEN(TRIM($B21))&gt;0,H21=TRUE(),IF(H$50,$C21&lt;&gt;TRUE(),TRUE())),QUOTIENT(H$46,MAX(1,H$48))+IF(IF(H$50,SUMPRODUCT(--(LEN(TRIM($B$12:$B21))&gt;0),--(H$12:H21=TRUE()),--($C$12:$C21&lt;&gt;TRUE())),SUMPRODUCT(--(LEN(TRIM($B$12:$B21))&gt;0),--(H$12:H21=TRUE())))&lt;=MOD(H$46,MAX(1,H$48)),1,0),0)</f>
        <v>0</v>
      </c>
      <c r="J61" s="14" t="n">
        <f aca="false">IF(AND(J$47,J$48&gt;0,LEN(TRIM($B21))&gt;0,J21=TRUE(),IF(J$50,$C21&lt;&gt;TRUE(),TRUE())),QUOTIENT(J$46,MAX(1,J$48))+IF(IF(J$50,SUMPRODUCT(--(LEN(TRIM($B$12:$B21))&gt;0),--(J$12:J21=TRUE()),--($C$12:$C21&lt;&gt;TRUE())),SUMPRODUCT(--(LEN(TRIM($B$12:$B21))&gt;0),--(J$12:J21=TRUE())))&lt;=MOD(J$46,MAX(1,J$48)),1,0),0)</f>
        <v>0</v>
      </c>
      <c r="L61" s="14" t="n">
        <f aca="false">IF(AND(L$47,L$48&gt;0,LEN(TRIM($B21))&gt;0,L21=TRUE(),IF(L$50,$C21&lt;&gt;TRUE(),TRUE())),QUOTIENT(L$46,MAX(1,L$48))+IF(IF(L$50,SUMPRODUCT(--(LEN(TRIM($B$12:$B21))&gt;0),--(L$12:L21=TRUE()),--($C$12:$C21&lt;&gt;TRUE())),SUMPRODUCT(--(LEN(TRIM($B$12:$B21))&gt;0),--(L$12:L21=TRUE())))&lt;=MOD(L$46,MAX(1,L$48)),1,0),0)</f>
        <v>0</v>
      </c>
      <c r="N61" s="14" t="n">
        <f aca="false">IF(AND(N$47,N$48&gt;0,LEN(TRIM($B21))&gt;0,N21=TRUE(),IF(N$50,$C21&lt;&gt;TRUE(),TRUE())),QUOTIENT(N$46,MAX(1,N$48))+IF(IF(N$50,SUMPRODUCT(--(LEN(TRIM($B$12:$B21))&gt;0),--(N$12:N21=TRUE()),--($C$12:$C21&lt;&gt;TRUE())),SUMPRODUCT(--(LEN(TRIM($B$12:$B21))&gt;0),--(N$12:N21=TRUE())))&lt;=MOD(N$46,MAX(1,N$48)),1,0),0)</f>
        <v>0</v>
      </c>
      <c r="P61" s="14" t="n">
        <f aca="false">IF(AND(P$47,P$48&gt;0,LEN(TRIM($B21))&gt;0,P21=TRUE(),IF(P$50,$C21&lt;&gt;TRUE(),TRUE())),QUOTIENT(P$46,MAX(1,P$48))+IF(IF(P$50,SUMPRODUCT(--(LEN(TRIM($B$12:$B21))&gt;0),--(P$12:P21=TRUE()),--($C$12:$C21&lt;&gt;TRUE())),SUMPRODUCT(--(LEN(TRIM($B$12:$B21))&gt;0),--(P$12:P21=TRUE())))&lt;=MOD(P$46,MAX(1,P$48)),1,0),0)</f>
        <v>0</v>
      </c>
    </row>
    <row r="62" customFormat="false" ht="15" hidden="true" customHeight="false" outlineLevel="0" collapsed="false">
      <c r="A62" s="13" t="s">
        <v>28</v>
      </c>
      <c r="D62" s="14" t="n">
        <f aca="false">IF(AND(D$47,D$48&gt;0,LEN(TRIM($B22))&gt;0,D22=TRUE(),IF(D$50,$C22&lt;&gt;TRUE(),TRUE())),QUOTIENT(D$46,MAX(1,D$48))+IF(IF(D$50,SUMPRODUCT(--(LEN(TRIM($B$12:$B22))&gt;0),--(D$12:D22=TRUE()),--($C$12:$C22&lt;&gt;TRUE())),SUMPRODUCT(--(LEN(TRIM($B$12:$B22))&gt;0),--(D$12:D22=TRUE())))&lt;=MOD(D$46,MAX(1,D$48)),1,0),0)</f>
        <v>0</v>
      </c>
      <c r="F62" s="14" t="n">
        <f aca="false">IF(AND(F$47,F$48&gt;0,LEN(TRIM($B22))&gt;0,F22=TRUE(),IF(F$50,$C22&lt;&gt;TRUE(),TRUE())),QUOTIENT(F$46,MAX(1,F$48))+IF(IF(F$50,SUMPRODUCT(--(LEN(TRIM($B$12:$B22))&gt;0),--(F$12:F22=TRUE()),--($C$12:$C22&lt;&gt;TRUE())),SUMPRODUCT(--(LEN(TRIM($B$12:$B22))&gt;0),--(F$12:F22=TRUE())))&lt;=MOD(F$46,MAX(1,F$48)),1,0),0)</f>
        <v>0</v>
      </c>
      <c r="H62" s="14" t="n">
        <f aca="false">IF(AND(H$47,H$48&gt;0,LEN(TRIM($B22))&gt;0,H22=TRUE(),IF(H$50,$C22&lt;&gt;TRUE(),TRUE())),QUOTIENT(H$46,MAX(1,H$48))+IF(IF(H$50,SUMPRODUCT(--(LEN(TRIM($B$12:$B22))&gt;0),--(H$12:H22=TRUE()),--($C$12:$C22&lt;&gt;TRUE())),SUMPRODUCT(--(LEN(TRIM($B$12:$B22))&gt;0),--(H$12:H22=TRUE())))&lt;=MOD(H$46,MAX(1,H$48)),1,0),0)</f>
        <v>0</v>
      </c>
      <c r="J62" s="14" t="n">
        <f aca="false">IF(AND(J$47,J$48&gt;0,LEN(TRIM($B22))&gt;0,J22=TRUE(),IF(J$50,$C22&lt;&gt;TRUE(),TRUE())),QUOTIENT(J$46,MAX(1,J$48))+IF(IF(J$50,SUMPRODUCT(--(LEN(TRIM($B$12:$B22))&gt;0),--(J$12:J22=TRUE()),--($C$12:$C22&lt;&gt;TRUE())),SUMPRODUCT(--(LEN(TRIM($B$12:$B22))&gt;0),--(J$12:J22=TRUE())))&lt;=MOD(J$46,MAX(1,J$48)),1,0),0)</f>
        <v>0</v>
      </c>
      <c r="L62" s="14" t="n">
        <f aca="false">IF(AND(L$47,L$48&gt;0,LEN(TRIM($B22))&gt;0,L22=TRUE(),IF(L$50,$C22&lt;&gt;TRUE(),TRUE())),QUOTIENT(L$46,MAX(1,L$48))+IF(IF(L$50,SUMPRODUCT(--(LEN(TRIM($B$12:$B22))&gt;0),--(L$12:L22=TRUE()),--($C$12:$C22&lt;&gt;TRUE())),SUMPRODUCT(--(LEN(TRIM($B$12:$B22))&gt;0),--(L$12:L22=TRUE())))&lt;=MOD(L$46,MAX(1,L$48)),1,0),0)</f>
        <v>0</v>
      </c>
      <c r="N62" s="14" t="n">
        <f aca="false">IF(AND(N$47,N$48&gt;0,LEN(TRIM($B22))&gt;0,N22=TRUE(),IF(N$50,$C22&lt;&gt;TRUE(),TRUE())),QUOTIENT(N$46,MAX(1,N$48))+IF(IF(N$50,SUMPRODUCT(--(LEN(TRIM($B$12:$B22))&gt;0),--(N$12:N22=TRUE()),--($C$12:$C22&lt;&gt;TRUE())),SUMPRODUCT(--(LEN(TRIM($B$12:$B22))&gt;0),--(N$12:N22=TRUE())))&lt;=MOD(N$46,MAX(1,N$48)),1,0),0)</f>
        <v>0</v>
      </c>
      <c r="P62" s="14" t="n">
        <f aca="false">IF(AND(P$47,P$48&gt;0,LEN(TRIM($B22))&gt;0,P22=TRUE(),IF(P$50,$C22&lt;&gt;TRUE(),TRUE())),QUOTIENT(P$46,MAX(1,P$48))+IF(IF(P$50,SUMPRODUCT(--(LEN(TRIM($B$12:$B22))&gt;0),--(P$12:P22=TRUE()),--($C$12:$C22&lt;&gt;TRUE())),SUMPRODUCT(--(LEN(TRIM($B$12:$B22))&gt;0),--(P$12:P22=TRUE())))&lt;=MOD(P$46,MAX(1,P$48)),1,0),0)</f>
        <v>0</v>
      </c>
    </row>
    <row r="63" customFormat="false" ht="15" hidden="true" customHeight="false" outlineLevel="0" collapsed="false">
      <c r="A63" s="13" t="s">
        <v>29</v>
      </c>
      <c r="D63" s="14" t="n">
        <f aca="false">IF(AND(D$47,D$48&gt;0,LEN(TRIM($B23))&gt;0,D23=TRUE(),IF(D$50,$C23&lt;&gt;TRUE(),TRUE())),QUOTIENT(D$46,MAX(1,D$48))+IF(IF(D$50,SUMPRODUCT(--(LEN(TRIM($B$12:$B23))&gt;0),--(D$12:D23=TRUE()),--($C$12:$C23&lt;&gt;TRUE())),SUMPRODUCT(--(LEN(TRIM($B$12:$B23))&gt;0),--(D$12:D23=TRUE())))&lt;=MOD(D$46,MAX(1,D$48)),1,0),0)</f>
        <v>0</v>
      </c>
      <c r="F63" s="14" t="n">
        <f aca="false">IF(AND(F$47,F$48&gt;0,LEN(TRIM($B23))&gt;0,F23=TRUE(),IF(F$50,$C23&lt;&gt;TRUE(),TRUE())),QUOTIENT(F$46,MAX(1,F$48))+IF(IF(F$50,SUMPRODUCT(--(LEN(TRIM($B$12:$B23))&gt;0),--(F$12:F23=TRUE()),--($C$12:$C23&lt;&gt;TRUE())),SUMPRODUCT(--(LEN(TRIM($B$12:$B23))&gt;0),--(F$12:F23=TRUE())))&lt;=MOD(F$46,MAX(1,F$48)),1,0),0)</f>
        <v>0</v>
      </c>
      <c r="H63" s="14" t="n">
        <f aca="false">IF(AND(H$47,H$48&gt;0,LEN(TRIM($B23))&gt;0,H23=TRUE(),IF(H$50,$C23&lt;&gt;TRUE(),TRUE())),QUOTIENT(H$46,MAX(1,H$48))+IF(IF(H$50,SUMPRODUCT(--(LEN(TRIM($B$12:$B23))&gt;0),--(H$12:H23=TRUE()),--($C$12:$C23&lt;&gt;TRUE())),SUMPRODUCT(--(LEN(TRIM($B$12:$B23))&gt;0),--(H$12:H23=TRUE())))&lt;=MOD(H$46,MAX(1,H$48)),1,0),0)</f>
        <v>0</v>
      </c>
      <c r="J63" s="14" t="n">
        <f aca="false">IF(AND(J$47,J$48&gt;0,LEN(TRIM($B23))&gt;0,J23=TRUE(),IF(J$50,$C23&lt;&gt;TRUE(),TRUE())),QUOTIENT(J$46,MAX(1,J$48))+IF(IF(J$50,SUMPRODUCT(--(LEN(TRIM($B$12:$B23))&gt;0),--(J$12:J23=TRUE()),--($C$12:$C23&lt;&gt;TRUE())),SUMPRODUCT(--(LEN(TRIM($B$12:$B23))&gt;0),--(J$12:J23=TRUE())))&lt;=MOD(J$46,MAX(1,J$48)),1,0),0)</f>
        <v>0</v>
      </c>
      <c r="L63" s="14" t="n">
        <f aca="false">IF(AND(L$47,L$48&gt;0,LEN(TRIM($B23))&gt;0,L23=TRUE(),IF(L$50,$C23&lt;&gt;TRUE(),TRUE())),QUOTIENT(L$46,MAX(1,L$48))+IF(IF(L$50,SUMPRODUCT(--(LEN(TRIM($B$12:$B23))&gt;0),--(L$12:L23=TRUE()),--($C$12:$C23&lt;&gt;TRUE())),SUMPRODUCT(--(LEN(TRIM($B$12:$B23))&gt;0),--(L$12:L23=TRUE())))&lt;=MOD(L$46,MAX(1,L$48)),1,0),0)</f>
        <v>0</v>
      </c>
      <c r="N63" s="14" t="n">
        <f aca="false">IF(AND(N$47,N$48&gt;0,LEN(TRIM($B23))&gt;0,N23=TRUE(),IF(N$50,$C23&lt;&gt;TRUE(),TRUE())),QUOTIENT(N$46,MAX(1,N$48))+IF(IF(N$50,SUMPRODUCT(--(LEN(TRIM($B$12:$B23))&gt;0),--(N$12:N23=TRUE()),--($C$12:$C23&lt;&gt;TRUE())),SUMPRODUCT(--(LEN(TRIM($B$12:$B23))&gt;0),--(N$12:N23=TRUE())))&lt;=MOD(N$46,MAX(1,N$48)),1,0),0)</f>
        <v>0</v>
      </c>
      <c r="P63" s="14" t="n">
        <f aca="false">IF(AND(P$47,P$48&gt;0,LEN(TRIM($B23))&gt;0,P23=TRUE(),IF(P$50,$C23&lt;&gt;TRUE(),TRUE())),QUOTIENT(P$46,MAX(1,P$48))+IF(IF(P$50,SUMPRODUCT(--(LEN(TRIM($B$12:$B23))&gt;0),--(P$12:P23=TRUE()),--($C$12:$C23&lt;&gt;TRUE())),SUMPRODUCT(--(LEN(TRIM($B$12:$B23))&gt;0),--(P$12:P23=TRUE())))&lt;=MOD(P$46,MAX(1,P$48)),1,0),0)</f>
        <v>0</v>
      </c>
    </row>
    <row r="64" customFormat="false" ht="15" hidden="true" customHeight="false" outlineLevel="0" collapsed="false">
      <c r="A64" s="13" t="s">
        <v>30</v>
      </c>
      <c r="D64" s="14" t="n">
        <f aca="false">IF(AND(D$47,D$48&gt;0,LEN(TRIM($B24))&gt;0,D24=TRUE(),IF(D$50,$C24&lt;&gt;TRUE(),TRUE())),QUOTIENT(D$46,MAX(1,D$48))+IF(IF(D$50,SUMPRODUCT(--(LEN(TRIM($B$12:$B24))&gt;0),--(D$12:D24=TRUE()),--($C$12:$C24&lt;&gt;TRUE())),SUMPRODUCT(--(LEN(TRIM($B$12:$B24))&gt;0),--(D$12:D24=TRUE())))&lt;=MOD(D$46,MAX(1,D$48)),1,0),0)</f>
        <v>0</v>
      </c>
      <c r="F64" s="14" t="n">
        <f aca="false">IF(AND(F$47,F$48&gt;0,LEN(TRIM($B24))&gt;0,F24=TRUE(),IF(F$50,$C24&lt;&gt;TRUE(),TRUE())),QUOTIENT(F$46,MAX(1,F$48))+IF(IF(F$50,SUMPRODUCT(--(LEN(TRIM($B$12:$B24))&gt;0),--(F$12:F24=TRUE()),--($C$12:$C24&lt;&gt;TRUE())),SUMPRODUCT(--(LEN(TRIM($B$12:$B24))&gt;0),--(F$12:F24=TRUE())))&lt;=MOD(F$46,MAX(1,F$48)),1,0),0)</f>
        <v>0</v>
      </c>
      <c r="H64" s="14" t="n">
        <f aca="false">IF(AND(H$47,H$48&gt;0,LEN(TRIM($B24))&gt;0,H24=TRUE(),IF(H$50,$C24&lt;&gt;TRUE(),TRUE())),QUOTIENT(H$46,MAX(1,H$48))+IF(IF(H$50,SUMPRODUCT(--(LEN(TRIM($B$12:$B24))&gt;0),--(H$12:H24=TRUE()),--($C$12:$C24&lt;&gt;TRUE())),SUMPRODUCT(--(LEN(TRIM($B$12:$B24))&gt;0),--(H$12:H24=TRUE())))&lt;=MOD(H$46,MAX(1,H$48)),1,0),0)</f>
        <v>0</v>
      </c>
      <c r="J64" s="14" t="n">
        <f aca="false">IF(AND(J$47,J$48&gt;0,LEN(TRIM($B24))&gt;0,J24=TRUE(),IF(J$50,$C24&lt;&gt;TRUE(),TRUE())),QUOTIENT(J$46,MAX(1,J$48))+IF(IF(J$50,SUMPRODUCT(--(LEN(TRIM($B$12:$B24))&gt;0),--(J$12:J24=TRUE()),--($C$12:$C24&lt;&gt;TRUE())),SUMPRODUCT(--(LEN(TRIM($B$12:$B24))&gt;0),--(J$12:J24=TRUE())))&lt;=MOD(J$46,MAX(1,J$48)),1,0),0)</f>
        <v>0</v>
      </c>
      <c r="L64" s="14" t="n">
        <f aca="false">IF(AND(L$47,L$48&gt;0,LEN(TRIM($B24))&gt;0,L24=TRUE(),IF(L$50,$C24&lt;&gt;TRUE(),TRUE())),QUOTIENT(L$46,MAX(1,L$48))+IF(IF(L$50,SUMPRODUCT(--(LEN(TRIM($B$12:$B24))&gt;0),--(L$12:L24=TRUE()),--($C$12:$C24&lt;&gt;TRUE())),SUMPRODUCT(--(LEN(TRIM($B$12:$B24))&gt;0),--(L$12:L24=TRUE())))&lt;=MOD(L$46,MAX(1,L$48)),1,0),0)</f>
        <v>0</v>
      </c>
      <c r="N64" s="14" t="n">
        <f aca="false">IF(AND(N$47,N$48&gt;0,LEN(TRIM($B24))&gt;0,N24=TRUE(),IF(N$50,$C24&lt;&gt;TRUE(),TRUE())),QUOTIENT(N$46,MAX(1,N$48))+IF(IF(N$50,SUMPRODUCT(--(LEN(TRIM($B$12:$B24))&gt;0),--(N$12:N24=TRUE()),--($C$12:$C24&lt;&gt;TRUE())),SUMPRODUCT(--(LEN(TRIM($B$12:$B24))&gt;0),--(N$12:N24=TRUE())))&lt;=MOD(N$46,MAX(1,N$48)),1,0),0)</f>
        <v>0</v>
      </c>
      <c r="P64" s="14" t="n">
        <f aca="false">IF(AND(P$47,P$48&gt;0,LEN(TRIM($B24))&gt;0,P24=TRUE(),IF(P$50,$C24&lt;&gt;TRUE(),TRUE())),QUOTIENT(P$46,MAX(1,P$48))+IF(IF(P$50,SUMPRODUCT(--(LEN(TRIM($B$12:$B24))&gt;0),--(P$12:P24=TRUE()),--($C$12:$C24&lt;&gt;TRUE())),SUMPRODUCT(--(LEN(TRIM($B$12:$B24))&gt;0),--(P$12:P24=TRUE())))&lt;=MOD(P$46,MAX(1,P$48)),1,0),0)</f>
        <v>0</v>
      </c>
    </row>
    <row r="65" customFormat="false" ht="15" hidden="true" customHeight="false" outlineLevel="0" collapsed="false">
      <c r="A65" s="13" t="s">
        <v>31</v>
      </c>
      <c r="D65" s="14" t="n">
        <f aca="false">IF(AND(D$47,D$48&gt;0,LEN(TRIM($B25))&gt;0,D25=TRUE(),IF(D$50,$C25&lt;&gt;TRUE(),TRUE())),QUOTIENT(D$46,MAX(1,D$48))+IF(IF(D$50,SUMPRODUCT(--(LEN(TRIM($B$12:$B25))&gt;0),--(D$12:D25=TRUE()),--($C$12:$C25&lt;&gt;TRUE())),SUMPRODUCT(--(LEN(TRIM($B$12:$B25))&gt;0),--(D$12:D25=TRUE())))&lt;=MOD(D$46,MAX(1,D$48)),1,0),0)</f>
        <v>0</v>
      </c>
      <c r="F65" s="14" t="n">
        <f aca="false">IF(AND(F$47,F$48&gt;0,LEN(TRIM($B25))&gt;0,F25=TRUE(),IF(F$50,$C25&lt;&gt;TRUE(),TRUE())),QUOTIENT(F$46,MAX(1,F$48))+IF(IF(F$50,SUMPRODUCT(--(LEN(TRIM($B$12:$B25))&gt;0),--(F$12:F25=TRUE()),--($C$12:$C25&lt;&gt;TRUE())),SUMPRODUCT(--(LEN(TRIM($B$12:$B25))&gt;0),--(F$12:F25=TRUE())))&lt;=MOD(F$46,MAX(1,F$48)),1,0),0)</f>
        <v>0</v>
      </c>
      <c r="H65" s="14" t="n">
        <f aca="false">IF(AND(H$47,H$48&gt;0,LEN(TRIM($B25))&gt;0,H25=TRUE(),IF(H$50,$C25&lt;&gt;TRUE(),TRUE())),QUOTIENT(H$46,MAX(1,H$48))+IF(IF(H$50,SUMPRODUCT(--(LEN(TRIM($B$12:$B25))&gt;0),--(H$12:H25=TRUE()),--($C$12:$C25&lt;&gt;TRUE())),SUMPRODUCT(--(LEN(TRIM($B$12:$B25))&gt;0),--(H$12:H25=TRUE())))&lt;=MOD(H$46,MAX(1,H$48)),1,0),0)</f>
        <v>0</v>
      </c>
      <c r="J65" s="14" t="n">
        <f aca="false">IF(AND(J$47,J$48&gt;0,LEN(TRIM($B25))&gt;0,J25=TRUE(),IF(J$50,$C25&lt;&gt;TRUE(),TRUE())),QUOTIENT(J$46,MAX(1,J$48))+IF(IF(J$50,SUMPRODUCT(--(LEN(TRIM($B$12:$B25))&gt;0),--(J$12:J25=TRUE()),--($C$12:$C25&lt;&gt;TRUE())),SUMPRODUCT(--(LEN(TRIM($B$12:$B25))&gt;0),--(J$12:J25=TRUE())))&lt;=MOD(J$46,MAX(1,J$48)),1,0),0)</f>
        <v>0</v>
      </c>
      <c r="L65" s="14" t="n">
        <f aca="false">IF(AND(L$47,L$48&gt;0,LEN(TRIM($B25))&gt;0,L25=TRUE(),IF(L$50,$C25&lt;&gt;TRUE(),TRUE())),QUOTIENT(L$46,MAX(1,L$48))+IF(IF(L$50,SUMPRODUCT(--(LEN(TRIM($B$12:$B25))&gt;0),--(L$12:L25=TRUE()),--($C$12:$C25&lt;&gt;TRUE())),SUMPRODUCT(--(LEN(TRIM($B$12:$B25))&gt;0),--(L$12:L25=TRUE())))&lt;=MOD(L$46,MAX(1,L$48)),1,0),0)</f>
        <v>0</v>
      </c>
      <c r="N65" s="14" t="n">
        <f aca="false">IF(AND(N$47,N$48&gt;0,LEN(TRIM($B25))&gt;0,N25=TRUE(),IF(N$50,$C25&lt;&gt;TRUE(),TRUE())),QUOTIENT(N$46,MAX(1,N$48))+IF(IF(N$50,SUMPRODUCT(--(LEN(TRIM($B$12:$B25))&gt;0),--(N$12:N25=TRUE()),--($C$12:$C25&lt;&gt;TRUE())),SUMPRODUCT(--(LEN(TRIM($B$12:$B25))&gt;0),--(N$12:N25=TRUE())))&lt;=MOD(N$46,MAX(1,N$48)),1,0),0)</f>
        <v>0</v>
      </c>
      <c r="P65" s="14" t="n">
        <f aca="false">IF(AND(P$47,P$48&gt;0,LEN(TRIM($B25))&gt;0,P25=TRUE(),IF(P$50,$C25&lt;&gt;TRUE(),TRUE())),QUOTIENT(P$46,MAX(1,P$48))+IF(IF(P$50,SUMPRODUCT(--(LEN(TRIM($B$12:$B25))&gt;0),--(P$12:P25=TRUE()),--($C$12:$C25&lt;&gt;TRUE())),SUMPRODUCT(--(LEN(TRIM($B$12:$B25))&gt;0),--(P$12:P25=TRUE())))&lt;=MOD(P$46,MAX(1,P$48)),1,0),0)</f>
        <v>0</v>
      </c>
    </row>
    <row r="66" customFormat="false" ht="15" hidden="true" customHeight="false" outlineLevel="0" collapsed="false">
      <c r="A66" s="13" t="s">
        <v>32</v>
      </c>
      <c r="D66" s="14" t="n">
        <f aca="false">IF(AND(D$47,D$48&gt;0,LEN(TRIM($B26))&gt;0,D26=TRUE(),IF(D$50,$C26&lt;&gt;TRUE(),TRUE())),QUOTIENT(D$46,MAX(1,D$48))+IF(IF(D$50,SUMPRODUCT(--(LEN(TRIM($B$12:$B26))&gt;0),--(D$12:D26=TRUE()),--($C$12:$C26&lt;&gt;TRUE())),SUMPRODUCT(--(LEN(TRIM($B$12:$B26))&gt;0),--(D$12:D26=TRUE())))&lt;=MOD(D$46,MAX(1,D$48)),1,0),0)</f>
        <v>0</v>
      </c>
      <c r="F66" s="14" t="n">
        <f aca="false">IF(AND(F$47,F$48&gt;0,LEN(TRIM($B26))&gt;0,F26=TRUE(),IF(F$50,$C26&lt;&gt;TRUE(),TRUE())),QUOTIENT(F$46,MAX(1,F$48))+IF(IF(F$50,SUMPRODUCT(--(LEN(TRIM($B$12:$B26))&gt;0),--(F$12:F26=TRUE()),--($C$12:$C26&lt;&gt;TRUE())),SUMPRODUCT(--(LEN(TRIM($B$12:$B26))&gt;0),--(F$12:F26=TRUE())))&lt;=MOD(F$46,MAX(1,F$48)),1,0),0)</f>
        <v>0</v>
      </c>
      <c r="H66" s="14" t="n">
        <f aca="false">IF(AND(H$47,H$48&gt;0,LEN(TRIM($B26))&gt;0,H26=TRUE(),IF(H$50,$C26&lt;&gt;TRUE(),TRUE())),QUOTIENT(H$46,MAX(1,H$48))+IF(IF(H$50,SUMPRODUCT(--(LEN(TRIM($B$12:$B26))&gt;0),--(H$12:H26=TRUE()),--($C$12:$C26&lt;&gt;TRUE())),SUMPRODUCT(--(LEN(TRIM($B$12:$B26))&gt;0),--(H$12:H26=TRUE())))&lt;=MOD(H$46,MAX(1,H$48)),1,0),0)</f>
        <v>0</v>
      </c>
      <c r="J66" s="14" t="n">
        <f aca="false">IF(AND(J$47,J$48&gt;0,LEN(TRIM($B26))&gt;0,J26=TRUE(),IF(J$50,$C26&lt;&gt;TRUE(),TRUE())),QUOTIENT(J$46,MAX(1,J$48))+IF(IF(J$50,SUMPRODUCT(--(LEN(TRIM($B$12:$B26))&gt;0),--(J$12:J26=TRUE()),--($C$12:$C26&lt;&gt;TRUE())),SUMPRODUCT(--(LEN(TRIM($B$12:$B26))&gt;0),--(J$12:J26=TRUE())))&lt;=MOD(J$46,MAX(1,J$48)),1,0),0)</f>
        <v>0</v>
      </c>
      <c r="L66" s="14" t="n">
        <f aca="false">IF(AND(L$47,L$48&gt;0,LEN(TRIM($B26))&gt;0,L26=TRUE(),IF(L$50,$C26&lt;&gt;TRUE(),TRUE())),QUOTIENT(L$46,MAX(1,L$48))+IF(IF(L$50,SUMPRODUCT(--(LEN(TRIM($B$12:$B26))&gt;0),--(L$12:L26=TRUE()),--($C$12:$C26&lt;&gt;TRUE())),SUMPRODUCT(--(LEN(TRIM($B$12:$B26))&gt;0),--(L$12:L26=TRUE())))&lt;=MOD(L$46,MAX(1,L$48)),1,0),0)</f>
        <v>0</v>
      </c>
      <c r="N66" s="14" t="n">
        <f aca="false">IF(AND(N$47,N$48&gt;0,LEN(TRIM($B26))&gt;0,N26=TRUE(),IF(N$50,$C26&lt;&gt;TRUE(),TRUE())),QUOTIENT(N$46,MAX(1,N$48))+IF(IF(N$50,SUMPRODUCT(--(LEN(TRIM($B$12:$B26))&gt;0),--(N$12:N26=TRUE()),--($C$12:$C26&lt;&gt;TRUE())),SUMPRODUCT(--(LEN(TRIM($B$12:$B26))&gt;0),--(N$12:N26=TRUE())))&lt;=MOD(N$46,MAX(1,N$48)),1,0),0)</f>
        <v>0</v>
      </c>
      <c r="P66" s="14" t="n">
        <f aca="false">IF(AND(P$47,P$48&gt;0,LEN(TRIM($B26))&gt;0,P26=TRUE(),IF(P$50,$C26&lt;&gt;TRUE(),TRUE())),QUOTIENT(P$46,MAX(1,P$48))+IF(IF(P$50,SUMPRODUCT(--(LEN(TRIM($B$12:$B26))&gt;0),--(P$12:P26=TRUE()),--($C$12:$C26&lt;&gt;TRUE())),SUMPRODUCT(--(LEN(TRIM($B$12:$B26))&gt;0),--(P$12:P26=TRUE())))&lt;=MOD(P$46,MAX(1,P$48)),1,0),0)</f>
        <v>0</v>
      </c>
    </row>
    <row r="67" customFormat="false" ht="15" hidden="true" customHeight="false" outlineLevel="0" collapsed="false">
      <c r="A67" s="13" t="s">
        <v>33</v>
      </c>
      <c r="D67" s="14" t="n">
        <f aca="false">IF(AND(D$47,D$48&gt;0,LEN(TRIM($B27))&gt;0,D27=TRUE(),IF(D$50,$C27&lt;&gt;TRUE(),TRUE())),QUOTIENT(D$46,MAX(1,D$48))+IF(IF(D$50,SUMPRODUCT(--(LEN(TRIM($B$12:$B27))&gt;0),--(D$12:D27=TRUE()),--($C$12:$C27&lt;&gt;TRUE())),SUMPRODUCT(--(LEN(TRIM($B$12:$B27))&gt;0),--(D$12:D27=TRUE())))&lt;=MOD(D$46,MAX(1,D$48)),1,0),0)</f>
        <v>0</v>
      </c>
      <c r="F67" s="14" t="n">
        <f aca="false">IF(AND(F$47,F$48&gt;0,LEN(TRIM($B27))&gt;0,F27=TRUE(),IF(F$50,$C27&lt;&gt;TRUE(),TRUE())),QUOTIENT(F$46,MAX(1,F$48))+IF(IF(F$50,SUMPRODUCT(--(LEN(TRIM($B$12:$B27))&gt;0),--(F$12:F27=TRUE()),--($C$12:$C27&lt;&gt;TRUE())),SUMPRODUCT(--(LEN(TRIM($B$12:$B27))&gt;0),--(F$12:F27=TRUE())))&lt;=MOD(F$46,MAX(1,F$48)),1,0),0)</f>
        <v>0</v>
      </c>
      <c r="H67" s="14" t="n">
        <f aca="false">IF(AND(H$47,H$48&gt;0,LEN(TRIM($B27))&gt;0,H27=TRUE(),IF(H$50,$C27&lt;&gt;TRUE(),TRUE())),QUOTIENT(H$46,MAX(1,H$48))+IF(IF(H$50,SUMPRODUCT(--(LEN(TRIM($B$12:$B27))&gt;0),--(H$12:H27=TRUE()),--($C$12:$C27&lt;&gt;TRUE())),SUMPRODUCT(--(LEN(TRIM($B$12:$B27))&gt;0),--(H$12:H27=TRUE())))&lt;=MOD(H$46,MAX(1,H$48)),1,0),0)</f>
        <v>0</v>
      </c>
      <c r="J67" s="14" t="n">
        <f aca="false">IF(AND(J$47,J$48&gt;0,LEN(TRIM($B27))&gt;0,J27=TRUE(),IF(J$50,$C27&lt;&gt;TRUE(),TRUE())),QUOTIENT(J$46,MAX(1,J$48))+IF(IF(J$50,SUMPRODUCT(--(LEN(TRIM($B$12:$B27))&gt;0),--(J$12:J27=TRUE()),--($C$12:$C27&lt;&gt;TRUE())),SUMPRODUCT(--(LEN(TRIM($B$12:$B27))&gt;0),--(J$12:J27=TRUE())))&lt;=MOD(J$46,MAX(1,J$48)),1,0),0)</f>
        <v>0</v>
      </c>
      <c r="L67" s="14" t="n">
        <f aca="false">IF(AND(L$47,L$48&gt;0,LEN(TRIM($B27))&gt;0,L27=TRUE(),IF(L$50,$C27&lt;&gt;TRUE(),TRUE())),QUOTIENT(L$46,MAX(1,L$48))+IF(IF(L$50,SUMPRODUCT(--(LEN(TRIM($B$12:$B27))&gt;0),--(L$12:L27=TRUE()),--($C$12:$C27&lt;&gt;TRUE())),SUMPRODUCT(--(LEN(TRIM($B$12:$B27))&gt;0),--(L$12:L27=TRUE())))&lt;=MOD(L$46,MAX(1,L$48)),1,0),0)</f>
        <v>0</v>
      </c>
      <c r="N67" s="14" t="n">
        <f aca="false">IF(AND(N$47,N$48&gt;0,LEN(TRIM($B27))&gt;0,N27=TRUE(),IF(N$50,$C27&lt;&gt;TRUE(),TRUE())),QUOTIENT(N$46,MAX(1,N$48))+IF(IF(N$50,SUMPRODUCT(--(LEN(TRIM($B$12:$B27))&gt;0),--(N$12:N27=TRUE()),--($C$12:$C27&lt;&gt;TRUE())),SUMPRODUCT(--(LEN(TRIM($B$12:$B27))&gt;0),--(N$12:N27=TRUE())))&lt;=MOD(N$46,MAX(1,N$48)),1,0),0)</f>
        <v>0</v>
      </c>
      <c r="P67" s="14" t="n">
        <f aca="false">IF(AND(P$47,P$48&gt;0,LEN(TRIM($B27))&gt;0,P27=TRUE(),IF(P$50,$C27&lt;&gt;TRUE(),TRUE())),QUOTIENT(P$46,MAX(1,P$48))+IF(IF(P$50,SUMPRODUCT(--(LEN(TRIM($B$12:$B27))&gt;0),--(P$12:P27=TRUE()),--($C$12:$C27&lt;&gt;TRUE())),SUMPRODUCT(--(LEN(TRIM($B$12:$B27))&gt;0),--(P$12:P27=TRUE())))&lt;=MOD(P$46,MAX(1,P$48)),1,0),0)</f>
        <v>0</v>
      </c>
    </row>
    <row r="68" customFormat="false" ht="15" hidden="true" customHeight="false" outlineLevel="0" collapsed="false">
      <c r="A68" s="13" t="s">
        <v>34</v>
      </c>
      <c r="D68" s="14" t="n">
        <f aca="false">IF(AND(D$47,D$48&gt;0,LEN(TRIM($B28))&gt;0,D28=TRUE(),IF(D$50,$C28&lt;&gt;TRUE(),TRUE())),QUOTIENT(D$46,MAX(1,D$48))+IF(IF(D$50,SUMPRODUCT(--(LEN(TRIM($B$12:$B28))&gt;0),--(D$12:D28=TRUE()),--($C$12:$C28&lt;&gt;TRUE())),SUMPRODUCT(--(LEN(TRIM($B$12:$B28))&gt;0),--(D$12:D28=TRUE())))&lt;=MOD(D$46,MAX(1,D$48)),1,0),0)</f>
        <v>0</v>
      </c>
      <c r="F68" s="14" t="n">
        <f aca="false">IF(AND(F$47,F$48&gt;0,LEN(TRIM($B28))&gt;0,F28=TRUE(),IF(F$50,$C28&lt;&gt;TRUE(),TRUE())),QUOTIENT(F$46,MAX(1,F$48))+IF(IF(F$50,SUMPRODUCT(--(LEN(TRIM($B$12:$B28))&gt;0),--(F$12:F28=TRUE()),--($C$12:$C28&lt;&gt;TRUE())),SUMPRODUCT(--(LEN(TRIM($B$12:$B28))&gt;0),--(F$12:F28=TRUE())))&lt;=MOD(F$46,MAX(1,F$48)),1,0),0)</f>
        <v>0</v>
      </c>
      <c r="H68" s="14" t="n">
        <f aca="false">IF(AND(H$47,H$48&gt;0,LEN(TRIM($B28))&gt;0,H28=TRUE(),IF(H$50,$C28&lt;&gt;TRUE(),TRUE())),QUOTIENT(H$46,MAX(1,H$48))+IF(IF(H$50,SUMPRODUCT(--(LEN(TRIM($B$12:$B28))&gt;0),--(H$12:H28=TRUE()),--($C$12:$C28&lt;&gt;TRUE())),SUMPRODUCT(--(LEN(TRIM($B$12:$B28))&gt;0),--(H$12:H28=TRUE())))&lt;=MOD(H$46,MAX(1,H$48)),1,0),0)</f>
        <v>0</v>
      </c>
      <c r="J68" s="14" t="n">
        <f aca="false">IF(AND(J$47,J$48&gt;0,LEN(TRIM($B28))&gt;0,J28=TRUE(),IF(J$50,$C28&lt;&gt;TRUE(),TRUE())),QUOTIENT(J$46,MAX(1,J$48))+IF(IF(J$50,SUMPRODUCT(--(LEN(TRIM($B$12:$B28))&gt;0),--(J$12:J28=TRUE()),--($C$12:$C28&lt;&gt;TRUE())),SUMPRODUCT(--(LEN(TRIM($B$12:$B28))&gt;0),--(J$12:J28=TRUE())))&lt;=MOD(J$46,MAX(1,J$48)),1,0),0)</f>
        <v>0</v>
      </c>
      <c r="L68" s="14" t="n">
        <f aca="false">IF(AND(L$47,L$48&gt;0,LEN(TRIM($B28))&gt;0,L28=TRUE(),IF(L$50,$C28&lt;&gt;TRUE(),TRUE())),QUOTIENT(L$46,MAX(1,L$48))+IF(IF(L$50,SUMPRODUCT(--(LEN(TRIM($B$12:$B28))&gt;0),--(L$12:L28=TRUE()),--($C$12:$C28&lt;&gt;TRUE())),SUMPRODUCT(--(LEN(TRIM($B$12:$B28))&gt;0),--(L$12:L28=TRUE())))&lt;=MOD(L$46,MAX(1,L$48)),1,0),0)</f>
        <v>0</v>
      </c>
      <c r="N68" s="14" t="n">
        <f aca="false">IF(AND(N$47,N$48&gt;0,LEN(TRIM($B28))&gt;0,N28=TRUE(),IF(N$50,$C28&lt;&gt;TRUE(),TRUE())),QUOTIENT(N$46,MAX(1,N$48))+IF(IF(N$50,SUMPRODUCT(--(LEN(TRIM($B$12:$B28))&gt;0),--(N$12:N28=TRUE()),--($C$12:$C28&lt;&gt;TRUE())),SUMPRODUCT(--(LEN(TRIM($B$12:$B28))&gt;0),--(N$12:N28=TRUE())))&lt;=MOD(N$46,MAX(1,N$48)),1,0),0)</f>
        <v>0</v>
      </c>
      <c r="P68" s="14" t="n">
        <f aca="false">IF(AND(P$47,P$48&gt;0,LEN(TRIM($B28))&gt;0,P28=TRUE(),IF(P$50,$C28&lt;&gt;TRUE(),TRUE())),QUOTIENT(P$46,MAX(1,P$48))+IF(IF(P$50,SUMPRODUCT(--(LEN(TRIM($B$12:$B28))&gt;0),--(P$12:P28=TRUE()),--($C$12:$C28&lt;&gt;TRUE())),SUMPRODUCT(--(LEN(TRIM($B$12:$B28))&gt;0),--(P$12:P28=TRUE())))&lt;=MOD(P$46,MAX(1,P$48)),1,0),0)</f>
        <v>0</v>
      </c>
    </row>
    <row r="69" customFormat="false" ht="15" hidden="true" customHeight="false" outlineLevel="0" collapsed="false">
      <c r="A69" s="13" t="s">
        <v>35</v>
      </c>
      <c r="D69" s="14" t="n">
        <f aca="false">IF(AND(D$47,D$48&gt;0,LEN(TRIM($B29))&gt;0,D29=TRUE(),IF(D$50,$C29&lt;&gt;TRUE(),TRUE())),QUOTIENT(D$46,MAX(1,D$48))+IF(IF(D$50,SUMPRODUCT(--(LEN(TRIM($B$12:$B29))&gt;0),--(D$12:D29=TRUE()),--($C$12:$C29&lt;&gt;TRUE())),SUMPRODUCT(--(LEN(TRIM($B$12:$B29))&gt;0),--(D$12:D29=TRUE())))&lt;=MOD(D$46,MAX(1,D$48)),1,0),0)</f>
        <v>0</v>
      </c>
      <c r="F69" s="14" t="n">
        <f aca="false">IF(AND(F$47,F$48&gt;0,LEN(TRIM($B29))&gt;0,F29=TRUE(),IF(F$50,$C29&lt;&gt;TRUE(),TRUE())),QUOTIENT(F$46,MAX(1,F$48))+IF(IF(F$50,SUMPRODUCT(--(LEN(TRIM($B$12:$B29))&gt;0),--(F$12:F29=TRUE()),--($C$12:$C29&lt;&gt;TRUE())),SUMPRODUCT(--(LEN(TRIM($B$12:$B29))&gt;0),--(F$12:F29=TRUE())))&lt;=MOD(F$46,MAX(1,F$48)),1,0),0)</f>
        <v>0</v>
      </c>
      <c r="H69" s="14" t="n">
        <f aca="false">IF(AND(H$47,H$48&gt;0,LEN(TRIM($B29))&gt;0,H29=TRUE(),IF(H$50,$C29&lt;&gt;TRUE(),TRUE())),QUOTIENT(H$46,MAX(1,H$48))+IF(IF(H$50,SUMPRODUCT(--(LEN(TRIM($B$12:$B29))&gt;0),--(H$12:H29=TRUE()),--($C$12:$C29&lt;&gt;TRUE())),SUMPRODUCT(--(LEN(TRIM($B$12:$B29))&gt;0),--(H$12:H29=TRUE())))&lt;=MOD(H$46,MAX(1,H$48)),1,0),0)</f>
        <v>0</v>
      </c>
      <c r="J69" s="14" t="n">
        <f aca="false">IF(AND(J$47,J$48&gt;0,LEN(TRIM($B29))&gt;0,J29=TRUE(),IF(J$50,$C29&lt;&gt;TRUE(),TRUE())),QUOTIENT(J$46,MAX(1,J$48))+IF(IF(J$50,SUMPRODUCT(--(LEN(TRIM($B$12:$B29))&gt;0),--(J$12:J29=TRUE()),--($C$12:$C29&lt;&gt;TRUE())),SUMPRODUCT(--(LEN(TRIM($B$12:$B29))&gt;0),--(J$12:J29=TRUE())))&lt;=MOD(J$46,MAX(1,J$48)),1,0),0)</f>
        <v>0</v>
      </c>
      <c r="L69" s="14" t="n">
        <f aca="false">IF(AND(L$47,L$48&gt;0,LEN(TRIM($B29))&gt;0,L29=TRUE(),IF(L$50,$C29&lt;&gt;TRUE(),TRUE())),QUOTIENT(L$46,MAX(1,L$48))+IF(IF(L$50,SUMPRODUCT(--(LEN(TRIM($B$12:$B29))&gt;0),--(L$12:L29=TRUE()),--($C$12:$C29&lt;&gt;TRUE())),SUMPRODUCT(--(LEN(TRIM($B$12:$B29))&gt;0),--(L$12:L29=TRUE())))&lt;=MOD(L$46,MAX(1,L$48)),1,0),0)</f>
        <v>0</v>
      </c>
      <c r="N69" s="14" t="n">
        <f aca="false">IF(AND(N$47,N$48&gt;0,LEN(TRIM($B29))&gt;0,N29=TRUE(),IF(N$50,$C29&lt;&gt;TRUE(),TRUE())),QUOTIENT(N$46,MAX(1,N$48))+IF(IF(N$50,SUMPRODUCT(--(LEN(TRIM($B$12:$B29))&gt;0),--(N$12:N29=TRUE()),--($C$12:$C29&lt;&gt;TRUE())),SUMPRODUCT(--(LEN(TRIM($B$12:$B29))&gt;0),--(N$12:N29=TRUE())))&lt;=MOD(N$46,MAX(1,N$48)),1,0),0)</f>
        <v>0</v>
      </c>
      <c r="P69" s="14" t="n">
        <f aca="false">IF(AND(P$47,P$48&gt;0,LEN(TRIM($B29))&gt;0,P29=TRUE(),IF(P$50,$C29&lt;&gt;TRUE(),TRUE())),QUOTIENT(P$46,MAX(1,P$48))+IF(IF(P$50,SUMPRODUCT(--(LEN(TRIM($B$12:$B29))&gt;0),--(P$12:P29=TRUE()),--($C$12:$C29&lt;&gt;TRUE())),SUMPRODUCT(--(LEN(TRIM($B$12:$B29))&gt;0),--(P$12:P29=TRUE())))&lt;=MOD(P$46,MAX(1,P$48)),1,0),0)</f>
        <v>0</v>
      </c>
    </row>
    <row r="70" customFormat="false" ht="15" hidden="true" customHeight="false" outlineLevel="0" collapsed="false">
      <c r="A70" s="13" t="s">
        <v>36</v>
      </c>
      <c r="D70" s="14" t="n">
        <f aca="false">IF(AND(D$47,D$48&gt;0,LEN(TRIM($B30))&gt;0,D30=TRUE(),IF(D$50,$C30&lt;&gt;TRUE(),TRUE())),QUOTIENT(D$46,MAX(1,D$48))+IF(IF(D$50,SUMPRODUCT(--(LEN(TRIM($B$12:$B30))&gt;0),--(D$12:D30=TRUE()),--($C$12:$C30&lt;&gt;TRUE())),SUMPRODUCT(--(LEN(TRIM($B$12:$B30))&gt;0),--(D$12:D30=TRUE())))&lt;=MOD(D$46,MAX(1,D$48)),1,0),0)</f>
        <v>0</v>
      </c>
      <c r="F70" s="14" t="n">
        <f aca="false">IF(AND(F$47,F$48&gt;0,LEN(TRIM($B30))&gt;0,F30=TRUE(),IF(F$50,$C30&lt;&gt;TRUE(),TRUE())),QUOTIENT(F$46,MAX(1,F$48))+IF(IF(F$50,SUMPRODUCT(--(LEN(TRIM($B$12:$B30))&gt;0),--(F$12:F30=TRUE()),--($C$12:$C30&lt;&gt;TRUE())),SUMPRODUCT(--(LEN(TRIM($B$12:$B30))&gt;0),--(F$12:F30=TRUE())))&lt;=MOD(F$46,MAX(1,F$48)),1,0),0)</f>
        <v>0</v>
      </c>
      <c r="H70" s="14" t="n">
        <f aca="false">IF(AND(H$47,H$48&gt;0,LEN(TRIM($B30))&gt;0,H30=TRUE(),IF(H$50,$C30&lt;&gt;TRUE(),TRUE())),QUOTIENT(H$46,MAX(1,H$48))+IF(IF(H$50,SUMPRODUCT(--(LEN(TRIM($B$12:$B30))&gt;0),--(H$12:H30=TRUE()),--($C$12:$C30&lt;&gt;TRUE())),SUMPRODUCT(--(LEN(TRIM($B$12:$B30))&gt;0),--(H$12:H30=TRUE())))&lt;=MOD(H$46,MAX(1,H$48)),1,0),0)</f>
        <v>0</v>
      </c>
      <c r="J70" s="14" t="n">
        <f aca="false">IF(AND(J$47,J$48&gt;0,LEN(TRIM($B30))&gt;0,J30=TRUE(),IF(J$50,$C30&lt;&gt;TRUE(),TRUE())),QUOTIENT(J$46,MAX(1,J$48))+IF(IF(J$50,SUMPRODUCT(--(LEN(TRIM($B$12:$B30))&gt;0),--(J$12:J30=TRUE()),--($C$12:$C30&lt;&gt;TRUE())),SUMPRODUCT(--(LEN(TRIM($B$12:$B30))&gt;0),--(J$12:J30=TRUE())))&lt;=MOD(J$46,MAX(1,J$48)),1,0),0)</f>
        <v>0</v>
      </c>
      <c r="L70" s="14" t="n">
        <f aca="false">IF(AND(L$47,L$48&gt;0,LEN(TRIM($B30))&gt;0,L30=TRUE(),IF(L$50,$C30&lt;&gt;TRUE(),TRUE())),QUOTIENT(L$46,MAX(1,L$48))+IF(IF(L$50,SUMPRODUCT(--(LEN(TRIM($B$12:$B30))&gt;0),--(L$12:L30=TRUE()),--($C$12:$C30&lt;&gt;TRUE())),SUMPRODUCT(--(LEN(TRIM($B$12:$B30))&gt;0),--(L$12:L30=TRUE())))&lt;=MOD(L$46,MAX(1,L$48)),1,0),0)</f>
        <v>0</v>
      </c>
      <c r="N70" s="14" t="n">
        <f aca="false">IF(AND(N$47,N$48&gt;0,LEN(TRIM($B30))&gt;0,N30=TRUE(),IF(N$50,$C30&lt;&gt;TRUE(),TRUE())),QUOTIENT(N$46,MAX(1,N$48))+IF(IF(N$50,SUMPRODUCT(--(LEN(TRIM($B$12:$B30))&gt;0),--(N$12:N30=TRUE()),--($C$12:$C30&lt;&gt;TRUE())),SUMPRODUCT(--(LEN(TRIM($B$12:$B30))&gt;0),--(N$12:N30=TRUE())))&lt;=MOD(N$46,MAX(1,N$48)),1,0),0)</f>
        <v>0</v>
      </c>
      <c r="P70" s="14" t="n">
        <f aca="false">IF(AND(P$47,P$48&gt;0,LEN(TRIM($B30))&gt;0,P30=TRUE(),IF(P$50,$C30&lt;&gt;TRUE(),TRUE())),QUOTIENT(P$46,MAX(1,P$48))+IF(IF(P$50,SUMPRODUCT(--(LEN(TRIM($B$12:$B30))&gt;0),--(P$12:P30=TRUE()),--($C$12:$C30&lt;&gt;TRUE())),SUMPRODUCT(--(LEN(TRIM($B$12:$B30))&gt;0),--(P$12:P30=TRUE())))&lt;=MOD(P$46,MAX(1,P$48)),1,0),0)</f>
        <v>0</v>
      </c>
    </row>
    <row r="71" customFormat="false" ht="15" hidden="true" customHeight="false" outlineLevel="0" collapsed="false">
      <c r="A71" s="13" t="s">
        <v>37</v>
      </c>
      <c r="D71" s="14" t="n">
        <f aca="false">IF(AND(D$47,D$48&gt;0,LEN(TRIM($B31))&gt;0,D31=TRUE(),IF(D$50,$C31&lt;&gt;TRUE(),TRUE())),QUOTIENT(D$46,MAX(1,D$48))+IF(IF(D$50,SUMPRODUCT(--(LEN(TRIM($B$12:$B31))&gt;0),--(D$12:D31=TRUE()),--($C$12:$C31&lt;&gt;TRUE())),SUMPRODUCT(--(LEN(TRIM($B$12:$B31))&gt;0),--(D$12:D31=TRUE())))&lt;=MOD(D$46,MAX(1,D$48)),1,0),0)</f>
        <v>0</v>
      </c>
      <c r="F71" s="14" t="n">
        <f aca="false">IF(AND(F$47,F$48&gt;0,LEN(TRIM($B31))&gt;0,F31=TRUE(),IF(F$50,$C31&lt;&gt;TRUE(),TRUE())),QUOTIENT(F$46,MAX(1,F$48))+IF(IF(F$50,SUMPRODUCT(--(LEN(TRIM($B$12:$B31))&gt;0),--(F$12:F31=TRUE()),--($C$12:$C31&lt;&gt;TRUE())),SUMPRODUCT(--(LEN(TRIM($B$12:$B31))&gt;0),--(F$12:F31=TRUE())))&lt;=MOD(F$46,MAX(1,F$48)),1,0),0)</f>
        <v>0</v>
      </c>
      <c r="H71" s="14" t="n">
        <f aca="false">IF(AND(H$47,H$48&gt;0,LEN(TRIM($B31))&gt;0,H31=TRUE(),IF(H$50,$C31&lt;&gt;TRUE(),TRUE())),QUOTIENT(H$46,MAX(1,H$48))+IF(IF(H$50,SUMPRODUCT(--(LEN(TRIM($B$12:$B31))&gt;0),--(H$12:H31=TRUE()),--($C$12:$C31&lt;&gt;TRUE())),SUMPRODUCT(--(LEN(TRIM($B$12:$B31))&gt;0),--(H$12:H31=TRUE())))&lt;=MOD(H$46,MAX(1,H$48)),1,0),0)</f>
        <v>0</v>
      </c>
      <c r="J71" s="14" t="n">
        <f aca="false">IF(AND(J$47,J$48&gt;0,LEN(TRIM($B31))&gt;0,J31=TRUE(),IF(J$50,$C31&lt;&gt;TRUE(),TRUE())),QUOTIENT(J$46,MAX(1,J$48))+IF(IF(J$50,SUMPRODUCT(--(LEN(TRIM($B$12:$B31))&gt;0),--(J$12:J31=TRUE()),--($C$12:$C31&lt;&gt;TRUE())),SUMPRODUCT(--(LEN(TRIM($B$12:$B31))&gt;0),--(J$12:J31=TRUE())))&lt;=MOD(J$46,MAX(1,J$48)),1,0),0)</f>
        <v>0</v>
      </c>
      <c r="L71" s="14" t="n">
        <f aca="false">IF(AND(L$47,L$48&gt;0,LEN(TRIM($B31))&gt;0,L31=TRUE(),IF(L$50,$C31&lt;&gt;TRUE(),TRUE())),QUOTIENT(L$46,MAX(1,L$48))+IF(IF(L$50,SUMPRODUCT(--(LEN(TRIM($B$12:$B31))&gt;0),--(L$12:L31=TRUE()),--($C$12:$C31&lt;&gt;TRUE())),SUMPRODUCT(--(LEN(TRIM($B$12:$B31))&gt;0),--(L$12:L31=TRUE())))&lt;=MOD(L$46,MAX(1,L$48)),1,0),0)</f>
        <v>0</v>
      </c>
      <c r="N71" s="14" t="n">
        <f aca="false">IF(AND(N$47,N$48&gt;0,LEN(TRIM($B31))&gt;0,N31=TRUE(),IF(N$50,$C31&lt;&gt;TRUE(),TRUE())),QUOTIENT(N$46,MAX(1,N$48))+IF(IF(N$50,SUMPRODUCT(--(LEN(TRIM($B$12:$B31))&gt;0),--(N$12:N31=TRUE()),--($C$12:$C31&lt;&gt;TRUE())),SUMPRODUCT(--(LEN(TRIM($B$12:$B31))&gt;0),--(N$12:N31=TRUE())))&lt;=MOD(N$46,MAX(1,N$48)),1,0),0)</f>
        <v>0</v>
      </c>
      <c r="P71" s="14" t="n">
        <f aca="false">IF(AND(P$47,P$48&gt;0,LEN(TRIM($B31))&gt;0,P31=TRUE(),IF(P$50,$C31&lt;&gt;TRUE(),TRUE())),QUOTIENT(P$46,MAX(1,P$48))+IF(IF(P$50,SUMPRODUCT(--(LEN(TRIM($B$12:$B31))&gt;0),--(P$12:P31=TRUE()),--($C$12:$C31&lt;&gt;TRUE())),SUMPRODUCT(--(LEN(TRIM($B$12:$B31))&gt;0),--(P$12:P31=TRUE())))&lt;=MOD(P$46,MAX(1,P$48)),1,0),0)</f>
        <v>0</v>
      </c>
    </row>
    <row r="72" customFormat="false" ht="15" hidden="true" customHeight="false" outlineLevel="0" collapsed="false">
      <c r="A72" s="13" t="s">
        <v>38</v>
      </c>
      <c r="D72" s="14" t="n">
        <f aca="false">IF(AND(D$47,D$48&gt;0,LEN(TRIM($B32))&gt;0,D32=TRUE(),IF(D$50,$C32&lt;&gt;TRUE(),TRUE())),QUOTIENT(D$46,MAX(1,D$48))+IF(IF(D$50,SUMPRODUCT(--(LEN(TRIM($B$12:$B32))&gt;0),--(D$12:D32=TRUE()),--($C$12:$C32&lt;&gt;TRUE())),SUMPRODUCT(--(LEN(TRIM($B$12:$B32))&gt;0),--(D$12:D32=TRUE())))&lt;=MOD(D$46,MAX(1,D$48)),1,0),0)</f>
        <v>0</v>
      </c>
      <c r="F72" s="14" t="n">
        <f aca="false">IF(AND(F$47,F$48&gt;0,LEN(TRIM($B32))&gt;0,F32=TRUE(),IF(F$50,$C32&lt;&gt;TRUE(),TRUE())),QUOTIENT(F$46,MAX(1,F$48))+IF(IF(F$50,SUMPRODUCT(--(LEN(TRIM($B$12:$B32))&gt;0),--(F$12:F32=TRUE()),--($C$12:$C32&lt;&gt;TRUE())),SUMPRODUCT(--(LEN(TRIM($B$12:$B32))&gt;0),--(F$12:F32=TRUE())))&lt;=MOD(F$46,MAX(1,F$48)),1,0),0)</f>
        <v>0</v>
      </c>
      <c r="H72" s="14" t="n">
        <f aca="false">IF(AND(H$47,H$48&gt;0,LEN(TRIM($B32))&gt;0,H32=TRUE(),IF(H$50,$C32&lt;&gt;TRUE(),TRUE())),QUOTIENT(H$46,MAX(1,H$48))+IF(IF(H$50,SUMPRODUCT(--(LEN(TRIM($B$12:$B32))&gt;0),--(H$12:H32=TRUE()),--($C$12:$C32&lt;&gt;TRUE())),SUMPRODUCT(--(LEN(TRIM($B$12:$B32))&gt;0),--(H$12:H32=TRUE())))&lt;=MOD(H$46,MAX(1,H$48)),1,0),0)</f>
        <v>0</v>
      </c>
      <c r="J72" s="14" t="n">
        <f aca="false">IF(AND(J$47,J$48&gt;0,LEN(TRIM($B32))&gt;0,J32=TRUE(),IF(J$50,$C32&lt;&gt;TRUE(),TRUE())),QUOTIENT(J$46,MAX(1,J$48))+IF(IF(J$50,SUMPRODUCT(--(LEN(TRIM($B$12:$B32))&gt;0),--(J$12:J32=TRUE()),--($C$12:$C32&lt;&gt;TRUE())),SUMPRODUCT(--(LEN(TRIM($B$12:$B32))&gt;0),--(J$12:J32=TRUE())))&lt;=MOD(J$46,MAX(1,J$48)),1,0),0)</f>
        <v>0</v>
      </c>
      <c r="L72" s="14" t="n">
        <f aca="false">IF(AND(L$47,L$48&gt;0,LEN(TRIM($B32))&gt;0,L32=TRUE(),IF(L$50,$C32&lt;&gt;TRUE(),TRUE())),QUOTIENT(L$46,MAX(1,L$48))+IF(IF(L$50,SUMPRODUCT(--(LEN(TRIM($B$12:$B32))&gt;0),--(L$12:L32=TRUE()),--($C$12:$C32&lt;&gt;TRUE())),SUMPRODUCT(--(LEN(TRIM($B$12:$B32))&gt;0),--(L$12:L32=TRUE())))&lt;=MOD(L$46,MAX(1,L$48)),1,0),0)</f>
        <v>0</v>
      </c>
      <c r="N72" s="14" t="n">
        <f aca="false">IF(AND(N$47,N$48&gt;0,LEN(TRIM($B32))&gt;0,N32=TRUE(),IF(N$50,$C32&lt;&gt;TRUE(),TRUE())),QUOTIENT(N$46,MAX(1,N$48))+IF(IF(N$50,SUMPRODUCT(--(LEN(TRIM($B$12:$B32))&gt;0),--(N$12:N32=TRUE()),--($C$12:$C32&lt;&gt;TRUE())),SUMPRODUCT(--(LEN(TRIM($B$12:$B32))&gt;0),--(N$12:N32=TRUE())))&lt;=MOD(N$46,MAX(1,N$48)),1,0),0)</f>
        <v>0</v>
      </c>
      <c r="P72" s="14" t="n">
        <f aca="false">IF(AND(P$47,P$48&gt;0,LEN(TRIM($B32))&gt;0,P32=TRUE(),IF(P$50,$C32&lt;&gt;TRUE(),TRUE())),QUOTIENT(P$46,MAX(1,P$48))+IF(IF(P$50,SUMPRODUCT(--(LEN(TRIM($B$12:$B32))&gt;0),--(P$12:P32=TRUE()),--($C$12:$C32&lt;&gt;TRUE())),SUMPRODUCT(--(LEN(TRIM($B$12:$B32))&gt;0),--(P$12:P32=TRUE())))&lt;=MOD(P$46,MAX(1,P$48)),1,0),0)</f>
        <v>0</v>
      </c>
    </row>
    <row r="73" customFormat="false" ht="15" hidden="true" customHeight="false" outlineLevel="0" collapsed="false">
      <c r="A73" s="13" t="s">
        <v>39</v>
      </c>
      <c r="D73" s="14" t="n">
        <f aca="false">IF(AND(D$47,D$48&gt;0,LEN(TRIM($B33))&gt;0,D33=TRUE(),IF(D$50,$C33&lt;&gt;TRUE(),TRUE())),QUOTIENT(D$46,MAX(1,D$48))+IF(IF(D$50,SUMPRODUCT(--(LEN(TRIM($B$12:$B33))&gt;0),--(D$12:D33=TRUE()),--($C$12:$C33&lt;&gt;TRUE())),SUMPRODUCT(--(LEN(TRIM($B$12:$B33))&gt;0),--(D$12:D33=TRUE())))&lt;=MOD(D$46,MAX(1,D$48)),1,0),0)</f>
        <v>0</v>
      </c>
      <c r="F73" s="14" t="n">
        <f aca="false">IF(AND(F$47,F$48&gt;0,LEN(TRIM($B33))&gt;0,F33=TRUE(),IF(F$50,$C33&lt;&gt;TRUE(),TRUE())),QUOTIENT(F$46,MAX(1,F$48))+IF(IF(F$50,SUMPRODUCT(--(LEN(TRIM($B$12:$B33))&gt;0),--(F$12:F33=TRUE()),--($C$12:$C33&lt;&gt;TRUE())),SUMPRODUCT(--(LEN(TRIM($B$12:$B33))&gt;0),--(F$12:F33=TRUE())))&lt;=MOD(F$46,MAX(1,F$48)),1,0),0)</f>
        <v>0</v>
      </c>
      <c r="H73" s="14" t="n">
        <f aca="false">IF(AND(H$47,H$48&gt;0,LEN(TRIM($B33))&gt;0,H33=TRUE(),IF(H$50,$C33&lt;&gt;TRUE(),TRUE())),QUOTIENT(H$46,MAX(1,H$48))+IF(IF(H$50,SUMPRODUCT(--(LEN(TRIM($B$12:$B33))&gt;0),--(H$12:H33=TRUE()),--($C$12:$C33&lt;&gt;TRUE())),SUMPRODUCT(--(LEN(TRIM($B$12:$B33))&gt;0),--(H$12:H33=TRUE())))&lt;=MOD(H$46,MAX(1,H$48)),1,0),0)</f>
        <v>0</v>
      </c>
      <c r="J73" s="14" t="n">
        <f aca="false">IF(AND(J$47,J$48&gt;0,LEN(TRIM($B33))&gt;0,J33=TRUE(),IF(J$50,$C33&lt;&gt;TRUE(),TRUE())),QUOTIENT(J$46,MAX(1,J$48))+IF(IF(J$50,SUMPRODUCT(--(LEN(TRIM($B$12:$B33))&gt;0),--(J$12:J33=TRUE()),--($C$12:$C33&lt;&gt;TRUE())),SUMPRODUCT(--(LEN(TRIM($B$12:$B33))&gt;0),--(J$12:J33=TRUE())))&lt;=MOD(J$46,MAX(1,J$48)),1,0),0)</f>
        <v>0</v>
      </c>
      <c r="L73" s="14" t="n">
        <f aca="false">IF(AND(L$47,L$48&gt;0,LEN(TRIM($B33))&gt;0,L33=TRUE(),IF(L$50,$C33&lt;&gt;TRUE(),TRUE())),QUOTIENT(L$46,MAX(1,L$48))+IF(IF(L$50,SUMPRODUCT(--(LEN(TRIM($B$12:$B33))&gt;0),--(L$12:L33=TRUE()),--($C$12:$C33&lt;&gt;TRUE())),SUMPRODUCT(--(LEN(TRIM($B$12:$B33))&gt;0),--(L$12:L33=TRUE())))&lt;=MOD(L$46,MAX(1,L$48)),1,0),0)</f>
        <v>0</v>
      </c>
      <c r="N73" s="14" t="n">
        <f aca="false">IF(AND(N$47,N$48&gt;0,LEN(TRIM($B33))&gt;0,N33=TRUE(),IF(N$50,$C33&lt;&gt;TRUE(),TRUE())),QUOTIENT(N$46,MAX(1,N$48))+IF(IF(N$50,SUMPRODUCT(--(LEN(TRIM($B$12:$B33))&gt;0),--(N$12:N33=TRUE()),--($C$12:$C33&lt;&gt;TRUE())),SUMPRODUCT(--(LEN(TRIM($B$12:$B33))&gt;0),--(N$12:N33=TRUE())))&lt;=MOD(N$46,MAX(1,N$48)),1,0),0)</f>
        <v>0</v>
      </c>
      <c r="P73" s="14" t="n">
        <f aca="false">IF(AND(P$47,P$48&gt;0,LEN(TRIM($B33))&gt;0,P33=TRUE(),IF(P$50,$C33&lt;&gt;TRUE(),TRUE())),QUOTIENT(P$46,MAX(1,P$48))+IF(IF(P$50,SUMPRODUCT(--(LEN(TRIM($B$12:$B33))&gt;0),--(P$12:P33=TRUE()),--($C$12:$C33&lt;&gt;TRUE())),SUMPRODUCT(--(LEN(TRIM($B$12:$B33))&gt;0),--(P$12:P33=TRUE())))&lt;=MOD(P$46,MAX(1,P$48)),1,0),0)</f>
        <v>0</v>
      </c>
    </row>
    <row r="74" customFormat="false" ht="15" hidden="true" customHeight="false" outlineLevel="0" collapsed="false">
      <c r="A74" s="13" t="s">
        <v>40</v>
      </c>
      <c r="D74" s="14" t="n">
        <f aca="false">IF(AND(D$47,D$48&gt;0,LEN(TRIM($B34))&gt;0,D34=TRUE(),IF(D$50,$C34&lt;&gt;TRUE(),TRUE())),QUOTIENT(D$46,MAX(1,D$48))+IF(IF(D$50,SUMPRODUCT(--(LEN(TRIM($B$12:$B34))&gt;0),--(D$12:D34=TRUE()),--($C$12:$C34&lt;&gt;TRUE())),SUMPRODUCT(--(LEN(TRIM($B$12:$B34))&gt;0),--(D$12:D34=TRUE())))&lt;=MOD(D$46,MAX(1,D$48)),1,0),0)</f>
        <v>0</v>
      </c>
      <c r="F74" s="14" t="n">
        <f aca="false">IF(AND(F$47,F$48&gt;0,LEN(TRIM($B34))&gt;0,F34=TRUE(),IF(F$50,$C34&lt;&gt;TRUE(),TRUE())),QUOTIENT(F$46,MAX(1,F$48))+IF(IF(F$50,SUMPRODUCT(--(LEN(TRIM($B$12:$B34))&gt;0),--(F$12:F34=TRUE()),--($C$12:$C34&lt;&gt;TRUE())),SUMPRODUCT(--(LEN(TRIM($B$12:$B34))&gt;0),--(F$12:F34=TRUE())))&lt;=MOD(F$46,MAX(1,F$48)),1,0),0)</f>
        <v>0</v>
      </c>
      <c r="H74" s="14" t="n">
        <f aca="false">IF(AND(H$47,H$48&gt;0,LEN(TRIM($B34))&gt;0,H34=TRUE(),IF(H$50,$C34&lt;&gt;TRUE(),TRUE())),QUOTIENT(H$46,MAX(1,H$48))+IF(IF(H$50,SUMPRODUCT(--(LEN(TRIM($B$12:$B34))&gt;0),--(H$12:H34=TRUE()),--($C$12:$C34&lt;&gt;TRUE())),SUMPRODUCT(--(LEN(TRIM($B$12:$B34))&gt;0),--(H$12:H34=TRUE())))&lt;=MOD(H$46,MAX(1,H$48)),1,0),0)</f>
        <v>0</v>
      </c>
      <c r="J74" s="14" t="n">
        <f aca="false">IF(AND(J$47,J$48&gt;0,LEN(TRIM($B34))&gt;0,J34=TRUE(),IF(J$50,$C34&lt;&gt;TRUE(),TRUE())),QUOTIENT(J$46,MAX(1,J$48))+IF(IF(J$50,SUMPRODUCT(--(LEN(TRIM($B$12:$B34))&gt;0),--(J$12:J34=TRUE()),--($C$12:$C34&lt;&gt;TRUE())),SUMPRODUCT(--(LEN(TRIM($B$12:$B34))&gt;0),--(J$12:J34=TRUE())))&lt;=MOD(J$46,MAX(1,J$48)),1,0),0)</f>
        <v>0</v>
      </c>
      <c r="L74" s="14" t="n">
        <f aca="false">IF(AND(L$47,L$48&gt;0,LEN(TRIM($B34))&gt;0,L34=TRUE(),IF(L$50,$C34&lt;&gt;TRUE(),TRUE())),QUOTIENT(L$46,MAX(1,L$48))+IF(IF(L$50,SUMPRODUCT(--(LEN(TRIM($B$12:$B34))&gt;0),--(L$12:L34=TRUE()),--($C$12:$C34&lt;&gt;TRUE())),SUMPRODUCT(--(LEN(TRIM($B$12:$B34))&gt;0),--(L$12:L34=TRUE())))&lt;=MOD(L$46,MAX(1,L$48)),1,0),0)</f>
        <v>0</v>
      </c>
      <c r="N74" s="14" t="n">
        <f aca="false">IF(AND(N$47,N$48&gt;0,LEN(TRIM($B34))&gt;0,N34=TRUE(),IF(N$50,$C34&lt;&gt;TRUE(),TRUE())),QUOTIENT(N$46,MAX(1,N$48))+IF(IF(N$50,SUMPRODUCT(--(LEN(TRIM($B$12:$B34))&gt;0),--(N$12:N34=TRUE()),--($C$12:$C34&lt;&gt;TRUE())),SUMPRODUCT(--(LEN(TRIM($B$12:$B34))&gt;0),--(N$12:N34=TRUE())))&lt;=MOD(N$46,MAX(1,N$48)),1,0),0)</f>
        <v>0</v>
      </c>
      <c r="P74" s="14" t="n">
        <f aca="false">IF(AND(P$47,P$48&gt;0,LEN(TRIM($B34))&gt;0,P34=TRUE(),IF(P$50,$C34&lt;&gt;TRUE(),TRUE())),QUOTIENT(P$46,MAX(1,P$48))+IF(IF(P$50,SUMPRODUCT(--(LEN(TRIM($B$12:$B34))&gt;0),--(P$12:P34=TRUE()),--($C$12:$C34&lt;&gt;TRUE())),SUMPRODUCT(--(LEN(TRIM($B$12:$B34))&gt;0),--(P$12:P34=TRUE())))&lt;=MOD(P$46,MAX(1,P$48)),1,0),0)</f>
        <v>0</v>
      </c>
    </row>
    <row r="75" customFormat="false" ht="15" hidden="true" customHeight="false" outlineLevel="0" collapsed="false">
      <c r="A75" s="13" t="s">
        <v>41</v>
      </c>
      <c r="D75" s="14" t="n">
        <f aca="false">IF(AND(D$47,D$48&gt;0,LEN(TRIM($B35))&gt;0,D35=TRUE(),IF(D$50,$C35&lt;&gt;TRUE(),TRUE())),QUOTIENT(D$46,MAX(1,D$48))+IF(IF(D$50,SUMPRODUCT(--(LEN(TRIM($B$12:$B35))&gt;0),--(D$12:D35=TRUE()),--($C$12:$C35&lt;&gt;TRUE())),SUMPRODUCT(--(LEN(TRIM($B$12:$B35))&gt;0),--(D$12:D35=TRUE())))&lt;=MOD(D$46,MAX(1,D$48)),1,0),0)</f>
        <v>0</v>
      </c>
      <c r="F75" s="14" t="n">
        <f aca="false">IF(AND(F$47,F$48&gt;0,LEN(TRIM($B35))&gt;0,F35=TRUE(),IF(F$50,$C35&lt;&gt;TRUE(),TRUE())),QUOTIENT(F$46,MAX(1,F$48))+IF(IF(F$50,SUMPRODUCT(--(LEN(TRIM($B$12:$B35))&gt;0),--(F$12:F35=TRUE()),--($C$12:$C35&lt;&gt;TRUE())),SUMPRODUCT(--(LEN(TRIM($B$12:$B35))&gt;0),--(F$12:F35=TRUE())))&lt;=MOD(F$46,MAX(1,F$48)),1,0),0)</f>
        <v>0</v>
      </c>
      <c r="H75" s="14" t="n">
        <f aca="false">IF(AND(H$47,H$48&gt;0,LEN(TRIM($B35))&gt;0,H35=TRUE(),IF(H$50,$C35&lt;&gt;TRUE(),TRUE())),QUOTIENT(H$46,MAX(1,H$48))+IF(IF(H$50,SUMPRODUCT(--(LEN(TRIM($B$12:$B35))&gt;0),--(H$12:H35=TRUE()),--($C$12:$C35&lt;&gt;TRUE())),SUMPRODUCT(--(LEN(TRIM($B$12:$B35))&gt;0),--(H$12:H35=TRUE())))&lt;=MOD(H$46,MAX(1,H$48)),1,0),0)</f>
        <v>0</v>
      </c>
      <c r="J75" s="14" t="n">
        <f aca="false">IF(AND(J$47,J$48&gt;0,LEN(TRIM($B35))&gt;0,J35=TRUE(),IF(J$50,$C35&lt;&gt;TRUE(),TRUE())),QUOTIENT(J$46,MAX(1,J$48))+IF(IF(J$50,SUMPRODUCT(--(LEN(TRIM($B$12:$B35))&gt;0),--(J$12:J35=TRUE()),--($C$12:$C35&lt;&gt;TRUE())),SUMPRODUCT(--(LEN(TRIM($B$12:$B35))&gt;0),--(J$12:J35=TRUE())))&lt;=MOD(J$46,MAX(1,J$48)),1,0),0)</f>
        <v>0</v>
      </c>
      <c r="L75" s="14" t="n">
        <f aca="false">IF(AND(L$47,L$48&gt;0,LEN(TRIM($B35))&gt;0,L35=TRUE(),IF(L$50,$C35&lt;&gt;TRUE(),TRUE())),QUOTIENT(L$46,MAX(1,L$48))+IF(IF(L$50,SUMPRODUCT(--(LEN(TRIM($B$12:$B35))&gt;0),--(L$12:L35=TRUE()),--($C$12:$C35&lt;&gt;TRUE())),SUMPRODUCT(--(LEN(TRIM($B$12:$B35))&gt;0),--(L$12:L35=TRUE())))&lt;=MOD(L$46,MAX(1,L$48)),1,0),0)</f>
        <v>0</v>
      </c>
      <c r="N75" s="14" t="n">
        <f aca="false">IF(AND(N$47,N$48&gt;0,LEN(TRIM($B35))&gt;0,N35=TRUE(),IF(N$50,$C35&lt;&gt;TRUE(),TRUE())),QUOTIENT(N$46,MAX(1,N$48))+IF(IF(N$50,SUMPRODUCT(--(LEN(TRIM($B$12:$B35))&gt;0),--(N$12:N35=TRUE()),--($C$12:$C35&lt;&gt;TRUE())),SUMPRODUCT(--(LEN(TRIM($B$12:$B35))&gt;0),--(N$12:N35=TRUE())))&lt;=MOD(N$46,MAX(1,N$48)),1,0),0)</f>
        <v>0</v>
      </c>
      <c r="P75" s="14" t="n">
        <f aca="false">IF(AND(P$47,P$48&gt;0,LEN(TRIM($B35))&gt;0,P35=TRUE(),IF(P$50,$C35&lt;&gt;TRUE(),TRUE())),QUOTIENT(P$46,MAX(1,P$48))+IF(IF(P$50,SUMPRODUCT(--(LEN(TRIM($B$12:$B35))&gt;0),--(P$12:P35=TRUE()),--($C$12:$C35&lt;&gt;TRUE())),SUMPRODUCT(--(LEN(TRIM($B$12:$B35))&gt;0),--(P$12:P35=TRUE())))&lt;=MOD(P$46,MAX(1,P$48)),1,0),0)</f>
        <v>0</v>
      </c>
    </row>
    <row r="76" customFormat="false" ht="15" hidden="true" customHeight="false" outlineLevel="0" collapsed="false">
      <c r="A76" s="13" t="s">
        <v>42</v>
      </c>
      <c r="D76" s="14" t="n">
        <f aca="false">IF(AND(D$47,D$48&gt;0,LEN(TRIM($B36))&gt;0,D36=TRUE(),IF(D$50,$C36&lt;&gt;TRUE(),TRUE())),QUOTIENT(D$46,MAX(1,D$48))+IF(IF(D$50,SUMPRODUCT(--(LEN(TRIM($B$12:$B36))&gt;0),--(D$12:D36=TRUE()),--($C$12:$C36&lt;&gt;TRUE())),SUMPRODUCT(--(LEN(TRIM($B$12:$B36))&gt;0),--(D$12:D36=TRUE())))&lt;=MOD(D$46,MAX(1,D$48)),1,0),0)</f>
        <v>0</v>
      </c>
      <c r="F76" s="14" t="n">
        <f aca="false">IF(AND(F$47,F$48&gt;0,LEN(TRIM($B36))&gt;0,F36=TRUE(),IF(F$50,$C36&lt;&gt;TRUE(),TRUE())),QUOTIENT(F$46,MAX(1,F$48))+IF(IF(F$50,SUMPRODUCT(--(LEN(TRIM($B$12:$B36))&gt;0),--(F$12:F36=TRUE()),--($C$12:$C36&lt;&gt;TRUE())),SUMPRODUCT(--(LEN(TRIM($B$12:$B36))&gt;0),--(F$12:F36=TRUE())))&lt;=MOD(F$46,MAX(1,F$48)),1,0),0)</f>
        <v>0</v>
      </c>
      <c r="H76" s="14" t="n">
        <f aca="false">IF(AND(H$47,H$48&gt;0,LEN(TRIM($B36))&gt;0,H36=TRUE(),IF(H$50,$C36&lt;&gt;TRUE(),TRUE())),QUOTIENT(H$46,MAX(1,H$48))+IF(IF(H$50,SUMPRODUCT(--(LEN(TRIM($B$12:$B36))&gt;0),--(H$12:H36=TRUE()),--($C$12:$C36&lt;&gt;TRUE())),SUMPRODUCT(--(LEN(TRIM($B$12:$B36))&gt;0),--(H$12:H36=TRUE())))&lt;=MOD(H$46,MAX(1,H$48)),1,0),0)</f>
        <v>0</v>
      </c>
      <c r="J76" s="14" t="n">
        <f aca="false">IF(AND(J$47,J$48&gt;0,LEN(TRIM($B36))&gt;0,J36=TRUE(),IF(J$50,$C36&lt;&gt;TRUE(),TRUE())),QUOTIENT(J$46,MAX(1,J$48))+IF(IF(J$50,SUMPRODUCT(--(LEN(TRIM($B$12:$B36))&gt;0),--(J$12:J36=TRUE()),--($C$12:$C36&lt;&gt;TRUE())),SUMPRODUCT(--(LEN(TRIM($B$12:$B36))&gt;0),--(J$12:J36=TRUE())))&lt;=MOD(J$46,MAX(1,J$48)),1,0),0)</f>
        <v>0</v>
      </c>
      <c r="L76" s="14" t="n">
        <f aca="false">IF(AND(L$47,L$48&gt;0,LEN(TRIM($B36))&gt;0,L36=TRUE(),IF(L$50,$C36&lt;&gt;TRUE(),TRUE())),QUOTIENT(L$46,MAX(1,L$48))+IF(IF(L$50,SUMPRODUCT(--(LEN(TRIM($B$12:$B36))&gt;0),--(L$12:L36=TRUE()),--($C$12:$C36&lt;&gt;TRUE())),SUMPRODUCT(--(LEN(TRIM($B$12:$B36))&gt;0),--(L$12:L36=TRUE())))&lt;=MOD(L$46,MAX(1,L$48)),1,0),0)</f>
        <v>0</v>
      </c>
      <c r="N76" s="14" t="n">
        <f aca="false">IF(AND(N$47,N$48&gt;0,LEN(TRIM($B36))&gt;0,N36=TRUE(),IF(N$50,$C36&lt;&gt;TRUE(),TRUE())),QUOTIENT(N$46,MAX(1,N$48))+IF(IF(N$50,SUMPRODUCT(--(LEN(TRIM($B$12:$B36))&gt;0),--(N$12:N36=TRUE()),--($C$12:$C36&lt;&gt;TRUE())),SUMPRODUCT(--(LEN(TRIM($B$12:$B36))&gt;0),--(N$12:N36=TRUE())))&lt;=MOD(N$46,MAX(1,N$48)),1,0),0)</f>
        <v>0</v>
      </c>
      <c r="P76" s="14" t="n">
        <f aca="false">IF(AND(P$47,P$48&gt;0,LEN(TRIM($B36))&gt;0,P36=TRUE(),IF(P$50,$C36&lt;&gt;TRUE(),TRUE())),QUOTIENT(P$46,MAX(1,P$48))+IF(IF(P$50,SUMPRODUCT(--(LEN(TRIM($B$12:$B36))&gt;0),--(P$12:P36=TRUE()),--($C$12:$C36&lt;&gt;TRUE())),SUMPRODUCT(--(LEN(TRIM($B$12:$B36))&gt;0),--(P$12:P36=TRUE())))&lt;=MOD(P$46,MAX(1,P$48)),1,0),0)</f>
        <v>0</v>
      </c>
    </row>
    <row r="77" customFormat="false" ht="15" hidden="true" customHeight="false" outlineLevel="0" collapsed="false">
      <c r="A77" s="13" t="s">
        <v>43</v>
      </c>
      <c r="D77" s="14" t="n">
        <f aca="false">IF(AND(D$47,D$48&gt;0,LEN(TRIM($B37))&gt;0,D37=TRUE(),IF(D$50,$C37&lt;&gt;TRUE(),TRUE())),QUOTIENT(D$46,MAX(1,D$48))+IF(IF(D$50,SUMPRODUCT(--(LEN(TRIM($B$12:$B37))&gt;0),--(D$12:D37=TRUE()),--($C$12:$C37&lt;&gt;TRUE())),SUMPRODUCT(--(LEN(TRIM($B$12:$B37))&gt;0),--(D$12:D37=TRUE())))&lt;=MOD(D$46,MAX(1,D$48)),1,0),0)</f>
        <v>0</v>
      </c>
      <c r="F77" s="14" t="n">
        <f aca="false">IF(AND(F$47,F$48&gt;0,LEN(TRIM($B37))&gt;0,F37=TRUE(),IF(F$50,$C37&lt;&gt;TRUE(),TRUE())),QUOTIENT(F$46,MAX(1,F$48))+IF(IF(F$50,SUMPRODUCT(--(LEN(TRIM($B$12:$B37))&gt;0),--(F$12:F37=TRUE()),--($C$12:$C37&lt;&gt;TRUE())),SUMPRODUCT(--(LEN(TRIM($B$12:$B37))&gt;0),--(F$12:F37=TRUE())))&lt;=MOD(F$46,MAX(1,F$48)),1,0),0)</f>
        <v>0</v>
      </c>
      <c r="H77" s="14" t="n">
        <f aca="false">IF(AND(H$47,H$48&gt;0,LEN(TRIM($B37))&gt;0,H37=TRUE(),IF(H$50,$C37&lt;&gt;TRUE(),TRUE())),QUOTIENT(H$46,MAX(1,H$48))+IF(IF(H$50,SUMPRODUCT(--(LEN(TRIM($B$12:$B37))&gt;0),--(H$12:H37=TRUE()),--($C$12:$C37&lt;&gt;TRUE())),SUMPRODUCT(--(LEN(TRIM($B$12:$B37))&gt;0),--(H$12:H37=TRUE())))&lt;=MOD(H$46,MAX(1,H$48)),1,0),0)</f>
        <v>0</v>
      </c>
      <c r="J77" s="14" t="n">
        <f aca="false">IF(AND(J$47,J$48&gt;0,LEN(TRIM($B37))&gt;0,J37=TRUE(),IF(J$50,$C37&lt;&gt;TRUE(),TRUE())),QUOTIENT(J$46,MAX(1,J$48))+IF(IF(J$50,SUMPRODUCT(--(LEN(TRIM($B$12:$B37))&gt;0),--(J$12:J37=TRUE()),--($C$12:$C37&lt;&gt;TRUE())),SUMPRODUCT(--(LEN(TRIM($B$12:$B37))&gt;0),--(J$12:J37=TRUE())))&lt;=MOD(J$46,MAX(1,J$48)),1,0),0)</f>
        <v>0</v>
      </c>
      <c r="L77" s="14" t="n">
        <f aca="false">IF(AND(L$47,L$48&gt;0,LEN(TRIM($B37))&gt;0,L37=TRUE(),IF(L$50,$C37&lt;&gt;TRUE(),TRUE())),QUOTIENT(L$46,MAX(1,L$48))+IF(IF(L$50,SUMPRODUCT(--(LEN(TRIM($B$12:$B37))&gt;0),--(L$12:L37=TRUE()),--($C$12:$C37&lt;&gt;TRUE())),SUMPRODUCT(--(LEN(TRIM($B$12:$B37))&gt;0),--(L$12:L37=TRUE())))&lt;=MOD(L$46,MAX(1,L$48)),1,0),0)</f>
        <v>0</v>
      </c>
      <c r="N77" s="14" t="n">
        <f aca="false">IF(AND(N$47,N$48&gt;0,LEN(TRIM($B37))&gt;0,N37=TRUE(),IF(N$50,$C37&lt;&gt;TRUE(),TRUE())),QUOTIENT(N$46,MAX(1,N$48))+IF(IF(N$50,SUMPRODUCT(--(LEN(TRIM($B$12:$B37))&gt;0),--(N$12:N37=TRUE()),--($C$12:$C37&lt;&gt;TRUE())),SUMPRODUCT(--(LEN(TRIM($B$12:$B37))&gt;0),--(N$12:N37=TRUE())))&lt;=MOD(N$46,MAX(1,N$48)),1,0),0)</f>
        <v>0</v>
      </c>
      <c r="P77" s="14" t="n">
        <f aca="false">IF(AND(P$47,P$48&gt;0,LEN(TRIM($B37))&gt;0,P37=TRUE(),IF(P$50,$C37&lt;&gt;TRUE(),TRUE())),QUOTIENT(P$46,MAX(1,P$48))+IF(IF(P$50,SUMPRODUCT(--(LEN(TRIM($B$12:$B37))&gt;0),--(P$12:P37=TRUE()),--($C$12:$C37&lt;&gt;TRUE())),SUMPRODUCT(--(LEN(TRIM($B$12:$B37))&gt;0),--(P$12:P37=TRUE())))&lt;=MOD(P$46,MAX(1,P$48)),1,0),0)</f>
        <v>0</v>
      </c>
    </row>
    <row r="78" customFormat="false" ht="15" hidden="true" customHeight="false" outlineLevel="0" collapsed="false">
      <c r="A78" s="13" t="s">
        <v>44</v>
      </c>
      <c r="D78" s="14" t="n">
        <f aca="false">IF(AND(D$47,D$48&gt;0,LEN(TRIM($B38))&gt;0,D38=TRUE(),IF(D$50,$C38&lt;&gt;TRUE(),TRUE())),QUOTIENT(D$46,MAX(1,D$48))+IF(IF(D$50,SUMPRODUCT(--(LEN(TRIM($B$12:$B38))&gt;0),--(D$12:D38=TRUE()),--($C$12:$C38&lt;&gt;TRUE())),SUMPRODUCT(--(LEN(TRIM($B$12:$B38))&gt;0),--(D$12:D38=TRUE())))&lt;=MOD(D$46,MAX(1,D$48)),1,0),0)</f>
        <v>0</v>
      </c>
      <c r="F78" s="14" t="n">
        <f aca="false">IF(AND(F$47,F$48&gt;0,LEN(TRIM($B38))&gt;0,F38=TRUE(),IF(F$50,$C38&lt;&gt;TRUE(),TRUE())),QUOTIENT(F$46,MAX(1,F$48))+IF(IF(F$50,SUMPRODUCT(--(LEN(TRIM($B$12:$B38))&gt;0),--(F$12:F38=TRUE()),--($C$12:$C38&lt;&gt;TRUE())),SUMPRODUCT(--(LEN(TRIM($B$12:$B38))&gt;0),--(F$12:F38=TRUE())))&lt;=MOD(F$46,MAX(1,F$48)),1,0),0)</f>
        <v>0</v>
      </c>
      <c r="H78" s="14" t="n">
        <f aca="false">IF(AND(H$47,H$48&gt;0,LEN(TRIM($B38))&gt;0,H38=TRUE(),IF(H$50,$C38&lt;&gt;TRUE(),TRUE())),QUOTIENT(H$46,MAX(1,H$48))+IF(IF(H$50,SUMPRODUCT(--(LEN(TRIM($B$12:$B38))&gt;0),--(H$12:H38=TRUE()),--($C$12:$C38&lt;&gt;TRUE())),SUMPRODUCT(--(LEN(TRIM($B$12:$B38))&gt;0),--(H$12:H38=TRUE())))&lt;=MOD(H$46,MAX(1,H$48)),1,0),0)</f>
        <v>0</v>
      </c>
      <c r="J78" s="14" t="n">
        <f aca="false">IF(AND(J$47,J$48&gt;0,LEN(TRIM($B38))&gt;0,J38=TRUE(),IF(J$50,$C38&lt;&gt;TRUE(),TRUE())),QUOTIENT(J$46,MAX(1,J$48))+IF(IF(J$50,SUMPRODUCT(--(LEN(TRIM($B$12:$B38))&gt;0),--(J$12:J38=TRUE()),--($C$12:$C38&lt;&gt;TRUE())),SUMPRODUCT(--(LEN(TRIM($B$12:$B38))&gt;0),--(J$12:J38=TRUE())))&lt;=MOD(J$46,MAX(1,J$48)),1,0),0)</f>
        <v>0</v>
      </c>
      <c r="L78" s="14" t="n">
        <f aca="false">IF(AND(L$47,L$48&gt;0,LEN(TRIM($B38))&gt;0,L38=TRUE(),IF(L$50,$C38&lt;&gt;TRUE(),TRUE())),QUOTIENT(L$46,MAX(1,L$48))+IF(IF(L$50,SUMPRODUCT(--(LEN(TRIM($B$12:$B38))&gt;0),--(L$12:L38=TRUE()),--($C$12:$C38&lt;&gt;TRUE())),SUMPRODUCT(--(LEN(TRIM($B$12:$B38))&gt;0),--(L$12:L38=TRUE())))&lt;=MOD(L$46,MAX(1,L$48)),1,0),0)</f>
        <v>0</v>
      </c>
      <c r="N78" s="14" t="n">
        <f aca="false">IF(AND(N$47,N$48&gt;0,LEN(TRIM($B38))&gt;0,N38=TRUE(),IF(N$50,$C38&lt;&gt;TRUE(),TRUE())),QUOTIENT(N$46,MAX(1,N$48))+IF(IF(N$50,SUMPRODUCT(--(LEN(TRIM($B$12:$B38))&gt;0),--(N$12:N38=TRUE()),--($C$12:$C38&lt;&gt;TRUE())),SUMPRODUCT(--(LEN(TRIM($B$12:$B38))&gt;0),--(N$12:N38=TRUE())))&lt;=MOD(N$46,MAX(1,N$48)),1,0),0)</f>
        <v>0</v>
      </c>
      <c r="P78" s="14" t="n">
        <f aca="false">IF(AND(P$47,P$48&gt;0,LEN(TRIM($B38))&gt;0,P38=TRUE(),IF(P$50,$C38&lt;&gt;TRUE(),TRUE())),QUOTIENT(P$46,MAX(1,P$48))+IF(IF(P$50,SUMPRODUCT(--(LEN(TRIM($B$12:$B38))&gt;0),--(P$12:P38=TRUE()),--($C$12:$C38&lt;&gt;TRUE())),SUMPRODUCT(--(LEN(TRIM($B$12:$B38))&gt;0),--(P$12:P38=TRUE())))&lt;=MOD(P$46,MAX(1,P$48)),1,0),0)</f>
        <v>0</v>
      </c>
    </row>
    <row r="79" customFormat="false" ht="15" hidden="true" customHeight="false" outlineLevel="0" collapsed="false">
      <c r="A79" s="13" t="s">
        <v>45</v>
      </c>
      <c r="D79" s="14" t="n">
        <f aca="false">IF(AND(D$47,D$48&gt;0,LEN(TRIM($B39))&gt;0,D39=TRUE(),IF(D$50,$C39&lt;&gt;TRUE(),TRUE())),QUOTIENT(D$46,MAX(1,D$48))+IF(IF(D$50,SUMPRODUCT(--(LEN(TRIM($B$12:$B39))&gt;0),--(D$12:D39=TRUE()),--($C$12:$C39&lt;&gt;TRUE())),SUMPRODUCT(--(LEN(TRIM($B$12:$B39))&gt;0),--(D$12:D39=TRUE())))&lt;=MOD(D$46,MAX(1,D$48)),1,0),0)</f>
        <v>0</v>
      </c>
      <c r="F79" s="14" t="n">
        <f aca="false">IF(AND(F$47,F$48&gt;0,LEN(TRIM($B39))&gt;0,F39=TRUE(),IF(F$50,$C39&lt;&gt;TRUE(),TRUE())),QUOTIENT(F$46,MAX(1,F$48))+IF(IF(F$50,SUMPRODUCT(--(LEN(TRIM($B$12:$B39))&gt;0),--(F$12:F39=TRUE()),--($C$12:$C39&lt;&gt;TRUE())),SUMPRODUCT(--(LEN(TRIM($B$12:$B39))&gt;0),--(F$12:F39=TRUE())))&lt;=MOD(F$46,MAX(1,F$48)),1,0),0)</f>
        <v>0</v>
      </c>
      <c r="H79" s="14" t="n">
        <f aca="false">IF(AND(H$47,H$48&gt;0,LEN(TRIM($B39))&gt;0,H39=TRUE(),IF(H$50,$C39&lt;&gt;TRUE(),TRUE())),QUOTIENT(H$46,MAX(1,H$48))+IF(IF(H$50,SUMPRODUCT(--(LEN(TRIM($B$12:$B39))&gt;0),--(H$12:H39=TRUE()),--($C$12:$C39&lt;&gt;TRUE())),SUMPRODUCT(--(LEN(TRIM($B$12:$B39))&gt;0),--(H$12:H39=TRUE())))&lt;=MOD(H$46,MAX(1,H$48)),1,0),0)</f>
        <v>0</v>
      </c>
      <c r="J79" s="14" t="n">
        <f aca="false">IF(AND(J$47,J$48&gt;0,LEN(TRIM($B39))&gt;0,J39=TRUE(),IF(J$50,$C39&lt;&gt;TRUE(),TRUE())),QUOTIENT(J$46,MAX(1,J$48))+IF(IF(J$50,SUMPRODUCT(--(LEN(TRIM($B$12:$B39))&gt;0),--(J$12:J39=TRUE()),--($C$12:$C39&lt;&gt;TRUE())),SUMPRODUCT(--(LEN(TRIM($B$12:$B39))&gt;0),--(J$12:J39=TRUE())))&lt;=MOD(J$46,MAX(1,J$48)),1,0),0)</f>
        <v>0</v>
      </c>
      <c r="L79" s="14" t="n">
        <f aca="false">IF(AND(L$47,L$48&gt;0,LEN(TRIM($B39))&gt;0,L39=TRUE(),IF(L$50,$C39&lt;&gt;TRUE(),TRUE())),QUOTIENT(L$46,MAX(1,L$48))+IF(IF(L$50,SUMPRODUCT(--(LEN(TRIM($B$12:$B39))&gt;0),--(L$12:L39=TRUE()),--($C$12:$C39&lt;&gt;TRUE())),SUMPRODUCT(--(LEN(TRIM($B$12:$B39))&gt;0),--(L$12:L39=TRUE())))&lt;=MOD(L$46,MAX(1,L$48)),1,0),0)</f>
        <v>0</v>
      </c>
      <c r="N79" s="14" t="n">
        <f aca="false">IF(AND(N$47,N$48&gt;0,LEN(TRIM($B39))&gt;0,N39=TRUE(),IF(N$50,$C39&lt;&gt;TRUE(),TRUE())),QUOTIENT(N$46,MAX(1,N$48))+IF(IF(N$50,SUMPRODUCT(--(LEN(TRIM($B$12:$B39))&gt;0),--(N$12:N39=TRUE()),--($C$12:$C39&lt;&gt;TRUE())),SUMPRODUCT(--(LEN(TRIM($B$12:$B39))&gt;0),--(N$12:N39=TRUE())))&lt;=MOD(N$46,MAX(1,N$48)),1,0),0)</f>
        <v>0</v>
      </c>
      <c r="P79" s="14" t="n">
        <f aca="false">IF(AND(P$47,P$48&gt;0,LEN(TRIM($B39))&gt;0,P39=TRUE(),IF(P$50,$C39&lt;&gt;TRUE(),TRUE())),QUOTIENT(P$46,MAX(1,P$48))+IF(IF(P$50,SUMPRODUCT(--(LEN(TRIM($B$12:$B39))&gt;0),--(P$12:P39=TRUE()),--($C$12:$C39&lt;&gt;TRUE())),SUMPRODUCT(--(LEN(TRIM($B$12:$B39))&gt;0),--(P$12:P39=TRUE())))&lt;=MOD(P$46,MAX(1,P$48)),1,0),0)</f>
        <v>0</v>
      </c>
    </row>
    <row r="80" customFormat="false" ht="15" hidden="true" customHeight="false" outlineLevel="0" collapsed="false">
      <c r="A80" s="13" t="s">
        <v>46</v>
      </c>
      <c r="D80" s="14" t="n">
        <f aca="false">IF(AND(D$47,D$48&gt;0,LEN(TRIM($B40))&gt;0,D40=TRUE(),IF(D$50,$C40&lt;&gt;TRUE(),TRUE())),QUOTIENT(D$46,MAX(1,D$48))+IF(IF(D$50,SUMPRODUCT(--(LEN(TRIM($B$12:$B40))&gt;0),--(D$12:D40=TRUE()),--($C$12:$C40&lt;&gt;TRUE())),SUMPRODUCT(--(LEN(TRIM($B$12:$B40))&gt;0),--(D$12:D40=TRUE())))&lt;=MOD(D$46,MAX(1,D$48)),1,0),0)</f>
        <v>0</v>
      </c>
      <c r="F80" s="14" t="n">
        <f aca="false">IF(AND(F$47,F$48&gt;0,LEN(TRIM($B40))&gt;0,F40=TRUE(),IF(F$50,$C40&lt;&gt;TRUE(),TRUE())),QUOTIENT(F$46,MAX(1,F$48))+IF(IF(F$50,SUMPRODUCT(--(LEN(TRIM($B$12:$B40))&gt;0),--(F$12:F40=TRUE()),--($C$12:$C40&lt;&gt;TRUE())),SUMPRODUCT(--(LEN(TRIM($B$12:$B40))&gt;0),--(F$12:F40=TRUE())))&lt;=MOD(F$46,MAX(1,F$48)),1,0),0)</f>
        <v>0</v>
      </c>
      <c r="H80" s="14" t="n">
        <f aca="false">IF(AND(H$47,H$48&gt;0,LEN(TRIM($B40))&gt;0,H40=TRUE(),IF(H$50,$C40&lt;&gt;TRUE(),TRUE())),QUOTIENT(H$46,MAX(1,H$48))+IF(IF(H$50,SUMPRODUCT(--(LEN(TRIM($B$12:$B40))&gt;0),--(H$12:H40=TRUE()),--($C$12:$C40&lt;&gt;TRUE())),SUMPRODUCT(--(LEN(TRIM($B$12:$B40))&gt;0),--(H$12:H40=TRUE())))&lt;=MOD(H$46,MAX(1,H$48)),1,0),0)</f>
        <v>0</v>
      </c>
      <c r="J80" s="14" t="n">
        <f aca="false">IF(AND(J$47,J$48&gt;0,LEN(TRIM($B40))&gt;0,J40=TRUE(),IF(J$50,$C40&lt;&gt;TRUE(),TRUE())),QUOTIENT(J$46,MAX(1,J$48))+IF(IF(J$50,SUMPRODUCT(--(LEN(TRIM($B$12:$B40))&gt;0),--(J$12:J40=TRUE()),--($C$12:$C40&lt;&gt;TRUE())),SUMPRODUCT(--(LEN(TRIM($B$12:$B40))&gt;0),--(J$12:J40=TRUE())))&lt;=MOD(J$46,MAX(1,J$48)),1,0),0)</f>
        <v>0</v>
      </c>
      <c r="L80" s="14" t="n">
        <f aca="false">IF(AND(L$47,L$48&gt;0,LEN(TRIM($B40))&gt;0,L40=TRUE(),IF(L$50,$C40&lt;&gt;TRUE(),TRUE())),QUOTIENT(L$46,MAX(1,L$48))+IF(IF(L$50,SUMPRODUCT(--(LEN(TRIM($B$12:$B40))&gt;0),--(L$12:L40=TRUE()),--($C$12:$C40&lt;&gt;TRUE())),SUMPRODUCT(--(LEN(TRIM($B$12:$B40))&gt;0),--(L$12:L40=TRUE())))&lt;=MOD(L$46,MAX(1,L$48)),1,0),0)</f>
        <v>0</v>
      </c>
      <c r="N80" s="14" t="n">
        <f aca="false">IF(AND(N$47,N$48&gt;0,LEN(TRIM($B40))&gt;0,N40=TRUE(),IF(N$50,$C40&lt;&gt;TRUE(),TRUE())),QUOTIENT(N$46,MAX(1,N$48))+IF(IF(N$50,SUMPRODUCT(--(LEN(TRIM($B$12:$B40))&gt;0),--(N$12:N40=TRUE()),--($C$12:$C40&lt;&gt;TRUE())),SUMPRODUCT(--(LEN(TRIM($B$12:$B40))&gt;0),--(N$12:N40=TRUE())))&lt;=MOD(N$46,MAX(1,N$48)),1,0),0)</f>
        <v>0</v>
      </c>
      <c r="P80" s="14" t="n">
        <f aca="false">IF(AND(P$47,P$48&gt;0,LEN(TRIM($B40))&gt;0,P40=TRUE(),IF(P$50,$C40&lt;&gt;TRUE(),TRUE())),QUOTIENT(P$46,MAX(1,P$48))+IF(IF(P$50,SUMPRODUCT(--(LEN(TRIM($B$12:$B40))&gt;0),--(P$12:P40=TRUE()),--($C$12:$C40&lt;&gt;TRUE())),SUMPRODUCT(--(LEN(TRIM($B$12:$B40))&gt;0),--(P$12:P40=TRUE())))&lt;=MOD(P$46,MAX(1,P$48)),1,0),0)</f>
        <v>0</v>
      </c>
    </row>
    <row r="81" customFormat="false" ht="15" hidden="true" customHeight="false" outlineLevel="0" collapsed="false">
      <c r="A81" s="13" t="s">
        <v>47</v>
      </c>
      <c r="D81" s="14" t="n">
        <f aca="false">IF(AND(D$47,D$48&gt;0,LEN(TRIM($B41))&gt;0,D41=TRUE(),IF(D$50,$C41&lt;&gt;TRUE(),TRUE())),QUOTIENT(D$46,MAX(1,D$48))+IF(IF(D$50,SUMPRODUCT(--(LEN(TRIM($B$12:$B41))&gt;0),--(D$12:D41=TRUE()),--($C$12:$C41&lt;&gt;TRUE())),SUMPRODUCT(--(LEN(TRIM($B$12:$B41))&gt;0),--(D$12:D41=TRUE())))&lt;=MOD(D$46,MAX(1,D$48)),1,0),0)</f>
        <v>0</v>
      </c>
      <c r="F81" s="14" t="n">
        <f aca="false">IF(AND(F$47,F$48&gt;0,LEN(TRIM($B41))&gt;0,F41=TRUE(),IF(F$50,$C41&lt;&gt;TRUE(),TRUE())),QUOTIENT(F$46,MAX(1,F$48))+IF(IF(F$50,SUMPRODUCT(--(LEN(TRIM($B$12:$B41))&gt;0),--(F$12:F41=TRUE()),--($C$12:$C41&lt;&gt;TRUE())),SUMPRODUCT(--(LEN(TRIM($B$12:$B41))&gt;0),--(F$12:F41=TRUE())))&lt;=MOD(F$46,MAX(1,F$48)),1,0),0)</f>
        <v>0</v>
      </c>
      <c r="H81" s="14" t="n">
        <f aca="false">IF(AND(H$47,H$48&gt;0,LEN(TRIM($B41))&gt;0,H41=TRUE(),IF(H$50,$C41&lt;&gt;TRUE(),TRUE())),QUOTIENT(H$46,MAX(1,H$48))+IF(IF(H$50,SUMPRODUCT(--(LEN(TRIM($B$12:$B41))&gt;0),--(H$12:H41=TRUE()),--($C$12:$C41&lt;&gt;TRUE())),SUMPRODUCT(--(LEN(TRIM($B$12:$B41))&gt;0),--(H$12:H41=TRUE())))&lt;=MOD(H$46,MAX(1,H$48)),1,0),0)</f>
        <v>0</v>
      </c>
      <c r="J81" s="14" t="n">
        <f aca="false">IF(AND(J$47,J$48&gt;0,LEN(TRIM($B41))&gt;0,J41=TRUE(),IF(J$50,$C41&lt;&gt;TRUE(),TRUE())),QUOTIENT(J$46,MAX(1,J$48))+IF(IF(J$50,SUMPRODUCT(--(LEN(TRIM($B$12:$B41))&gt;0),--(J$12:J41=TRUE()),--($C$12:$C41&lt;&gt;TRUE())),SUMPRODUCT(--(LEN(TRIM($B$12:$B41))&gt;0),--(J$12:J41=TRUE())))&lt;=MOD(J$46,MAX(1,J$48)),1,0),0)</f>
        <v>0</v>
      </c>
      <c r="L81" s="14" t="n">
        <f aca="false">IF(AND(L$47,L$48&gt;0,LEN(TRIM($B41))&gt;0,L41=TRUE(),IF(L$50,$C41&lt;&gt;TRUE(),TRUE())),QUOTIENT(L$46,MAX(1,L$48))+IF(IF(L$50,SUMPRODUCT(--(LEN(TRIM($B$12:$B41))&gt;0),--(L$12:L41=TRUE()),--($C$12:$C41&lt;&gt;TRUE())),SUMPRODUCT(--(LEN(TRIM($B$12:$B41))&gt;0),--(L$12:L41=TRUE())))&lt;=MOD(L$46,MAX(1,L$48)),1,0),0)</f>
        <v>0</v>
      </c>
      <c r="N81" s="14" t="n">
        <f aca="false">IF(AND(N$47,N$48&gt;0,LEN(TRIM($B41))&gt;0,N41=TRUE(),IF(N$50,$C41&lt;&gt;TRUE(),TRUE())),QUOTIENT(N$46,MAX(1,N$48))+IF(IF(N$50,SUMPRODUCT(--(LEN(TRIM($B$12:$B41))&gt;0),--(N$12:N41=TRUE()),--($C$12:$C41&lt;&gt;TRUE())),SUMPRODUCT(--(LEN(TRIM($B$12:$B41))&gt;0),--(N$12:N41=TRUE())))&lt;=MOD(N$46,MAX(1,N$48)),1,0),0)</f>
        <v>0</v>
      </c>
      <c r="P81" s="14" t="n">
        <f aca="false">IF(AND(P$47,P$48&gt;0,LEN(TRIM($B41))&gt;0,P41=TRUE(),IF(P$50,$C41&lt;&gt;TRUE(),TRUE())),QUOTIENT(P$46,MAX(1,P$48))+IF(IF(P$50,SUMPRODUCT(--(LEN(TRIM($B$12:$B41))&gt;0),--(P$12:P41=TRUE()),--($C$12:$C41&lt;&gt;TRUE())),SUMPRODUCT(--(LEN(TRIM($B$12:$B41))&gt;0),--(P$12:P41=TRUE())))&lt;=MOD(P$46,MAX(1,P$48)),1,0),0)</f>
        <v>0</v>
      </c>
    </row>
  </sheetData>
  <mergeCells count="28">
    <mergeCell ref="D4:E4"/>
    <mergeCell ref="F4:G4"/>
    <mergeCell ref="H4:I4"/>
    <mergeCell ref="J4:K4"/>
    <mergeCell ref="L4:M4"/>
    <mergeCell ref="N4:O4"/>
    <mergeCell ref="P4:Q4"/>
    <mergeCell ref="D5:E5"/>
    <mergeCell ref="F5:G5"/>
    <mergeCell ref="H5:I5"/>
    <mergeCell ref="J5:K5"/>
    <mergeCell ref="L5:M5"/>
    <mergeCell ref="N5:O5"/>
    <mergeCell ref="P5:Q5"/>
    <mergeCell ref="D9:E9"/>
    <mergeCell ref="F9:G9"/>
    <mergeCell ref="H9:I9"/>
    <mergeCell ref="J9:K9"/>
    <mergeCell ref="L9:M9"/>
    <mergeCell ref="N9:O9"/>
    <mergeCell ref="P9:Q9"/>
    <mergeCell ref="D10:E10"/>
    <mergeCell ref="F10:G10"/>
    <mergeCell ref="H10:I10"/>
    <mergeCell ref="J10:K10"/>
    <mergeCell ref="L10:M10"/>
    <mergeCell ref="N10:O10"/>
    <mergeCell ref="P10:Q10"/>
  </mergeCells>
  <dataValidations count="30"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3" type="custom">
      <formula1>OR(C3=1,C3=0)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12:C41" type="custom">
      <formula1>OR(C12=1,C12=0)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D12:D41" type="custom">
      <formula1>OR(D12=1,D12=0)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F12:F41" type="custom">
      <formula1>OR(F12=1,F12=0)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H12:H41" type="custom">
      <formula1>OR(H12=1,H12=0)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J12:J41" type="custom">
      <formula1>OR(J12=1,J12=0)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L12:L41" type="custom">
      <formula1>OR(L12=1,L12=0)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N12:N41" type="custom">
      <formula1>OR(N12=1,N12=0)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P12:P41" type="custom">
      <formula1>OR(P12=1,P12=0)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D5:E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6" type="custom">
      <formula1>OR(LEN(TRIM(D6&amp;""))=0,IFERROR(AND(ISNUMBER(D6),D6&gt;=0,D6&lt;=100000000,ROUND(D6,1)=D6),0))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F5:G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6" type="custom">
      <formula1>OR(LEN(TRIM(F6&amp;""))=0,IFERROR(AND(ISNUMBER(F6),F6&gt;=0,F6&lt;=100000000,ROUND(F6,1)=F6),0))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H5:I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6" type="custom">
      <formula1>OR(LEN(TRIM(H6&amp;""))=0,IFERROR(AND(ISNUMBER(H6),H6&gt;=0,H6&lt;=100000000,ROUND(H6,1)=H6),0))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J5:K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6" type="custom">
      <formula1>OR(LEN(TRIM(J6&amp;""))=0,IFERROR(AND(ISNUMBER(J6),J6&gt;=0,J6&lt;=100000000,ROUND(J6,1)=J6),0))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L5:M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6" type="custom">
      <formula1>OR(LEN(TRIM(L6&amp;""))=0,IFERROR(AND(ISNUMBER(L6),L6&gt;=0,L6&lt;=100000000,ROUND(L6,1)=L6),0))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N5:O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6" type="custom">
      <formula1>OR(LEN(TRIM(N6&amp;""))=0,IFERROR(AND(ISNUMBER(N6),N6&gt;=0,N6&lt;=100000000,ROUND(N6,1)=N6),0))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P5:Q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6" type="custom">
      <formula1>OR(LEN(TRIM(P6&amp;""))=0,IFERROR(AND(ISNUMBER(P6),P6&gt;=0,P6&lt;=100000000,ROUND(P6,1)=P6),0))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40"/>
    <col collapsed="false" customWidth="true" hidden="false" outlineLevel="0" max="2" min="2" style="0" width="22.86"/>
    <col collapsed="false" customWidth="true" hidden="false" outlineLevel="0" max="3" min="3" style="0" width="13.15"/>
    <col collapsed="false" customWidth="true" hidden="false" outlineLevel="0" max="17" min="4" style="0" width="21.14"/>
  </cols>
  <sheetData>
    <row r="1" customFormat="false" ht="32.8" hidden="true" customHeight="false" outlineLevel="0" collapsed="false">
      <c r="A1" s="1" t="s">
        <v>107</v>
      </c>
      <c r="D1" s="1" t="s">
        <v>108</v>
      </c>
      <c r="F1" s="1" t="s">
        <v>109</v>
      </c>
      <c r="H1" s="1" t="s">
        <v>110</v>
      </c>
      <c r="J1" s="1" t="s">
        <v>111</v>
      </c>
      <c r="L1" s="1" t="s">
        <v>112</v>
      </c>
      <c r="N1" s="1" t="s">
        <v>113</v>
      </c>
      <c r="P1" s="1" t="s">
        <v>114</v>
      </c>
    </row>
    <row r="2" customFormat="false" ht="48.5" hidden="false" customHeight="false" outlineLevel="0" collapsed="false">
      <c r="B2" s="16" t="s">
        <v>115</v>
      </c>
      <c r="D2" s="1" t="s">
        <v>67</v>
      </c>
    </row>
    <row r="3" customFormat="false" ht="48.5" hidden="false" customHeight="false" outlineLevel="0" collapsed="false">
      <c r="B3" s="1" t="s">
        <v>68</v>
      </c>
      <c r="C3" s="18" t="b">
        <f aca="false">FALSE()</f>
        <v>0</v>
      </c>
      <c r="D3" s="1" t="s">
        <v>69</v>
      </c>
    </row>
    <row r="4" customFormat="false" ht="27.75" hidden="false" customHeight="true" outlineLevel="0" collapsed="false">
      <c r="B4" s="1" t="s">
        <v>70</v>
      </c>
      <c r="D4" s="19" t="s">
        <v>71</v>
      </c>
      <c r="E4" s="19"/>
      <c r="F4" s="19" t="s">
        <v>72</v>
      </c>
      <c r="G4" s="19"/>
      <c r="H4" s="19" t="s">
        <v>73</v>
      </c>
      <c r="I4" s="19"/>
      <c r="J4" s="19" t="s">
        <v>74</v>
      </c>
      <c r="K4" s="19"/>
      <c r="L4" s="19" t="s">
        <v>75</v>
      </c>
      <c r="M4" s="19"/>
      <c r="N4" s="19" t="s">
        <v>76</v>
      </c>
      <c r="O4" s="19"/>
      <c r="P4" s="19" t="s">
        <v>77</v>
      </c>
      <c r="Q4" s="19"/>
    </row>
    <row r="5" customFormat="false" ht="27.75" hidden="false" customHeight="true" outlineLevel="0" collapsed="false">
      <c r="B5" s="1" t="s">
        <v>78</v>
      </c>
      <c r="D5" s="19" t="s">
        <v>71</v>
      </c>
      <c r="E5" s="19"/>
      <c r="F5" s="19" t="s">
        <v>72</v>
      </c>
      <c r="G5" s="19"/>
      <c r="H5" s="19" t="s">
        <v>73</v>
      </c>
      <c r="I5" s="19"/>
      <c r="J5" s="19" t="s">
        <v>74</v>
      </c>
      <c r="K5" s="19"/>
      <c r="L5" s="19" t="s">
        <v>75</v>
      </c>
      <c r="M5" s="19"/>
      <c r="N5" s="19" t="s">
        <v>76</v>
      </c>
      <c r="O5" s="19"/>
      <c r="P5" s="19" t="s">
        <v>77</v>
      </c>
      <c r="Q5" s="19"/>
    </row>
    <row r="6" customFormat="false" ht="27.75" hidden="false" customHeight="true" outlineLevel="0" collapsed="false">
      <c r="B6" s="1" t="s">
        <v>79</v>
      </c>
      <c r="D6" s="16"/>
      <c r="E6" s="1" t="s">
        <v>80</v>
      </c>
      <c r="F6" s="16"/>
      <c r="G6" s="1" t="s">
        <v>80</v>
      </c>
      <c r="H6" s="16"/>
      <c r="I6" s="1" t="s">
        <v>80</v>
      </c>
      <c r="J6" s="16"/>
      <c r="K6" s="1" t="s">
        <v>80</v>
      </c>
      <c r="L6" s="16"/>
      <c r="M6" s="1" t="s">
        <v>80</v>
      </c>
      <c r="N6" s="16"/>
      <c r="O6" s="1" t="s">
        <v>80</v>
      </c>
      <c r="P6" s="16"/>
      <c r="Q6" s="1" t="s">
        <v>80</v>
      </c>
    </row>
    <row r="7" customFormat="false" ht="27.75" hidden="false" customHeight="true" outlineLevel="0" collapsed="false">
      <c r="B7" s="1" t="s">
        <v>81</v>
      </c>
      <c r="D7" s="16"/>
      <c r="E7" s="20" t="str">
        <f aca="false">IFERROR(INDEX(成員名單!$B$5:$B$34,MATCH(D7,成員名單!$A$5:$A$34,0))&amp;"","")</f>
        <v/>
      </c>
      <c r="F7" s="16"/>
      <c r="G7" s="20" t="str">
        <f aca="false">IFERROR(INDEX(成員名單!$B$5:$B$34,MATCH(F7,成員名單!$A$5:$A$34,0))&amp;"","")</f>
        <v/>
      </c>
      <c r="H7" s="16"/>
      <c r="I7" s="20" t="str">
        <f aca="false">IFERROR(INDEX(成員名單!$B$5:$B$34,MATCH(H7,成員名單!$A$5:$A$34,0))&amp;"","")</f>
        <v/>
      </c>
      <c r="J7" s="16"/>
      <c r="K7" s="20" t="str">
        <f aca="false">IFERROR(INDEX(成員名單!$B$5:$B$34,MATCH(J7,成員名單!$A$5:$A$34,0))&amp;"","")</f>
        <v/>
      </c>
      <c r="L7" s="16"/>
      <c r="M7" s="20" t="str">
        <f aca="false">IFERROR(INDEX(成員名單!$B$5:$B$34,MATCH(L7,成員名單!$A$5:$A$34,0))&amp;"","")</f>
        <v/>
      </c>
      <c r="N7" s="16"/>
      <c r="O7" s="20" t="str">
        <f aca="false">IFERROR(INDEX(成員名單!$B$5:$B$34,MATCH(N7,成員名單!$A$5:$A$34,0))&amp;"","")</f>
        <v/>
      </c>
      <c r="P7" s="16"/>
      <c r="Q7" s="20" t="str">
        <f aca="false">IFERROR(INDEX(成員名單!$B$5:$B$34,MATCH(P7,成員名單!$A$5:$A$34,0))&amp;"","")</f>
        <v/>
      </c>
    </row>
    <row r="8" customFormat="false" ht="27.75" hidden="false" customHeight="true" outlineLevel="0" collapsed="false">
      <c r="B8" s="1" t="s">
        <v>82</v>
      </c>
      <c r="D8" s="20" t="n">
        <f aca="false">IF(D$47,D$48,0)</f>
        <v>0</v>
      </c>
      <c r="E8" s="1" t="s">
        <v>83</v>
      </c>
      <c r="F8" s="20" t="n">
        <f aca="false">IF(F$47,F$48,0)</f>
        <v>0</v>
      </c>
      <c r="G8" s="1" t="s">
        <v>83</v>
      </c>
      <c r="H8" s="20" t="n">
        <f aca="false">IF(H$47,H$48,0)</f>
        <v>0</v>
      </c>
      <c r="I8" s="1" t="s">
        <v>83</v>
      </c>
      <c r="J8" s="20" t="n">
        <f aca="false">IF(J$47,J$48,0)</f>
        <v>0</v>
      </c>
      <c r="K8" s="1" t="s">
        <v>83</v>
      </c>
      <c r="L8" s="20" t="n">
        <f aca="false">IF(L$47,L$48,0)</f>
        <v>0</v>
      </c>
      <c r="M8" s="1" t="s">
        <v>83</v>
      </c>
      <c r="N8" s="20" t="n">
        <f aca="false">IF(N$47,N$48,0)</f>
        <v>0</v>
      </c>
      <c r="O8" s="1" t="s">
        <v>83</v>
      </c>
      <c r="P8" s="20" t="n">
        <f aca="false">IF(P$47,P$48,0)</f>
        <v>0</v>
      </c>
      <c r="Q8" s="1" t="s">
        <v>83</v>
      </c>
    </row>
    <row r="9" customFormat="false" ht="27.75" hidden="false" customHeight="true" outlineLevel="0" collapsed="false">
      <c r="B9" s="1" t="s">
        <v>84</v>
      </c>
      <c r="D9" s="21" t="str">
        <f aca="false">IF(OR(NOT(D$47),D$48=0),"暫不分攤",TEXT(QUOTIENT(D$46,MAX(1,D$48))/10,"0.0")&amp;IF(MOD(D$46,MAX(1,D$48))&gt;0,"–"&amp;TEXT((QUOTIENT(D$46,MAX(1,D$48))+1)/10,"0.0"),"")&amp;" 元／人")</f>
        <v>暫不分攤</v>
      </c>
      <c r="E9" s="21"/>
      <c r="F9" s="21" t="str">
        <f aca="false">IF(OR(NOT(F$47),F$48=0),"暫不分攤",TEXT(QUOTIENT(F$46,MAX(1,F$48))/10,"0.0")&amp;IF(MOD(F$46,MAX(1,F$48))&gt;0,"–"&amp;TEXT((QUOTIENT(F$46,MAX(1,F$48))+1)/10,"0.0"),"")&amp;" 元／人")</f>
        <v>暫不分攤</v>
      </c>
      <c r="G9" s="21"/>
      <c r="H9" s="21" t="str">
        <f aca="false">IF(OR(NOT(H$47),H$48=0),"暫不分攤",TEXT(QUOTIENT(H$46,MAX(1,H$48))/10,"0.0")&amp;IF(MOD(H$46,MAX(1,H$48))&gt;0,"–"&amp;TEXT((QUOTIENT(H$46,MAX(1,H$48))+1)/10,"0.0"),"")&amp;" 元／人")</f>
        <v>暫不分攤</v>
      </c>
      <c r="I9" s="21"/>
      <c r="J9" s="21" t="str">
        <f aca="false">IF(OR(NOT(J$47),J$48=0),"暫不分攤",TEXT(QUOTIENT(J$46,MAX(1,J$48))/10,"0.0")&amp;IF(MOD(J$46,MAX(1,J$48))&gt;0,"–"&amp;TEXT((QUOTIENT(J$46,MAX(1,J$48))+1)/10,"0.0"),"")&amp;" 元／人")</f>
        <v>暫不分攤</v>
      </c>
      <c r="K9" s="21"/>
      <c r="L9" s="21" t="str">
        <f aca="false">IF(OR(NOT(L$47),L$48=0),"暫不分攤",TEXT(QUOTIENT(L$46,MAX(1,L$48))/10,"0.0")&amp;IF(MOD(L$46,MAX(1,L$48))&gt;0,"–"&amp;TEXT((QUOTIENT(L$46,MAX(1,L$48))+1)/10,"0.0"),"")&amp;" 元／人")</f>
        <v>暫不分攤</v>
      </c>
      <c r="M9" s="21"/>
      <c r="N9" s="21" t="str">
        <f aca="false">IF(OR(NOT(N$47),N$48=0),"暫不分攤",TEXT(QUOTIENT(N$46,MAX(1,N$48))/10,"0.0")&amp;IF(MOD(N$46,MAX(1,N$48))&gt;0,"–"&amp;TEXT((QUOTIENT(N$46,MAX(1,N$48))+1)/10,"0.0"),"")&amp;" 元／人")</f>
        <v>暫不分攤</v>
      </c>
      <c r="O9" s="21"/>
      <c r="P9" s="21" t="str">
        <f aca="false">IF(OR(NOT(P$47),P$48=0),"暫不分攤",TEXT(QUOTIENT(P$46,MAX(1,P$48))/10,"0.0")&amp;IF(MOD(P$46,MAX(1,P$48))&gt;0,"–"&amp;TEXT((QUOTIENT(P$46,MAX(1,P$48))+1)/10,"0.0"),"")&amp;" 元／人")</f>
        <v>暫不分攤</v>
      </c>
      <c r="Q9" s="21"/>
    </row>
    <row r="10" customFormat="false" ht="81.75" hidden="false" customHeight="true" outlineLevel="0" collapsed="false">
      <c r="B10" s="1" t="s">
        <v>53</v>
      </c>
      <c r="D10" s="22" t="str">
        <f aca="false">IF(NOT(D$47),"金額須為非負數且最多一位小數。 ","")&amp;IF(AND(D$46&gt;0,D$50,$C$3&lt;&gt;TRUE()),"未用車但有車資：保留金額，暫不分攤。 ","")&amp;IF(AND(D$46&gt;0,D$50,$C$3=TRUE(),$C$49=0),"請設定具名司機；車資暫不分攤。 ","")&amp;IF(AND(D$46&gt;0,D$48=0,NOT(AND(D$46&gt;0,D$50,$C$3&lt;&gt;TRUE())),NOT(AND(D$46&gt;0,D$50,$C$3=TRUE(),$C$49=0))),"沒有可分攤者。 ","")&amp;IF(AND(D$46&gt;0,LEN(TRIM(E7))=0),"請指定具名代墊者。","")</f>
        <v/>
      </c>
      <c r="E10" s="22"/>
      <c r="F10" s="22" t="str">
        <f aca="false">IF(NOT(F$47),"金額須為非負數且最多一位小數。 ","")&amp;IF(AND(F$46&gt;0,F$50,$C$3&lt;&gt;TRUE()),"未用車但有車資：保留金額，暫不分攤。 ","")&amp;IF(AND(F$46&gt;0,F$50,$C$3=TRUE(),$C$49=0),"請設定具名司機；車資暫不分攤。 ","")&amp;IF(AND(F$46&gt;0,F$48=0,NOT(AND(F$46&gt;0,F$50,$C$3&lt;&gt;TRUE())),NOT(AND(F$46&gt;0,F$50,$C$3=TRUE(),$C$49=0))),"沒有可分攤者。 ","")&amp;IF(AND(F$46&gt;0,LEN(TRIM(G7))=0),"請指定具名代墊者。","")</f>
        <v/>
      </c>
      <c r="G10" s="22"/>
      <c r="H10" s="22" t="str">
        <f aca="false">IF(NOT(H$47),"金額須為非負數且最多一位小數。 ","")&amp;IF(AND(H$46&gt;0,H$50,$C$3&lt;&gt;TRUE()),"未用車但有車資：保留金額，暫不分攤。 ","")&amp;IF(AND(H$46&gt;0,H$50,$C$3=TRUE(),$C$49=0),"請設定具名司機；車資暫不分攤。 ","")&amp;IF(AND(H$46&gt;0,H$48=0,NOT(AND(H$46&gt;0,H$50,$C$3&lt;&gt;TRUE())),NOT(AND(H$46&gt;0,H$50,$C$3=TRUE(),$C$49=0))),"沒有可分攤者。 ","")&amp;IF(AND(H$46&gt;0,LEN(TRIM(I7))=0),"請指定具名代墊者。","")</f>
        <v/>
      </c>
      <c r="I10" s="22"/>
      <c r="J10" s="22" t="str">
        <f aca="false">IF(NOT(J$47),"金額須為非負數且最多一位小數。 ","")&amp;IF(AND(J$46&gt;0,J$50,$C$3&lt;&gt;TRUE()),"未用車但有車資：保留金額，暫不分攤。 ","")&amp;IF(AND(J$46&gt;0,J$50,$C$3=TRUE(),$C$49=0),"請設定具名司機；車資暫不分攤。 ","")&amp;IF(AND(J$46&gt;0,J$48=0,NOT(AND(J$46&gt;0,J$50,$C$3&lt;&gt;TRUE())),NOT(AND(J$46&gt;0,J$50,$C$3=TRUE(),$C$49=0))),"沒有可分攤者。 ","")&amp;IF(AND(J$46&gt;0,LEN(TRIM(K7))=0),"請指定具名代墊者。","")</f>
        <v/>
      </c>
      <c r="K10" s="22"/>
      <c r="L10" s="22" t="str">
        <f aca="false">IF(NOT(L$47),"金額須為非負數且最多一位小數。 ","")&amp;IF(AND(L$46&gt;0,L$50,$C$3&lt;&gt;TRUE()),"未用車但有車資：保留金額，暫不分攤。 ","")&amp;IF(AND(L$46&gt;0,L$50,$C$3=TRUE(),$C$49=0),"請設定具名司機；車資暫不分攤。 ","")&amp;IF(AND(L$46&gt;0,L$48=0,NOT(AND(L$46&gt;0,L$50,$C$3&lt;&gt;TRUE())),NOT(AND(L$46&gt;0,L$50,$C$3=TRUE(),$C$49=0))),"沒有可分攤者。 ","")&amp;IF(AND(L$46&gt;0,LEN(TRIM(M7))=0),"請指定具名代墊者。","")</f>
        <v/>
      </c>
      <c r="M10" s="22"/>
      <c r="N10" s="22" t="str">
        <f aca="false">IF(NOT(N$47),"金額須為非負數且最多一位小數。 ","")&amp;IF(AND(N$46&gt;0,N$50,$C$3&lt;&gt;TRUE()),"未用車但有車資：保留金額，暫不分攤。 ","")&amp;IF(AND(N$46&gt;0,N$50,$C$3=TRUE(),$C$49=0),"請設定具名司機；車資暫不分攤。 ","")&amp;IF(AND(N$46&gt;0,N$48=0,NOT(AND(N$46&gt;0,N$50,$C$3&lt;&gt;TRUE())),NOT(AND(N$46&gt;0,N$50,$C$3=TRUE(),$C$49=0))),"沒有可分攤者。 ","")&amp;IF(AND(N$46&gt;0,LEN(TRIM(O7))=0),"請指定具名代墊者。","")</f>
        <v/>
      </c>
      <c r="O10" s="22"/>
      <c r="P10" s="22" t="str">
        <f aca="false">IF(NOT(P$47),"金額須為非負數且最多一位小數。 ","")&amp;IF(AND(P$46&gt;0,P$50,$C$3&lt;&gt;TRUE()),"未用車但有車資：保留金額，暫不分攤。 ","")&amp;IF(AND(P$46&gt;0,P$50,$C$3=TRUE(),$C$49=0),"請設定具名司機；車資暫不分攤。 ","")&amp;IF(AND(P$46&gt;0,P$48=0,NOT(AND(P$46&gt;0,P$50,$C$3&lt;&gt;TRUE())),NOT(AND(P$46&gt;0,P$50,$C$3=TRUE(),$C$49=0))),"沒有可分攤者。 ","")&amp;IF(AND(P$46&gt;0,LEN(TRIM(Q7))=0),"請指定具名代墊者。","")</f>
        <v/>
      </c>
      <c r="Q10" s="22"/>
    </row>
    <row r="11" customFormat="false" ht="30" hidden="false" customHeight="true" outlineLevel="0" collapsed="false">
      <c r="A11" s="3" t="s">
        <v>8</v>
      </c>
      <c r="B11" s="3" t="s">
        <v>9</v>
      </c>
      <c r="C11" s="3" t="s">
        <v>85</v>
      </c>
      <c r="D11" s="3" t="s">
        <v>86</v>
      </c>
      <c r="E11" s="3" t="s">
        <v>87</v>
      </c>
      <c r="F11" s="3" t="s">
        <v>86</v>
      </c>
      <c r="G11" s="3" t="s">
        <v>87</v>
      </c>
      <c r="H11" s="3" t="s">
        <v>86</v>
      </c>
      <c r="I11" s="3" t="s">
        <v>87</v>
      </c>
      <c r="J11" s="3" t="s">
        <v>86</v>
      </c>
      <c r="K11" s="3" t="s">
        <v>87</v>
      </c>
      <c r="L11" s="3" t="s">
        <v>86</v>
      </c>
      <c r="M11" s="3" t="s">
        <v>87</v>
      </c>
      <c r="N11" s="3" t="s">
        <v>86</v>
      </c>
      <c r="O11" s="3" t="s">
        <v>87</v>
      </c>
      <c r="P11" s="3" t="s">
        <v>86</v>
      </c>
      <c r="Q11" s="3" t="s">
        <v>87</v>
      </c>
    </row>
    <row r="12" customFormat="false" ht="27" hidden="false" customHeight="true" outlineLevel="0" collapsed="false">
      <c r="A12" s="8" t="s">
        <v>18</v>
      </c>
      <c r="B12" s="9" t="str">
        <f aca="false">IFERROR(INDEX(成員名單!$B$5:$B$34,MATCH($A12,成員名單!$A$5:$A$34,0))&amp;"","")</f>
        <v/>
      </c>
      <c r="C12" s="23" t="b">
        <f aca="false">FALSE()</f>
        <v>0</v>
      </c>
      <c r="D12" s="23" t="b">
        <f aca="false">FALSE()</f>
        <v>0</v>
      </c>
      <c r="E12" s="9" t="n">
        <f aca="false">D52/10</f>
        <v>0</v>
      </c>
      <c r="F12" s="23" t="b">
        <f aca="false">FALSE()</f>
        <v>0</v>
      </c>
      <c r="G12" s="9" t="n">
        <f aca="false">F52/10</f>
        <v>0</v>
      </c>
      <c r="H12" s="23" t="b">
        <f aca="false">FALSE()</f>
        <v>0</v>
      </c>
      <c r="I12" s="9" t="n">
        <f aca="false">H52/10</f>
        <v>0</v>
      </c>
      <c r="J12" s="23" t="b">
        <f aca="false">FALSE()</f>
        <v>0</v>
      </c>
      <c r="K12" s="9" t="n">
        <f aca="false">J52/10</f>
        <v>0</v>
      </c>
      <c r="L12" s="23" t="b">
        <f aca="false">FALSE()</f>
        <v>0</v>
      </c>
      <c r="M12" s="9" t="n">
        <f aca="false">L52/10</f>
        <v>0</v>
      </c>
      <c r="N12" s="23" t="b">
        <f aca="false">FALSE()</f>
        <v>0</v>
      </c>
      <c r="O12" s="9" t="n">
        <f aca="false">N52/10</f>
        <v>0</v>
      </c>
      <c r="P12" s="23" t="b">
        <f aca="false">FALSE()</f>
        <v>0</v>
      </c>
      <c r="Q12" s="9" t="n">
        <f aca="false">P52/10</f>
        <v>0</v>
      </c>
    </row>
    <row r="13" customFormat="false" ht="27" hidden="false" customHeight="true" outlineLevel="0" collapsed="false">
      <c r="A13" s="10" t="s">
        <v>19</v>
      </c>
      <c r="B13" s="11" t="str">
        <f aca="false">IFERROR(INDEX(成員名單!$B$5:$B$34,MATCH($A13,成員名單!$A$5:$A$34,0))&amp;"","")</f>
        <v/>
      </c>
      <c r="C13" s="23" t="b">
        <f aca="false">FALSE()</f>
        <v>0</v>
      </c>
      <c r="D13" s="23" t="b">
        <f aca="false">FALSE()</f>
        <v>0</v>
      </c>
      <c r="E13" s="11" t="n">
        <f aca="false">D53/10</f>
        <v>0</v>
      </c>
      <c r="F13" s="23" t="b">
        <f aca="false">FALSE()</f>
        <v>0</v>
      </c>
      <c r="G13" s="11" t="n">
        <f aca="false">F53/10</f>
        <v>0</v>
      </c>
      <c r="H13" s="23" t="b">
        <f aca="false">FALSE()</f>
        <v>0</v>
      </c>
      <c r="I13" s="11" t="n">
        <f aca="false">H53/10</f>
        <v>0</v>
      </c>
      <c r="J13" s="23" t="b">
        <f aca="false">FALSE()</f>
        <v>0</v>
      </c>
      <c r="K13" s="11" t="n">
        <f aca="false">J53/10</f>
        <v>0</v>
      </c>
      <c r="L13" s="23" t="b">
        <f aca="false">FALSE()</f>
        <v>0</v>
      </c>
      <c r="M13" s="11" t="n">
        <f aca="false">L53/10</f>
        <v>0</v>
      </c>
      <c r="N13" s="23" t="b">
        <f aca="false">FALSE()</f>
        <v>0</v>
      </c>
      <c r="O13" s="11" t="n">
        <f aca="false">N53/10</f>
        <v>0</v>
      </c>
      <c r="P13" s="23" t="b">
        <f aca="false">FALSE()</f>
        <v>0</v>
      </c>
      <c r="Q13" s="11" t="n">
        <f aca="false">P53/10</f>
        <v>0</v>
      </c>
    </row>
    <row r="14" customFormat="false" ht="27" hidden="false" customHeight="true" outlineLevel="0" collapsed="false">
      <c r="A14" s="8" t="s">
        <v>20</v>
      </c>
      <c r="B14" s="9" t="str">
        <f aca="false">IFERROR(INDEX(成員名單!$B$5:$B$34,MATCH($A14,成員名單!$A$5:$A$34,0))&amp;"","")</f>
        <v/>
      </c>
      <c r="C14" s="23" t="b">
        <f aca="false">FALSE()</f>
        <v>0</v>
      </c>
      <c r="D14" s="23" t="b">
        <f aca="false">FALSE()</f>
        <v>0</v>
      </c>
      <c r="E14" s="9" t="n">
        <f aca="false">D54/10</f>
        <v>0</v>
      </c>
      <c r="F14" s="23" t="b">
        <f aca="false">FALSE()</f>
        <v>0</v>
      </c>
      <c r="G14" s="9" t="n">
        <f aca="false">F54/10</f>
        <v>0</v>
      </c>
      <c r="H14" s="23" t="b">
        <f aca="false">FALSE()</f>
        <v>0</v>
      </c>
      <c r="I14" s="9" t="n">
        <f aca="false">H54/10</f>
        <v>0</v>
      </c>
      <c r="J14" s="23" t="b">
        <f aca="false">FALSE()</f>
        <v>0</v>
      </c>
      <c r="K14" s="9" t="n">
        <f aca="false">J54/10</f>
        <v>0</v>
      </c>
      <c r="L14" s="23" t="b">
        <f aca="false">FALSE()</f>
        <v>0</v>
      </c>
      <c r="M14" s="9" t="n">
        <f aca="false">L54/10</f>
        <v>0</v>
      </c>
      <c r="N14" s="23" t="b">
        <f aca="false">FALSE()</f>
        <v>0</v>
      </c>
      <c r="O14" s="9" t="n">
        <f aca="false">N54/10</f>
        <v>0</v>
      </c>
      <c r="P14" s="23" t="b">
        <f aca="false">FALSE()</f>
        <v>0</v>
      </c>
      <c r="Q14" s="9" t="n">
        <f aca="false">P54/10</f>
        <v>0</v>
      </c>
    </row>
    <row r="15" customFormat="false" ht="27" hidden="false" customHeight="true" outlineLevel="0" collapsed="false">
      <c r="A15" s="10" t="s">
        <v>21</v>
      </c>
      <c r="B15" s="11" t="str">
        <f aca="false">IFERROR(INDEX(成員名單!$B$5:$B$34,MATCH($A15,成員名單!$A$5:$A$34,0))&amp;"","")</f>
        <v/>
      </c>
      <c r="C15" s="23" t="b">
        <f aca="false">FALSE()</f>
        <v>0</v>
      </c>
      <c r="D15" s="23" t="b">
        <f aca="false">FALSE()</f>
        <v>0</v>
      </c>
      <c r="E15" s="11" t="n">
        <f aca="false">D55/10</f>
        <v>0</v>
      </c>
      <c r="F15" s="23" t="b">
        <f aca="false">FALSE()</f>
        <v>0</v>
      </c>
      <c r="G15" s="11" t="n">
        <f aca="false">F55/10</f>
        <v>0</v>
      </c>
      <c r="H15" s="23" t="b">
        <f aca="false">FALSE()</f>
        <v>0</v>
      </c>
      <c r="I15" s="11" t="n">
        <f aca="false">H55/10</f>
        <v>0</v>
      </c>
      <c r="J15" s="23" t="b">
        <f aca="false">FALSE()</f>
        <v>0</v>
      </c>
      <c r="K15" s="11" t="n">
        <f aca="false">J55/10</f>
        <v>0</v>
      </c>
      <c r="L15" s="23" t="b">
        <f aca="false">FALSE()</f>
        <v>0</v>
      </c>
      <c r="M15" s="11" t="n">
        <f aca="false">L55/10</f>
        <v>0</v>
      </c>
      <c r="N15" s="23" t="b">
        <f aca="false">FALSE()</f>
        <v>0</v>
      </c>
      <c r="O15" s="11" t="n">
        <f aca="false">N55/10</f>
        <v>0</v>
      </c>
      <c r="P15" s="23" t="b">
        <f aca="false">FALSE()</f>
        <v>0</v>
      </c>
      <c r="Q15" s="11" t="n">
        <f aca="false">P55/10</f>
        <v>0</v>
      </c>
    </row>
    <row r="16" customFormat="false" ht="27" hidden="false" customHeight="true" outlineLevel="0" collapsed="false">
      <c r="A16" s="8" t="s">
        <v>22</v>
      </c>
      <c r="B16" s="9" t="str">
        <f aca="false">IFERROR(INDEX(成員名單!$B$5:$B$34,MATCH($A16,成員名單!$A$5:$A$34,0))&amp;"","")</f>
        <v/>
      </c>
      <c r="C16" s="23" t="b">
        <f aca="false">FALSE()</f>
        <v>0</v>
      </c>
      <c r="D16" s="23" t="b">
        <f aca="false">FALSE()</f>
        <v>0</v>
      </c>
      <c r="E16" s="9" t="n">
        <f aca="false">D56/10</f>
        <v>0</v>
      </c>
      <c r="F16" s="23" t="b">
        <f aca="false">FALSE()</f>
        <v>0</v>
      </c>
      <c r="G16" s="9" t="n">
        <f aca="false">F56/10</f>
        <v>0</v>
      </c>
      <c r="H16" s="23" t="b">
        <f aca="false">FALSE()</f>
        <v>0</v>
      </c>
      <c r="I16" s="9" t="n">
        <f aca="false">H56/10</f>
        <v>0</v>
      </c>
      <c r="J16" s="23" t="b">
        <f aca="false">FALSE()</f>
        <v>0</v>
      </c>
      <c r="K16" s="9" t="n">
        <f aca="false">J56/10</f>
        <v>0</v>
      </c>
      <c r="L16" s="23" t="b">
        <f aca="false">FALSE()</f>
        <v>0</v>
      </c>
      <c r="M16" s="9" t="n">
        <f aca="false">L56/10</f>
        <v>0</v>
      </c>
      <c r="N16" s="23" t="b">
        <f aca="false">FALSE()</f>
        <v>0</v>
      </c>
      <c r="O16" s="9" t="n">
        <f aca="false">N56/10</f>
        <v>0</v>
      </c>
      <c r="P16" s="23" t="b">
        <f aca="false">FALSE()</f>
        <v>0</v>
      </c>
      <c r="Q16" s="9" t="n">
        <f aca="false">P56/10</f>
        <v>0</v>
      </c>
    </row>
    <row r="17" customFormat="false" ht="27" hidden="false" customHeight="true" outlineLevel="0" collapsed="false">
      <c r="A17" s="10" t="s">
        <v>23</v>
      </c>
      <c r="B17" s="11" t="str">
        <f aca="false">IFERROR(INDEX(成員名單!$B$5:$B$34,MATCH($A17,成員名單!$A$5:$A$34,0))&amp;"","")</f>
        <v/>
      </c>
      <c r="C17" s="23" t="b">
        <f aca="false">FALSE()</f>
        <v>0</v>
      </c>
      <c r="D17" s="23" t="b">
        <f aca="false">FALSE()</f>
        <v>0</v>
      </c>
      <c r="E17" s="11" t="n">
        <f aca="false">D57/10</f>
        <v>0</v>
      </c>
      <c r="F17" s="23" t="b">
        <f aca="false">FALSE()</f>
        <v>0</v>
      </c>
      <c r="G17" s="11" t="n">
        <f aca="false">F57/10</f>
        <v>0</v>
      </c>
      <c r="H17" s="23" t="b">
        <f aca="false">FALSE()</f>
        <v>0</v>
      </c>
      <c r="I17" s="11" t="n">
        <f aca="false">H57/10</f>
        <v>0</v>
      </c>
      <c r="J17" s="23" t="b">
        <f aca="false">FALSE()</f>
        <v>0</v>
      </c>
      <c r="K17" s="11" t="n">
        <f aca="false">J57/10</f>
        <v>0</v>
      </c>
      <c r="L17" s="23" t="b">
        <f aca="false">FALSE()</f>
        <v>0</v>
      </c>
      <c r="M17" s="11" t="n">
        <f aca="false">L57/10</f>
        <v>0</v>
      </c>
      <c r="N17" s="23" t="b">
        <f aca="false">FALSE()</f>
        <v>0</v>
      </c>
      <c r="O17" s="11" t="n">
        <f aca="false">N57/10</f>
        <v>0</v>
      </c>
      <c r="P17" s="23" t="b">
        <f aca="false">FALSE()</f>
        <v>0</v>
      </c>
      <c r="Q17" s="11" t="n">
        <f aca="false">P57/10</f>
        <v>0</v>
      </c>
    </row>
    <row r="18" customFormat="false" ht="27" hidden="false" customHeight="true" outlineLevel="0" collapsed="false">
      <c r="A18" s="8" t="s">
        <v>24</v>
      </c>
      <c r="B18" s="9" t="str">
        <f aca="false">IFERROR(INDEX(成員名單!$B$5:$B$34,MATCH($A18,成員名單!$A$5:$A$34,0))&amp;"","")</f>
        <v/>
      </c>
      <c r="C18" s="23" t="b">
        <f aca="false">FALSE()</f>
        <v>0</v>
      </c>
      <c r="D18" s="23" t="b">
        <f aca="false">FALSE()</f>
        <v>0</v>
      </c>
      <c r="E18" s="9" t="n">
        <f aca="false">D58/10</f>
        <v>0</v>
      </c>
      <c r="F18" s="23" t="b">
        <f aca="false">FALSE()</f>
        <v>0</v>
      </c>
      <c r="G18" s="9" t="n">
        <f aca="false">F58/10</f>
        <v>0</v>
      </c>
      <c r="H18" s="23" t="b">
        <f aca="false">FALSE()</f>
        <v>0</v>
      </c>
      <c r="I18" s="9" t="n">
        <f aca="false">H58/10</f>
        <v>0</v>
      </c>
      <c r="J18" s="23" t="b">
        <f aca="false">FALSE()</f>
        <v>0</v>
      </c>
      <c r="K18" s="9" t="n">
        <f aca="false">J58/10</f>
        <v>0</v>
      </c>
      <c r="L18" s="23" t="b">
        <f aca="false">FALSE()</f>
        <v>0</v>
      </c>
      <c r="M18" s="9" t="n">
        <f aca="false">L58/10</f>
        <v>0</v>
      </c>
      <c r="N18" s="23" t="b">
        <f aca="false">FALSE()</f>
        <v>0</v>
      </c>
      <c r="O18" s="9" t="n">
        <f aca="false">N58/10</f>
        <v>0</v>
      </c>
      <c r="P18" s="23" t="b">
        <f aca="false">FALSE()</f>
        <v>0</v>
      </c>
      <c r="Q18" s="9" t="n">
        <f aca="false">P58/10</f>
        <v>0</v>
      </c>
    </row>
    <row r="19" customFormat="false" ht="27" hidden="false" customHeight="true" outlineLevel="0" collapsed="false">
      <c r="A19" s="10" t="s">
        <v>25</v>
      </c>
      <c r="B19" s="11" t="str">
        <f aca="false">IFERROR(INDEX(成員名單!$B$5:$B$34,MATCH($A19,成員名單!$A$5:$A$34,0))&amp;"","")</f>
        <v/>
      </c>
      <c r="C19" s="23" t="b">
        <f aca="false">FALSE()</f>
        <v>0</v>
      </c>
      <c r="D19" s="23" t="b">
        <f aca="false">FALSE()</f>
        <v>0</v>
      </c>
      <c r="E19" s="11" t="n">
        <f aca="false">D59/10</f>
        <v>0</v>
      </c>
      <c r="F19" s="23" t="b">
        <f aca="false">FALSE()</f>
        <v>0</v>
      </c>
      <c r="G19" s="11" t="n">
        <f aca="false">F59/10</f>
        <v>0</v>
      </c>
      <c r="H19" s="23" t="b">
        <f aca="false">FALSE()</f>
        <v>0</v>
      </c>
      <c r="I19" s="11" t="n">
        <f aca="false">H59/10</f>
        <v>0</v>
      </c>
      <c r="J19" s="23" t="b">
        <f aca="false">FALSE()</f>
        <v>0</v>
      </c>
      <c r="K19" s="11" t="n">
        <f aca="false">J59/10</f>
        <v>0</v>
      </c>
      <c r="L19" s="23" t="b">
        <f aca="false">FALSE()</f>
        <v>0</v>
      </c>
      <c r="M19" s="11" t="n">
        <f aca="false">L59/10</f>
        <v>0</v>
      </c>
      <c r="N19" s="23" t="b">
        <f aca="false">FALSE()</f>
        <v>0</v>
      </c>
      <c r="O19" s="11" t="n">
        <f aca="false">N59/10</f>
        <v>0</v>
      </c>
      <c r="P19" s="23" t="b">
        <f aca="false">FALSE()</f>
        <v>0</v>
      </c>
      <c r="Q19" s="11" t="n">
        <f aca="false">P59/10</f>
        <v>0</v>
      </c>
    </row>
    <row r="20" customFormat="false" ht="27" hidden="false" customHeight="true" outlineLevel="0" collapsed="false">
      <c r="A20" s="8" t="s">
        <v>26</v>
      </c>
      <c r="B20" s="9" t="str">
        <f aca="false">IFERROR(INDEX(成員名單!$B$5:$B$34,MATCH($A20,成員名單!$A$5:$A$34,0))&amp;"","")</f>
        <v/>
      </c>
      <c r="C20" s="23" t="b">
        <f aca="false">FALSE()</f>
        <v>0</v>
      </c>
      <c r="D20" s="23" t="b">
        <f aca="false">FALSE()</f>
        <v>0</v>
      </c>
      <c r="E20" s="9" t="n">
        <f aca="false">D60/10</f>
        <v>0</v>
      </c>
      <c r="F20" s="23" t="b">
        <f aca="false">FALSE()</f>
        <v>0</v>
      </c>
      <c r="G20" s="9" t="n">
        <f aca="false">F60/10</f>
        <v>0</v>
      </c>
      <c r="H20" s="23" t="b">
        <f aca="false">FALSE()</f>
        <v>0</v>
      </c>
      <c r="I20" s="9" t="n">
        <f aca="false">H60/10</f>
        <v>0</v>
      </c>
      <c r="J20" s="23" t="b">
        <f aca="false">FALSE()</f>
        <v>0</v>
      </c>
      <c r="K20" s="9" t="n">
        <f aca="false">J60/10</f>
        <v>0</v>
      </c>
      <c r="L20" s="23" t="b">
        <f aca="false">FALSE()</f>
        <v>0</v>
      </c>
      <c r="M20" s="9" t="n">
        <f aca="false">L60/10</f>
        <v>0</v>
      </c>
      <c r="N20" s="23" t="b">
        <f aca="false">FALSE()</f>
        <v>0</v>
      </c>
      <c r="O20" s="9" t="n">
        <f aca="false">N60/10</f>
        <v>0</v>
      </c>
      <c r="P20" s="23" t="b">
        <f aca="false">FALSE()</f>
        <v>0</v>
      </c>
      <c r="Q20" s="9" t="n">
        <f aca="false">P60/10</f>
        <v>0</v>
      </c>
    </row>
    <row r="21" customFormat="false" ht="27" hidden="false" customHeight="true" outlineLevel="0" collapsed="false">
      <c r="A21" s="10" t="s">
        <v>27</v>
      </c>
      <c r="B21" s="11" t="str">
        <f aca="false">IFERROR(INDEX(成員名單!$B$5:$B$34,MATCH($A21,成員名單!$A$5:$A$34,0))&amp;"","")</f>
        <v/>
      </c>
      <c r="C21" s="23" t="b">
        <f aca="false">FALSE()</f>
        <v>0</v>
      </c>
      <c r="D21" s="23" t="b">
        <f aca="false">FALSE()</f>
        <v>0</v>
      </c>
      <c r="E21" s="11" t="n">
        <f aca="false">D61/10</f>
        <v>0</v>
      </c>
      <c r="F21" s="23" t="b">
        <f aca="false">FALSE()</f>
        <v>0</v>
      </c>
      <c r="G21" s="11" t="n">
        <f aca="false">F61/10</f>
        <v>0</v>
      </c>
      <c r="H21" s="23" t="b">
        <f aca="false">FALSE()</f>
        <v>0</v>
      </c>
      <c r="I21" s="11" t="n">
        <f aca="false">H61/10</f>
        <v>0</v>
      </c>
      <c r="J21" s="23" t="b">
        <f aca="false">FALSE()</f>
        <v>0</v>
      </c>
      <c r="K21" s="11" t="n">
        <f aca="false">J61/10</f>
        <v>0</v>
      </c>
      <c r="L21" s="23" t="b">
        <f aca="false">FALSE()</f>
        <v>0</v>
      </c>
      <c r="M21" s="11" t="n">
        <f aca="false">L61/10</f>
        <v>0</v>
      </c>
      <c r="N21" s="23" t="b">
        <f aca="false">FALSE()</f>
        <v>0</v>
      </c>
      <c r="O21" s="11" t="n">
        <f aca="false">N61/10</f>
        <v>0</v>
      </c>
      <c r="P21" s="23" t="b">
        <f aca="false">FALSE()</f>
        <v>0</v>
      </c>
      <c r="Q21" s="11" t="n">
        <f aca="false">P61/10</f>
        <v>0</v>
      </c>
    </row>
    <row r="22" customFormat="false" ht="27" hidden="false" customHeight="true" outlineLevel="0" collapsed="false">
      <c r="A22" s="8" t="s">
        <v>28</v>
      </c>
      <c r="B22" s="9" t="str">
        <f aca="false">IFERROR(INDEX(成員名單!$B$5:$B$34,MATCH($A22,成員名單!$A$5:$A$34,0))&amp;"","")</f>
        <v/>
      </c>
      <c r="C22" s="23" t="b">
        <f aca="false">FALSE()</f>
        <v>0</v>
      </c>
      <c r="D22" s="23" t="b">
        <f aca="false">FALSE()</f>
        <v>0</v>
      </c>
      <c r="E22" s="9" t="n">
        <f aca="false">D62/10</f>
        <v>0</v>
      </c>
      <c r="F22" s="23" t="b">
        <f aca="false">FALSE()</f>
        <v>0</v>
      </c>
      <c r="G22" s="9" t="n">
        <f aca="false">F62/10</f>
        <v>0</v>
      </c>
      <c r="H22" s="23" t="b">
        <f aca="false">FALSE()</f>
        <v>0</v>
      </c>
      <c r="I22" s="9" t="n">
        <f aca="false">H62/10</f>
        <v>0</v>
      </c>
      <c r="J22" s="23" t="b">
        <f aca="false">FALSE()</f>
        <v>0</v>
      </c>
      <c r="K22" s="9" t="n">
        <f aca="false">J62/10</f>
        <v>0</v>
      </c>
      <c r="L22" s="23" t="b">
        <f aca="false">FALSE()</f>
        <v>0</v>
      </c>
      <c r="M22" s="9" t="n">
        <f aca="false">L62/10</f>
        <v>0</v>
      </c>
      <c r="N22" s="23" t="b">
        <f aca="false">FALSE()</f>
        <v>0</v>
      </c>
      <c r="O22" s="9" t="n">
        <f aca="false">N62/10</f>
        <v>0</v>
      </c>
      <c r="P22" s="23" t="b">
        <f aca="false">FALSE()</f>
        <v>0</v>
      </c>
      <c r="Q22" s="9" t="n">
        <f aca="false">P62/10</f>
        <v>0</v>
      </c>
    </row>
    <row r="23" customFormat="false" ht="27" hidden="false" customHeight="true" outlineLevel="0" collapsed="false">
      <c r="A23" s="10" t="s">
        <v>29</v>
      </c>
      <c r="B23" s="11" t="str">
        <f aca="false">IFERROR(INDEX(成員名單!$B$5:$B$34,MATCH($A23,成員名單!$A$5:$A$34,0))&amp;"","")</f>
        <v/>
      </c>
      <c r="C23" s="23" t="b">
        <f aca="false">FALSE()</f>
        <v>0</v>
      </c>
      <c r="D23" s="23" t="b">
        <f aca="false">FALSE()</f>
        <v>0</v>
      </c>
      <c r="E23" s="11" t="n">
        <f aca="false">D63/10</f>
        <v>0</v>
      </c>
      <c r="F23" s="23" t="b">
        <f aca="false">FALSE()</f>
        <v>0</v>
      </c>
      <c r="G23" s="11" t="n">
        <f aca="false">F63/10</f>
        <v>0</v>
      </c>
      <c r="H23" s="23" t="b">
        <f aca="false">FALSE()</f>
        <v>0</v>
      </c>
      <c r="I23" s="11" t="n">
        <f aca="false">H63/10</f>
        <v>0</v>
      </c>
      <c r="J23" s="23" t="b">
        <f aca="false">FALSE()</f>
        <v>0</v>
      </c>
      <c r="K23" s="11" t="n">
        <f aca="false">J63/10</f>
        <v>0</v>
      </c>
      <c r="L23" s="23" t="b">
        <f aca="false">FALSE()</f>
        <v>0</v>
      </c>
      <c r="M23" s="11" t="n">
        <f aca="false">L63/10</f>
        <v>0</v>
      </c>
      <c r="N23" s="23" t="b">
        <f aca="false">FALSE()</f>
        <v>0</v>
      </c>
      <c r="O23" s="11" t="n">
        <f aca="false">N63/10</f>
        <v>0</v>
      </c>
      <c r="P23" s="23" t="b">
        <f aca="false">FALSE()</f>
        <v>0</v>
      </c>
      <c r="Q23" s="11" t="n">
        <f aca="false">P63/10</f>
        <v>0</v>
      </c>
    </row>
    <row r="24" customFormat="false" ht="27" hidden="false" customHeight="true" outlineLevel="0" collapsed="false">
      <c r="A24" s="8" t="s">
        <v>30</v>
      </c>
      <c r="B24" s="9" t="str">
        <f aca="false">IFERROR(INDEX(成員名單!$B$5:$B$34,MATCH($A24,成員名單!$A$5:$A$34,0))&amp;"","")</f>
        <v/>
      </c>
      <c r="C24" s="23" t="b">
        <f aca="false">FALSE()</f>
        <v>0</v>
      </c>
      <c r="D24" s="23" t="b">
        <f aca="false">FALSE()</f>
        <v>0</v>
      </c>
      <c r="E24" s="9" t="n">
        <f aca="false">D64/10</f>
        <v>0</v>
      </c>
      <c r="F24" s="23" t="b">
        <f aca="false">FALSE()</f>
        <v>0</v>
      </c>
      <c r="G24" s="9" t="n">
        <f aca="false">F64/10</f>
        <v>0</v>
      </c>
      <c r="H24" s="23" t="b">
        <f aca="false">FALSE()</f>
        <v>0</v>
      </c>
      <c r="I24" s="9" t="n">
        <f aca="false">H64/10</f>
        <v>0</v>
      </c>
      <c r="J24" s="23" t="b">
        <f aca="false">FALSE()</f>
        <v>0</v>
      </c>
      <c r="K24" s="9" t="n">
        <f aca="false">J64/10</f>
        <v>0</v>
      </c>
      <c r="L24" s="23" t="b">
        <f aca="false">FALSE()</f>
        <v>0</v>
      </c>
      <c r="M24" s="9" t="n">
        <f aca="false">L64/10</f>
        <v>0</v>
      </c>
      <c r="N24" s="23" t="b">
        <f aca="false">FALSE()</f>
        <v>0</v>
      </c>
      <c r="O24" s="9" t="n">
        <f aca="false">N64/10</f>
        <v>0</v>
      </c>
      <c r="P24" s="23" t="b">
        <f aca="false">FALSE()</f>
        <v>0</v>
      </c>
      <c r="Q24" s="9" t="n">
        <f aca="false">P64/10</f>
        <v>0</v>
      </c>
    </row>
    <row r="25" customFormat="false" ht="27" hidden="false" customHeight="true" outlineLevel="0" collapsed="false">
      <c r="A25" s="10" t="s">
        <v>31</v>
      </c>
      <c r="B25" s="11" t="str">
        <f aca="false">IFERROR(INDEX(成員名單!$B$5:$B$34,MATCH($A25,成員名單!$A$5:$A$34,0))&amp;"","")</f>
        <v/>
      </c>
      <c r="C25" s="23" t="b">
        <f aca="false">FALSE()</f>
        <v>0</v>
      </c>
      <c r="D25" s="23" t="b">
        <f aca="false">FALSE()</f>
        <v>0</v>
      </c>
      <c r="E25" s="11" t="n">
        <f aca="false">D65/10</f>
        <v>0</v>
      </c>
      <c r="F25" s="23" t="b">
        <f aca="false">FALSE()</f>
        <v>0</v>
      </c>
      <c r="G25" s="11" t="n">
        <f aca="false">F65/10</f>
        <v>0</v>
      </c>
      <c r="H25" s="23" t="b">
        <f aca="false">FALSE()</f>
        <v>0</v>
      </c>
      <c r="I25" s="11" t="n">
        <f aca="false">H65/10</f>
        <v>0</v>
      </c>
      <c r="J25" s="23" t="b">
        <f aca="false">FALSE()</f>
        <v>0</v>
      </c>
      <c r="K25" s="11" t="n">
        <f aca="false">J65/10</f>
        <v>0</v>
      </c>
      <c r="L25" s="23" t="b">
        <f aca="false">FALSE()</f>
        <v>0</v>
      </c>
      <c r="M25" s="11" t="n">
        <f aca="false">L65/10</f>
        <v>0</v>
      </c>
      <c r="N25" s="23" t="b">
        <f aca="false">FALSE()</f>
        <v>0</v>
      </c>
      <c r="O25" s="11" t="n">
        <f aca="false">N65/10</f>
        <v>0</v>
      </c>
      <c r="P25" s="23" t="b">
        <f aca="false">FALSE()</f>
        <v>0</v>
      </c>
      <c r="Q25" s="11" t="n">
        <f aca="false">P65/10</f>
        <v>0</v>
      </c>
    </row>
    <row r="26" customFormat="false" ht="27" hidden="false" customHeight="true" outlineLevel="0" collapsed="false">
      <c r="A26" s="8" t="s">
        <v>32</v>
      </c>
      <c r="B26" s="9" t="str">
        <f aca="false">IFERROR(INDEX(成員名單!$B$5:$B$34,MATCH($A26,成員名單!$A$5:$A$34,0))&amp;"","")</f>
        <v/>
      </c>
      <c r="C26" s="23" t="b">
        <f aca="false">FALSE()</f>
        <v>0</v>
      </c>
      <c r="D26" s="23" t="b">
        <f aca="false">FALSE()</f>
        <v>0</v>
      </c>
      <c r="E26" s="9" t="n">
        <f aca="false">D66/10</f>
        <v>0</v>
      </c>
      <c r="F26" s="23" t="b">
        <f aca="false">FALSE()</f>
        <v>0</v>
      </c>
      <c r="G26" s="9" t="n">
        <f aca="false">F66/10</f>
        <v>0</v>
      </c>
      <c r="H26" s="23" t="b">
        <f aca="false">FALSE()</f>
        <v>0</v>
      </c>
      <c r="I26" s="9" t="n">
        <f aca="false">H66/10</f>
        <v>0</v>
      </c>
      <c r="J26" s="23" t="b">
        <f aca="false">FALSE()</f>
        <v>0</v>
      </c>
      <c r="K26" s="9" t="n">
        <f aca="false">J66/10</f>
        <v>0</v>
      </c>
      <c r="L26" s="23" t="b">
        <f aca="false">FALSE()</f>
        <v>0</v>
      </c>
      <c r="M26" s="9" t="n">
        <f aca="false">L66/10</f>
        <v>0</v>
      </c>
      <c r="N26" s="23" t="b">
        <f aca="false">FALSE()</f>
        <v>0</v>
      </c>
      <c r="O26" s="9" t="n">
        <f aca="false">N66/10</f>
        <v>0</v>
      </c>
      <c r="P26" s="23" t="b">
        <f aca="false">FALSE()</f>
        <v>0</v>
      </c>
      <c r="Q26" s="9" t="n">
        <f aca="false">P66/10</f>
        <v>0</v>
      </c>
    </row>
    <row r="27" customFormat="false" ht="27" hidden="false" customHeight="true" outlineLevel="0" collapsed="false">
      <c r="A27" s="10" t="s">
        <v>33</v>
      </c>
      <c r="B27" s="11" t="str">
        <f aca="false">IFERROR(INDEX(成員名單!$B$5:$B$34,MATCH($A27,成員名單!$A$5:$A$34,0))&amp;"","")</f>
        <v/>
      </c>
      <c r="C27" s="23" t="b">
        <f aca="false">FALSE()</f>
        <v>0</v>
      </c>
      <c r="D27" s="23" t="b">
        <f aca="false">FALSE()</f>
        <v>0</v>
      </c>
      <c r="E27" s="11" t="n">
        <f aca="false">D67/10</f>
        <v>0</v>
      </c>
      <c r="F27" s="23" t="b">
        <f aca="false">FALSE()</f>
        <v>0</v>
      </c>
      <c r="G27" s="11" t="n">
        <f aca="false">F67/10</f>
        <v>0</v>
      </c>
      <c r="H27" s="23" t="b">
        <f aca="false">FALSE()</f>
        <v>0</v>
      </c>
      <c r="I27" s="11" t="n">
        <f aca="false">H67/10</f>
        <v>0</v>
      </c>
      <c r="J27" s="23" t="b">
        <f aca="false">FALSE()</f>
        <v>0</v>
      </c>
      <c r="K27" s="11" t="n">
        <f aca="false">J67/10</f>
        <v>0</v>
      </c>
      <c r="L27" s="23" t="b">
        <f aca="false">FALSE()</f>
        <v>0</v>
      </c>
      <c r="M27" s="11" t="n">
        <f aca="false">L67/10</f>
        <v>0</v>
      </c>
      <c r="N27" s="23" t="b">
        <f aca="false">FALSE()</f>
        <v>0</v>
      </c>
      <c r="O27" s="11" t="n">
        <f aca="false">N67/10</f>
        <v>0</v>
      </c>
      <c r="P27" s="23" t="b">
        <f aca="false">FALSE()</f>
        <v>0</v>
      </c>
      <c r="Q27" s="11" t="n">
        <f aca="false">P67/10</f>
        <v>0</v>
      </c>
    </row>
    <row r="28" customFormat="false" ht="27" hidden="false" customHeight="true" outlineLevel="0" collapsed="false">
      <c r="A28" s="8" t="s">
        <v>34</v>
      </c>
      <c r="B28" s="9" t="str">
        <f aca="false">IFERROR(INDEX(成員名單!$B$5:$B$34,MATCH($A28,成員名單!$A$5:$A$34,0))&amp;"","")</f>
        <v/>
      </c>
      <c r="C28" s="23" t="b">
        <f aca="false">FALSE()</f>
        <v>0</v>
      </c>
      <c r="D28" s="23" t="b">
        <f aca="false">FALSE()</f>
        <v>0</v>
      </c>
      <c r="E28" s="9" t="n">
        <f aca="false">D68/10</f>
        <v>0</v>
      </c>
      <c r="F28" s="23" t="b">
        <f aca="false">FALSE()</f>
        <v>0</v>
      </c>
      <c r="G28" s="9" t="n">
        <f aca="false">F68/10</f>
        <v>0</v>
      </c>
      <c r="H28" s="23" t="b">
        <f aca="false">FALSE()</f>
        <v>0</v>
      </c>
      <c r="I28" s="9" t="n">
        <f aca="false">H68/10</f>
        <v>0</v>
      </c>
      <c r="J28" s="23" t="b">
        <f aca="false">FALSE()</f>
        <v>0</v>
      </c>
      <c r="K28" s="9" t="n">
        <f aca="false">J68/10</f>
        <v>0</v>
      </c>
      <c r="L28" s="23" t="b">
        <f aca="false">FALSE()</f>
        <v>0</v>
      </c>
      <c r="M28" s="9" t="n">
        <f aca="false">L68/10</f>
        <v>0</v>
      </c>
      <c r="N28" s="23" t="b">
        <f aca="false">FALSE()</f>
        <v>0</v>
      </c>
      <c r="O28" s="9" t="n">
        <f aca="false">N68/10</f>
        <v>0</v>
      </c>
      <c r="P28" s="23" t="b">
        <f aca="false">FALSE()</f>
        <v>0</v>
      </c>
      <c r="Q28" s="9" t="n">
        <f aca="false">P68/10</f>
        <v>0</v>
      </c>
    </row>
    <row r="29" customFormat="false" ht="27" hidden="false" customHeight="true" outlineLevel="0" collapsed="false">
      <c r="A29" s="10" t="s">
        <v>35</v>
      </c>
      <c r="B29" s="11" t="str">
        <f aca="false">IFERROR(INDEX(成員名單!$B$5:$B$34,MATCH($A29,成員名單!$A$5:$A$34,0))&amp;"","")</f>
        <v/>
      </c>
      <c r="C29" s="23" t="b">
        <f aca="false">FALSE()</f>
        <v>0</v>
      </c>
      <c r="D29" s="23" t="b">
        <f aca="false">FALSE()</f>
        <v>0</v>
      </c>
      <c r="E29" s="11" t="n">
        <f aca="false">D69/10</f>
        <v>0</v>
      </c>
      <c r="F29" s="23" t="b">
        <f aca="false">FALSE()</f>
        <v>0</v>
      </c>
      <c r="G29" s="11" t="n">
        <f aca="false">F69/10</f>
        <v>0</v>
      </c>
      <c r="H29" s="23" t="b">
        <f aca="false">FALSE()</f>
        <v>0</v>
      </c>
      <c r="I29" s="11" t="n">
        <f aca="false">H69/10</f>
        <v>0</v>
      </c>
      <c r="J29" s="23" t="b">
        <f aca="false">FALSE()</f>
        <v>0</v>
      </c>
      <c r="K29" s="11" t="n">
        <f aca="false">J69/10</f>
        <v>0</v>
      </c>
      <c r="L29" s="23" t="b">
        <f aca="false">FALSE()</f>
        <v>0</v>
      </c>
      <c r="M29" s="11" t="n">
        <f aca="false">L69/10</f>
        <v>0</v>
      </c>
      <c r="N29" s="23" t="b">
        <f aca="false">FALSE()</f>
        <v>0</v>
      </c>
      <c r="O29" s="11" t="n">
        <f aca="false">N69/10</f>
        <v>0</v>
      </c>
      <c r="P29" s="23" t="b">
        <f aca="false">FALSE()</f>
        <v>0</v>
      </c>
      <c r="Q29" s="11" t="n">
        <f aca="false">P69/10</f>
        <v>0</v>
      </c>
    </row>
    <row r="30" customFormat="false" ht="27" hidden="false" customHeight="true" outlineLevel="0" collapsed="false">
      <c r="A30" s="8" t="s">
        <v>36</v>
      </c>
      <c r="B30" s="9" t="str">
        <f aca="false">IFERROR(INDEX(成員名單!$B$5:$B$34,MATCH($A30,成員名單!$A$5:$A$34,0))&amp;"","")</f>
        <v/>
      </c>
      <c r="C30" s="23" t="b">
        <f aca="false">FALSE()</f>
        <v>0</v>
      </c>
      <c r="D30" s="23" t="b">
        <f aca="false">FALSE()</f>
        <v>0</v>
      </c>
      <c r="E30" s="9" t="n">
        <f aca="false">D70/10</f>
        <v>0</v>
      </c>
      <c r="F30" s="23" t="b">
        <f aca="false">FALSE()</f>
        <v>0</v>
      </c>
      <c r="G30" s="9" t="n">
        <f aca="false">F70/10</f>
        <v>0</v>
      </c>
      <c r="H30" s="23" t="b">
        <f aca="false">FALSE()</f>
        <v>0</v>
      </c>
      <c r="I30" s="9" t="n">
        <f aca="false">H70/10</f>
        <v>0</v>
      </c>
      <c r="J30" s="23" t="b">
        <f aca="false">FALSE()</f>
        <v>0</v>
      </c>
      <c r="K30" s="9" t="n">
        <f aca="false">J70/10</f>
        <v>0</v>
      </c>
      <c r="L30" s="23" t="b">
        <f aca="false">FALSE()</f>
        <v>0</v>
      </c>
      <c r="M30" s="9" t="n">
        <f aca="false">L70/10</f>
        <v>0</v>
      </c>
      <c r="N30" s="23" t="b">
        <f aca="false">FALSE()</f>
        <v>0</v>
      </c>
      <c r="O30" s="9" t="n">
        <f aca="false">N70/10</f>
        <v>0</v>
      </c>
      <c r="P30" s="23" t="b">
        <f aca="false">FALSE()</f>
        <v>0</v>
      </c>
      <c r="Q30" s="9" t="n">
        <f aca="false">P70/10</f>
        <v>0</v>
      </c>
    </row>
    <row r="31" customFormat="false" ht="27" hidden="false" customHeight="true" outlineLevel="0" collapsed="false">
      <c r="A31" s="10" t="s">
        <v>37</v>
      </c>
      <c r="B31" s="11" t="str">
        <f aca="false">IFERROR(INDEX(成員名單!$B$5:$B$34,MATCH($A31,成員名單!$A$5:$A$34,0))&amp;"","")</f>
        <v/>
      </c>
      <c r="C31" s="23" t="b">
        <f aca="false">FALSE()</f>
        <v>0</v>
      </c>
      <c r="D31" s="23" t="b">
        <f aca="false">FALSE()</f>
        <v>0</v>
      </c>
      <c r="E31" s="11" t="n">
        <f aca="false">D71/10</f>
        <v>0</v>
      </c>
      <c r="F31" s="23" t="b">
        <f aca="false">FALSE()</f>
        <v>0</v>
      </c>
      <c r="G31" s="11" t="n">
        <f aca="false">F71/10</f>
        <v>0</v>
      </c>
      <c r="H31" s="23" t="b">
        <f aca="false">FALSE()</f>
        <v>0</v>
      </c>
      <c r="I31" s="11" t="n">
        <f aca="false">H71/10</f>
        <v>0</v>
      </c>
      <c r="J31" s="23" t="b">
        <f aca="false">FALSE()</f>
        <v>0</v>
      </c>
      <c r="K31" s="11" t="n">
        <f aca="false">J71/10</f>
        <v>0</v>
      </c>
      <c r="L31" s="23" t="b">
        <f aca="false">FALSE()</f>
        <v>0</v>
      </c>
      <c r="M31" s="11" t="n">
        <f aca="false">L71/10</f>
        <v>0</v>
      </c>
      <c r="N31" s="23" t="b">
        <f aca="false">FALSE()</f>
        <v>0</v>
      </c>
      <c r="O31" s="11" t="n">
        <f aca="false">N71/10</f>
        <v>0</v>
      </c>
      <c r="P31" s="23" t="b">
        <f aca="false">FALSE()</f>
        <v>0</v>
      </c>
      <c r="Q31" s="11" t="n">
        <f aca="false">P71/10</f>
        <v>0</v>
      </c>
    </row>
    <row r="32" customFormat="false" ht="27" hidden="false" customHeight="true" outlineLevel="0" collapsed="false">
      <c r="A32" s="8" t="s">
        <v>38</v>
      </c>
      <c r="B32" s="9" t="str">
        <f aca="false">IFERROR(INDEX(成員名單!$B$5:$B$34,MATCH($A32,成員名單!$A$5:$A$34,0))&amp;"","")</f>
        <v/>
      </c>
      <c r="C32" s="23" t="b">
        <f aca="false">FALSE()</f>
        <v>0</v>
      </c>
      <c r="D32" s="23" t="b">
        <f aca="false">FALSE()</f>
        <v>0</v>
      </c>
      <c r="E32" s="9" t="n">
        <f aca="false">D72/10</f>
        <v>0</v>
      </c>
      <c r="F32" s="23" t="b">
        <f aca="false">FALSE()</f>
        <v>0</v>
      </c>
      <c r="G32" s="9" t="n">
        <f aca="false">F72/10</f>
        <v>0</v>
      </c>
      <c r="H32" s="23" t="b">
        <f aca="false">FALSE()</f>
        <v>0</v>
      </c>
      <c r="I32" s="9" t="n">
        <f aca="false">H72/10</f>
        <v>0</v>
      </c>
      <c r="J32" s="23" t="b">
        <f aca="false">FALSE()</f>
        <v>0</v>
      </c>
      <c r="K32" s="9" t="n">
        <f aca="false">J72/10</f>
        <v>0</v>
      </c>
      <c r="L32" s="23" t="b">
        <f aca="false">FALSE()</f>
        <v>0</v>
      </c>
      <c r="M32" s="9" t="n">
        <f aca="false">L72/10</f>
        <v>0</v>
      </c>
      <c r="N32" s="23" t="b">
        <f aca="false">FALSE()</f>
        <v>0</v>
      </c>
      <c r="O32" s="9" t="n">
        <f aca="false">N72/10</f>
        <v>0</v>
      </c>
      <c r="P32" s="23" t="b">
        <f aca="false">FALSE()</f>
        <v>0</v>
      </c>
      <c r="Q32" s="9" t="n">
        <f aca="false">P72/10</f>
        <v>0</v>
      </c>
    </row>
    <row r="33" customFormat="false" ht="27" hidden="false" customHeight="true" outlineLevel="0" collapsed="false">
      <c r="A33" s="10" t="s">
        <v>39</v>
      </c>
      <c r="B33" s="11" t="str">
        <f aca="false">IFERROR(INDEX(成員名單!$B$5:$B$34,MATCH($A33,成員名單!$A$5:$A$34,0))&amp;"","")</f>
        <v/>
      </c>
      <c r="C33" s="23" t="b">
        <f aca="false">FALSE()</f>
        <v>0</v>
      </c>
      <c r="D33" s="23" t="b">
        <f aca="false">FALSE()</f>
        <v>0</v>
      </c>
      <c r="E33" s="11" t="n">
        <f aca="false">D73/10</f>
        <v>0</v>
      </c>
      <c r="F33" s="23" t="b">
        <f aca="false">FALSE()</f>
        <v>0</v>
      </c>
      <c r="G33" s="11" t="n">
        <f aca="false">F73/10</f>
        <v>0</v>
      </c>
      <c r="H33" s="23" t="b">
        <f aca="false">FALSE()</f>
        <v>0</v>
      </c>
      <c r="I33" s="11" t="n">
        <f aca="false">H73/10</f>
        <v>0</v>
      </c>
      <c r="J33" s="23" t="b">
        <f aca="false">FALSE()</f>
        <v>0</v>
      </c>
      <c r="K33" s="11" t="n">
        <f aca="false">J73/10</f>
        <v>0</v>
      </c>
      <c r="L33" s="23" t="b">
        <f aca="false">FALSE()</f>
        <v>0</v>
      </c>
      <c r="M33" s="11" t="n">
        <f aca="false">L73/10</f>
        <v>0</v>
      </c>
      <c r="N33" s="23" t="b">
        <f aca="false">FALSE()</f>
        <v>0</v>
      </c>
      <c r="O33" s="11" t="n">
        <f aca="false">N73/10</f>
        <v>0</v>
      </c>
      <c r="P33" s="23" t="b">
        <f aca="false">FALSE()</f>
        <v>0</v>
      </c>
      <c r="Q33" s="11" t="n">
        <f aca="false">P73/10</f>
        <v>0</v>
      </c>
    </row>
    <row r="34" customFormat="false" ht="27" hidden="false" customHeight="true" outlineLevel="0" collapsed="false">
      <c r="A34" s="8" t="s">
        <v>40</v>
      </c>
      <c r="B34" s="9" t="str">
        <f aca="false">IFERROR(INDEX(成員名單!$B$5:$B$34,MATCH($A34,成員名單!$A$5:$A$34,0))&amp;"","")</f>
        <v/>
      </c>
      <c r="C34" s="23" t="b">
        <f aca="false">FALSE()</f>
        <v>0</v>
      </c>
      <c r="D34" s="23" t="b">
        <f aca="false">FALSE()</f>
        <v>0</v>
      </c>
      <c r="E34" s="9" t="n">
        <f aca="false">D74/10</f>
        <v>0</v>
      </c>
      <c r="F34" s="23" t="b">
        <f aca="false">FALSE()</f>
        <v>0</v>
      </c>
      <c r="G34" s="9" t="n">
        <f aca="false">F74/10</f>
        <v>0</v>
      </c>
      <c r="H34" s="23" t="b">
        <f aca="false">FALSE()</f>
        <v>0</v>
      </c>
      <c r="I34" s="9" t="n">
        <f aca="false">H74/10</f>
        <v>0</v>
      </c>
      <c r="J34" s="23" t="b">
        <f aca="false">FALSE()</f>
        <v>0</v>
      </c>
      <c r="K34" s="9" t="n">
        <f aca="false">J74/10</f>
        <v>0</v>
      </c>
      <c r="L34" s="23" t="b">
        <f aca="false">FALSE()</f>
        <v>0</v>
      </c>
      <c r="M34" s="9" t="n">
        <f aca="false">L74/10</f>
        <v>0</v>
      </c>
      <c r="N34" s="23" t="b">
        <f aca="false">FALSE()</f>
        <v>0</v>
      </c>
      <c r="O34" s="9" t="n">
        <f aca="false">N74/10</f>
        <v>0</v>
      </c>
      <c r="P34" s="23" t="b">
        <f aca="false">FALSE()</f>
        <v>0</v>
      </c>
      <c r="Q34" s="9" t="n">
        <f aca="false">P74/10</f>
        <v>0</v>
      </c>
    </row>
    <row r="35" customFormat="false" ht="27" hidden="false" customHeight="true" outlineLevel="0" collapsed="false">
      <c r="A35" s="10" t="s">
        <v>41</v>
      </c>
      <c r="B35" s="11" t="str">
        <f aca="false">IFERROR(INDEX(成員名單!$B$5:$B$34,MATCH($A35,成員名單!$A$5:$A$34,0))&amp;"","")</f>
        <v/>
      </c>
      <c r="C35" s="23" t="b">
        <f aca="false">FALSE()</f>
        <v>0</v>
      </c>
      <c r="D35" s="23" t="b">
        <f aca="false">FALSE()</f>
        <v>0</v>
      </c>
      <c r="E35" s="11" t="n">
        <f aca="false">D75/10</f>
        <v>0</v>
      </c>
      <c r="F35" s="23" t="b">
        <f aca="false">FALSE()</f>
        <v>0</v>
      </c>
      <c r="G35" s="11" t="n">
        <f aca="false">F75/10</f>
        <v>0</v>
      </c>
      <c r="H35" s="23" t="b">
        <f aca="false">FALSE()</f>
        <v>0</v>
      </c>
      <c r="I35" s="11" t="n">
        <f aca="false">H75/10</f>
        <v>0</v>
      </c>
      <c r="J35" s="23" t="b">
        <f aca="false">FALSE()</f>
        <v>0</v>
      </c>
      <c r="K35" s="11" t="n">
        <f aca="false">J75/10</f>
        <v>0</v>
      </c>
      <c r="L35" s="23" t="b">
        <f aca="false">FALSE()</f>
        <v>0</v>
      </c>
      <c r="M35" s="11" t="n">
        <f aca="false">L75/10</f>
        <v>0</v>
      </c>
      <c r="N35" s="23" t="b">
        <f aca="false">FALSE()</f>
        <v>0</v>
      </c>
      <c r="O35" s="11" t="n">
        <f aca="false">N75/10</f>
        <v>0</v>
      </c>
      <c r="P35" s="23" t="b">
        <f aca="false">FALSE()</f>
        <v>0</v>
      </c>
      <c r="Q35" s="11" t="n">
        <f aca="false">P75/10</f>
        <v>0</v>
      </c>
    </row>
    <row r="36" customFormat="false" ht="27" hidden="false" customHeight="true" outlineLevel="0" collapsed="false">
      <c r="A36" s="8" t="s">
        <v>42</v>
      </c>
      <c r="B36" s="9" t="str">
        <f aca="false">IFERROR(INDEX(成員名單!$B$5:$B$34,MATCH($A36,成員名單!$A$5:$A$34,0))&amp;"","")</f>
        <v/>
      </c>
      <c r="C36" s="23" t="b">
        <f aca="false">FALSE()</f>
        <v>0</v>
      </c>
      <c r="D36" s="23" t="b">
        <f aca="false">FALSE()</f>
        <v>0</v>
      </c>
      <c r="E36" s="9" t="n">
        <f aca="false">D76/10</f>
        <v>0</v>
      </c>
      <c r="F36" s="23" t="b">
        <f aca="false">FALSE()</f>
        <v>0</v>
      </c>
      <c r="G36" s="9" t="n">
        <f aca="false">F76/10</f>
        <v>0</v>
      </c>
      <c r="H36" s="23" t="b">
        <f aca="false">FALSE()</f>
        <v>0</v>
      </c>
      <c r="I36" s="9" t="n">
        <f aca="false">H76/10</f>
        <v>0</v>
      </c>
      <c r="J36" s="23" t="b">
        <f aca="false">FALSE()</f>
        <v>0</v>
      </c>
      <c r="K36" s="9" t="n">
        <f aca="false">J76/10</f>
        <v>0</v>
      </c>
      <c r="L36" s="23" t="b">
        <f aca="false">FALSE()</f>
        <v>0</v>
      </c>
      <c r="M36" s="9" t="n">
        <f aca="false">L76/10</f>
        <v>0</v>
      </c>
      <c r="N36" s="23" t="b">
        <f aca="false">FALSE()</f>
        <v>0</v>
      </c>
      <c r="O36" s="9" t="n">
        <f aca="false">N76/10</f>
        <v>0</v>
      </c>
      <c r="P36" s="23" t="b">
        <f aca="false">FALSE()</f>
        <v>0</v>
      </c>
      <c r="Q36" s="9" t="n">
        <f aca="false">P76/10</f>
        <v>0</v>
      </c>
    </row>
    <row r="37" customFormat="false" ht="27" hidden="false" customHeight="true" outlineLevel="0" collapsed="false">
      <c r="A37" s="10" t="s">
        <v>43</v>
      </c>
      <c r="B37" s="11" t="str">
        <f aca="false">IFERROR(INDEX(成員名單!$B$5:$B$34,MATCH($A37,成員名單!$A$5:$A$34,0))&amp;"","")</f>
        <v/>
      </c>
      <c r="C37" s="23" t="b">
        <f aca="false">FALSE()</f>
        <v>0</v>
      </c>
      <c r="D37" s="23" t="b">
        <f aca="false">FALSE()</f>
        <v>0</v>
      </c>
      <c r="E37" s="11" t="n">
        <f aca="false">D77/10</f>
        <v>0</v>
      </c>
      <c r="F37" s="23" t="b">
        <f aca="false">FALSE()</f>
        <v>0</v>
      </c>
      <c r="G37" s="11" t="n">
        <f aca="false">F77/10</f>
        <v>0</v>
      </c>
      <c r="H37" s="23" t="b">
        <f aca="false">FALSE()</f>
        <v>0</v>
      </c>
      <c r="I37" s="11" t="n">
        <f aca="false">H77/10</f>
        <v>0</v>
      </c>
      <c r="J37" s="23" t="b">
        <f aca="false">FALSE()</f>
        <v>0</v>
      </c>
      <c r="K37" s="11" t="n">
        <f aca="false">J77/10</f>
        <v>0</v>
      </c>
      <c r="L37" s="23" t="b">
        <f aca="false">FALSE()</f>
        <v>0</v>
      </c>
      <c r="M37" s="11" t="n">
        <f aca="false">L77/10</f>
        <v>0</v>
      </c>
      <c r="N37" s="23" t="b">
        <f aca="false">FALSE()</f>
        <v>0</v>
      </c>
      <c r="O37" s="11" t="n">
        <f aca="false">N77/10</f>
        <v>0</v>
      </c>
      <c r="P37" s="23" t="b">
        <f aca="false">FALSE()</f>
        <v>0</v>
      </c>
      <c r="Q37" s="11" t="n">
        <f aca="false">P77/10</f>
        <v>0</v>
      </c>
    </row>
    <row r="38" customFormat="false" ht="27" hidden="false" customHeight="true" outlineLevel="0" collapsed="false">
      <c r="A38" s="8" t="s">
        <v>44</v>
      </c>
      <c r="B38" s="9" t="str">
        <f aca="false">IFERROR(INDEX(成員名單!$B$5:$B$34,MATCH($A38,成員名單!$A$5:$A$34,0))&amp;"","")</f>
        <v/>
      </c>
      <c r="C38" s="23" t="b">
        <f aca="false">FALSE()</f>
        <v>0</v>
      </c>
      <c r="D38" s="23" t="b">
        <f aca="false">FALSE()</f>
        <v>0</v>
      </c>
      <c r="E38" s="9" t="n">
        <f aca="false">D78/10</f>
        <v>0</v>
      </c>
      <c r="F38" s="23" t="b">
        <f aca="false">FALSE()</f>
        <v>0</v>
      </c>
      <c r="G38" s="9" t="n">
        <f aca="false">F78/10</f>
        <v>0</v>
      </c>
      <c r="H38" s="23" t="b">
        <f aca="false">FALSE()</f>
        <v>0</v>
      </c>
      <c r="I38" s="9" t="n">
        <f aca="false">H78/10</f>
        <v>0</v>
      </c>
      <c r="J38" s="23" t="b">
        <f aca="false">FALSE()</f>
        <v>0</v>
      </c>
      <c r="K38" s="9" t="n">
        <f aca="false">J78/10</f>
        <v>0</v>
      </c>
      <c r="L38" s="23" t="b">
        <f aca="false">FALSE()</f>
        <v>0</v>
      </c>
      <c r="M38" s="9" t="n">
        <f aca="false">L78/10</f>
        <v>0</v>
      </c>
      <c r="N38" s="23" t="b">
        <f aca="false">FALSE()</f>
        <v>0</v>
      </c>
      <c r="O38" s="9" t="n">
        <f aca="false">N78/10</f>
        <v>0</v>
      </c>
      <c r="P38" s="23" t="b">
        <f aca="false">FALSE()</f>
        <v>0</v>
      </c>
      <c r="Q38" s="9" t="n">
        <f aca="false">P78/10</f>
        <v>0</v>
      </c>
    </row>
    <row r="39" customFormat="false" ht="27" hidden="false" customHeight="true" outlineLevel="0" collapsed="false">
      <c r="A39" s="10" t="s">
        <v>45</v>
      </c>
      <c r="B39" s="11" t="str">
        <f aca="false">IFERROR(INDEX(成員名單!$B$5:$B$34,MATCH($A39,成員名單!$A$5:$A$34,0))&amp;"","")</f>
        <v/>
      </c>
      <c r="C39" s="23" t="b">
        <f aca="false">FALSE()</f>
        <v>0</v>
      </c>
      <c r="D39" s="23" t="b">
        <f aca="false">FALSE()</f>
        <v>0</v>
      </c>
      <c r="E39" s="11" t="n">
        <f aca="false">D79/10</f>
        <v>0</v>
      </c>
      <c r="F39" s="23" t="b">
        <f aca="false">FALSE()</f>
        <v>0</v>
      </c>
      <c r="G39" s="11" t="n">
        <f aca="false">F79/10</f>
        <v>0</v>
      </c>
      <c r="H39" s="23" t="b">
        <f aca="false">FALSE()</f>
        <v>0</v>
      </c>
      <c r="I39" s="11" t="n">
        <f aca="false">H79/10</f>
        <v>0</v>
      </c>
      <c r="J39" s="23" t="b">
        <f aca="false">FALSE()</f>
        <v>0</v>
      </c>
      <c r="K39" s="11" t="n">
        <f aca="false">J79/10</f>
        <v>0</v>
      </c>
      <c r="L39" s="23" t="b">
        <f aca="false">FALSE()</f>
        <v>0</v>
      </c>
      <c r="M39" s="11" t="n">
        <f aca="false">L79/10</f>
        <v>0</v>
      </c>
      <c r="N39" s="23" t="b">
        <f aca="false">FALSE()</f>
        <v>0</v>
      </c>
      <c r="O39" s="11" t="n">
        <f aca="false">N79/10</f>
        <v>0</v>
      </c>
      <c r="P39" s="23" t="b">
        <f aca="false">FALSE()</f>
        <v>0</v>
      </c>
      <c r="Q39" s="11" t="n">
        <f aca="false">P79/10</f>
        <v>0</v>
      </c>
    </row>
    <row r="40" customFormat="false" ht="27" hidden="false" customHeight="true" outlineLevel="0" collapsed="false">
      <c r="A40" s="8" t="s">
        <v>46</v>
      </c>
      <c r="B40" s="9" t="str">
        <f aca="false">IFERROR(INDEX(成員名單!$B$5:$B$34,MATCH($A40,成員名單!$A$5:$A$34,0))&amp;"","")</f>
        <v/>
      </c>
      <c r="C40" s="23" t="b">
        <f aca="false">FALSE()</f>
        <v>0</v>
      </c>
      <c r="D40" s="23" t="b">
        <f aca="false">FALSE()</f>
        <v>0</v>
      </c>
      <c r="E40" s="9" t="n">
        <f aca="false">D80/10</f>
        <v>0</v>
      </c>
      <c r="F40" s="23" t="b">
        <f aca="false">FALSE()</f>
        <v>0</v>
      </c>
      <c r="G40" s="9" t="n">
        <f aca="false">F80/10</f>
        <v>0</v>
      </c>
      <c r="H40" s="23" t="b">
        <f aca="false">FALSE()</f>
        <v>0</v>
      </c>
      <c r="I40" s="9" t="n">
        <f aca="false">H80/10</f>
        <v>0</v>
      </c>
      <c r="J40" s="23" t="b">
        <f aca="false">FALSE()</f>
        <v>0</v>
      </c>
      <c r="K40" s="9" t="n">
        <f aca="false">J80/10</f>
        <v>0</v>
      </c>
      <c r="L40" s="23" t="b">
        <f aca="false">FALSE()</f>
        <v>0</v>
      </c>
      <c r="M40" s="9" t="n">
        <f aca="false">L80/10</f>
        <v>0</v>
      </c>
      <c r="N40" s="23" t="b">
        <f aca="false">FALSE()</f>
        <v>0</v>
      </c>
      <c r="O40" s="9" t="n">
        <f aca="false">N80/10</f>
        <v>0</v>
      </c>
      <c r="P40" s="23" t="b">
        <f aca="false">FALSE()</f>
        <v>0</v>
      </c>
      <c r="Q40" s="9" t="n">
        <f aca="false">P80/10</f>
        <v>0</v>
      </c>
    </row>
    <row r="41" customFormat="false" ht="27" hidden="false" customHeight="true" outlineLevel="0" collapsed="false">
      <c r="A41" s="10" t="s">
        <v>47</v>
      </c>
      <c r="B41" s="11" t="str">
        <f aca="false">IFERROR(INDEX(成員名單!$B$5:$B$34,MATCH($A41,成員名單!$A$5:$A$34,0))&amp;"","")</f>
        <v/>
      </c>
      <c r="C41" s="23" t="b">
        <f aca="false">FALSE()</f>
        <v>0</v>
      </c>
      <c r="D41" s="23" t="b">
        <f aca="false">FALSE()</f>
        <v>0</v>
      </c>
      <c r="E41" s="11" t="n">
        <f aca="false">D81/10</f>
        <v>0</v>
      </c>
      <c r="F41" s="23" t="b">
        <f aca="false">FALSE()</f>
        <v>0</v>
      </c>
      <c r="G41" s="11" t="n">
        <f aca="false">F81/10</f>
        <v>0</v>
      </c>
      <c r="H41" s="23" t="b">
        <f aca="false">FALSE()</f>
        <v>0</v>
      </c>
      <c r="I41" s="11" t="n">
        <f aca="false">H81/10</f>
        <v>0</v>
      </c>
      <c r="J41" s="23" t="b">
        <f aca="false">FALSE()</f>
        <v>0</v>
      </c>
      <c r="K41" s="11" t="n">
        <f aca="false">J81/10</f>
        <v>0</v>
      </c>
      <c r="L41" s="23" t="b">
        <f aca="false">FALSE()</f>
        <v>0</v>
      </c>
      <c r="M41" s="11" t="n">
        <f aca="false">L81/10</f>
        <v>0</v>
      </c>
      <c r="N41" s="23" t="b">
        <f aca="false">FALSE()</f>
        <v>0</v>
      </c>
      <c r="O41" s="11" t="n">
        <f aca="false">N81/10</f>
        <v>0</v>
      </c>
      <c r="P41" s="23" t="b">
        <f aca="false">FALSE()</f>
        <v>0</v>
      </c>
      <c r="Q41" s="11" t="n">
        <f aca="false">P81/10</f>
        <v>0</v>
      </c>
    </row>
    <row r="42" customFormat="false" ht="27" hidden="false" customHeight="true" outlineLevel="0" collapsed="false">
      <c r="A42" s="12"/>
      <c r="B42" s="8" t="s">
        <v>88</v>
      </c>
      <c r="C42" s="12"/>
      <c r="D42" s="12"/>
      <c r="E42" s="9" t="n">
        <f aca="false">D51/10</f>
        <v>0</v>
      </c>
      <c r="F42" s="12"/>
      <c r="G42" s="9" t="n">
        <f aca="false">F51/10</f>
        <v>0</v>
      </c>
      <c r="H42" s="12"/>
      <c r="I42" s="9" t="n">
        <f aca="false">H51/10</f>
        <v>0</v>
      </c>
      <c r="J42" s="12"/>
      <c r="K42" s="9" t="n">
        <f aca="false">J51/10</f>
        <v>0</v>
      </c>
      <c r="L42" s="12"/>
      <c r="M42" s="9" t="n">
        <f aca="false">L51/10</f>
        <v>0</v>
      </c>
      <c r="N42" s="12"/>
      <c r="O42" s="9" t="n">
        <f aca="false">N51/10</f>
        <v>0</v>
      </c>
      <c r="P42" s="12"/>
      <c r="Q42" s="9" t="n">
        <f aca="false">P51/10</f>
        <v>0</v>
      </c>
    </row>
    <row r="46" customFormat="false" ht="15" hidden="true" customHeight="false" outlineLevel="0" collapsed="false">
      <c r="D46" s="14" t="n">
        <f aca="false">IFERROR(IF(D$47,ROUND(D$6*10,0),0),0)</f>
        <v>0</v>
      </c>
      <c r="F46" s="14" t="n">
        <f aca="false">IFERROR(IF(F$47,ROUND(F$6*10,0),0),0)</f>
        <v>0</v>
      </c>
      <c r="H46" s="14" t="n">
        <f aca="false">IFERROR(IF(H$47,ROUND(H$6*10,0),0),0)</f>
        <v>0</v>
      </c>
      <c r="J46" s="14" t="n">
        <f aca="false">IFERROR(IF(J$47,ROUND(J$6*10,0),0),0)</f>
        <v>0</v>
      </c>
      <c r="L46" s="14" t="n">
        <f aca="false">IFERROR(IF(L$47,ROUND(L$6*10,0),0),0)</f>
        <v>0</v>
      </c>
      <c r="N46" s="14" t="n">
        <f aca="false">IFERROR(IF(N$47,ROUND(N$6*10,0),0),0)</f>
        <v>0</v>
      </c>
      <c r="P46" s="14" t="n">
        <f aca="false">IFERROR(IF(P$47,ROUND(P$6*10,0),0),0)</f>
        <v>0</v>
      </c>
    </row>
    <row r="47" customFormat="false" ht="15" hidden="true" customHeight="false" outlineLevel="0" collapsed="false">
      <c r="D47" s="14" t="n">
        <f aca="false">IF(LEN(TRIM(D$6&amp;""))=0,TRUE(),IFERROR(AND(ISNUMBER(D$6),D$6&gt;=0,D$6&lt;=100000000,ROUND(D$6,1)=D$6),FALSE()))</f>
        <v>1</v>
      </c>
      <c r="F47" s="14" t="n">
        <f aca="false">IF(LEN(TRIM(F$6&amp;""))=0,TRUE(),IFERROR(AND(ISNUMBER(F$6),F$6&gt;=0,F$6&lt;=100000000,ROUND(F$6,1)=F$6),FALSE()))</f>
        <v>1</v>
      </c>
      <c r="H47" s="14" t="n">
        <f aca="false">IF(LEN(TRIM(H$6&amp;""))=0,TRUE(),IFERROR(AND(ISNUMBER(H$6),H$6&gt;=0,H$6&lt;=100000000,ROUND(H$6,1)=H$6),FALSE()))</f>
        <v>1</v>
      </c>
      <c r="J47" s="14" t="n">
        <f aca="false">IF(LEN(TRIM(J$6&amp;""))=0,TRUE(),IFERROR(AND(ISNUMBER(J$6),J$6&gt;=0,J$6&lt;=100000000,ROUND(J$6,1)=J$6),FALSE()))</f>
        <v>1</v>
      </c>
      <c r="L47" s="14" t="n">
        <f aca="false">IF(LEN(TRIM(L$6&amp;""))=0,TRUE(),IFERROR(AND(ISNUMBER(L$6),L$6&gt;=0,L$6&lt;=100000000,ROUND(L$6,1)=L$6),FALSE()))</f>
        <v>1</v>
      </c>
      <c r="N47" s="14" t="n">
        <f aca="false">IF(LEN(TRIM(N$6&amp;""))=0,TRUE(),IFERROR(AND(ISNUMBER(N$6),N$6&gt;=0,N$6&lt;=100000000,ROUND(N$6,1)=N$6),FALSE()))</f>
        <v>1</v>
      </c>
      <c r="P47" s="14" t="n">
        <f aca="false">IF(LEN(TRIM(P$6&amp;""))=0,TRUE(),IFERROR(AND(ISNUMBER(P$6),P$6&gt;=0,P$6&lt;=100000000,ROUND(P$6,1)=P$6),FALSE()))</f>
        <v>1</v>
      </c>
    </row>
    <row r="48" customFormat="false" ht="15" hidden="true" customHeight="false" outlineLevel="0" collapsed="false">
      <c r="D48" s="14" t="n">
        <f aca="false">IF(D$50,IF(AND($C$3=TRUE(),$C$49&gt;0),SUMPRODUCT(--(LEN(TRIM($B$12:$B$41))&gt;0),--(D$12:D$41=TRUE()),--($C$12:$C$41&lt;&gt;TRUE())),0),SUMPRODUCT(--(LEN(TRIM($B$12:$B$41))&gt;0),--(D$12:D$41=TRUE())))</f>
        <v>0</v>
      </c>
      <c r="F48" s="14" t="n">
        <f aca="false">IF(F$50,IF(AND($C$3=TRUE(),$C$49&gt;0),SUMPRODUCT(--(LEN(TRIM($B$12:$B$41))&gt;0),--(F$12:F$41=TRUE()),--($C$12:$C$41&lt;&gt;TRUE())),0),SUMPRODUCT(--(LEN(TRIM($B$12:$B$41))&gt;0),--(F$12:F$41=TRUE())))</f>
        <v>0</v>
      </c>
      <c r="H48" s="14" t="n">
        <f aca="false">IF(H$50,IF(AND($C$3=TRUE(),$C$49&gt;0),SUMPRODUCT(--(LEN(TRIM($B$12:$B$41))&gt;0),--(H$12:H$41=TRUE()),--($C$12:$C$41&lt;&gt;TRUE())),0),SUMPRODUCT(--(LEN(TRIM($B$12:$B$41))&gt;0),--(H$12:H$41=TRUE())))</f>
        <v>0</v>
      </c>
      <c r="J48" s="14" t="n">
        <f aca="false">IF(J$50,IF(AND($C$3=TRUE(),$C$49&gt;0),SUMPRODUCT(--(LEN(TRIM($B$12:$B$41))&gt;0),--(J$12:J$41=TRUE()),--($C$12:$C$41&lt;&gt;TRUE())),0),SUMPRODUCT(--(LEN(TRIM($B$12:$B$41))&gt;0),--(J$12:J$41=TRUE())))</f>
        <v>0</v>
      </c>
      <c r="L48" s="14" t="n">
        <f aca="false">IF(L$50,IF(AND($C$3=TRUE(),$C$49&gt;0),SUMPRODUCT(--(LEN(TRIM($B$12:$B$41))&gt;0),--(L$12:L$41=TRUE()),--($C$12:$C$41&lt;&gt;TRUE())),0),SUMPRODUCT(--(LEN(TRIM($B$12:$B$41))&gt;0),--(L$12:L$41=TRUE())))</f>
        <v>0</v>
      </c>
      <c r="N48" s="14" t="n">
        <f aca="false">IF(N$50,IF(AND($C$3=TRUE(),$C$49&gt;0),SUMPRODUCT(--(LEN(TRIM($B$12:$B$41))&gt;0),--(N$12:N$41=TRUE()),--($C$12:$C$41&lt;&gt;TRUE())),0),SUMPRODUCT(--(LEN(TRIM($B$12:$B$41))&gt;0),--(N$12:N$41=TRUE())))</f>
        <v>0</v>
      </c>
      <c r="P48" s="14" t="n">
        <f aca="false">IF(P$50,IF(AND($C$3=TRUE(),$C$49&gt;0),SUMPRODUCT(--(LEN(TRIM($B$12:$B$41))&gt;0),--(P$12:P$41=TRUE()),--($C$12:$C$41&lt;&gt;TRUE())),0),SUMPRODUCT(--(LEN(TRIM($B$12:$B$41))&gt;0),--(P$12:P$41=TRUE())))</f>
        <v>0</v>
      </c>
    </row>
    <row r="49" customFormat="false" ht="15" hidden="true" customHeight="false" outlineLevel="0" collapsed="false">
      <c r="C49" s="14" t="n">
        <f aca="false">SUMPRODUCT(--(LEN(TRIM($B$12:$B$41))&gt;0),--($C$12:$C$41=TRUE()))</f>
        <v>0</v>
      </c>
    </row>
    <row r="50" customFormat="false" ht="15" hidden="true" customHeight="false" outlineLevel="0" collapsed="false">
      <c r="D50" s="14" t="n">
        <f aca="false">OR(D$5="油錢",D$5="租車費")</f>
        <v>0</v>
      </c>
      <c r="F50" s="14" t="n">
        <f aca="false">OR(F$5="油錢",F$5="租車費")</f>
        <v>0</v>
      </c>
      <c r="H50" s="14" t="n">
        <f aca="false">OR(H$5="油錢",H$5="租車費")</f>
        <v>0</v>
      </c>
      <c r="J50" s="14" t="n">
        <f aca="false">OR(J$5="油錢",J$5="租車費")</f>
        <v>1</v>
      </c>
      <c r="L50" s="14" t="n">
        <f aca="false">OR(L$5="油錢",L$5="租車費")</f>
        <v>1</v>
      </c>
      <c r="N50" s="14" t="n">
        <f aca="false">OR(N$5="油錢",N$5="租車費")</f>
        <v>0</v>
      </c>
      <c r="P50" s="14" t="n">
        <f aca="false">OR(P$5="油錢",P$5="租車費")</f>
        <v>0</v>
      </c>
    </row>
    <row r="51" customFormat="false" ht="15" hidden="true" customHeight="false" outlineLevel="0" collapsed="false">
      <c r="D51" s="14" t="n">
        <f aca="false">SUM(D52:D81)</f>
        <v>0</v>
      </c>
      <c r="F51" s="14" t="n">
        <f aca="false">SUM(F52:F81)</f>
        <v>0</v>
      </c>
      <c r="H51" s="14" t="n">
        <f aca="false">SUM(H52:H81)</f>
        <v>0</v>
      </c>
      <c r="J51" s="14" t="n">
        <f aca="false">SUM(J52:J81)</f>
        <v>0</v>
      </c>
      <c r="L51" s="14" t="n">
        <f aca="false">SUM(L52:L81)</f>
        <v>0</v>
      </c>
      <c r="N51" s="14" t="n">
        <f aca="false">SUM(N52:N81)</f>
        <v>0</v>
      </c>
      <c r="P51" s="14" t="n">
        <f aca="false">SUM(P52:P81)</f>
        <v>0</v>
      </c>
    </row>
    <row r="52" customFormat="false" ht="15" hidden="true" customHeight="false" outlineLevel="0" collapsed="false">
      <c r="A52" s="13" t="s">
        <v>18</v>
      </c>
      <c r="D52" s="14" t="n">
        <f aca="false">IF(AND(D$47,D$48&gt;0,LEN(TRIM($B12))&gt;0,D12=TRUE(),IF(D$50,$C12&lt;&gt;TRUE(),TRUE())),QUOTIENT(D$46,MAX(1,D$48))+IF(IF(D$50,SUMPRODUCT(--(LEN(TRIM($B$12:$B12))&gt;0),--(D$12:D12=TRUE()),--($C$12:$C12&lt;&gt;TRUE())),SUMPRODUCT(--(LEN(TRIM($B$12:$B12))&gt;0),--(D$12:D12=TRUE())))&lt;=MOD(D$46,MAX(1,D$48)),1,0),0)</f>
        <v>0</v>
      </c>
      <c r="F52" s="14" t="n">
        <f aca="false">IF(AND(F$47,F$48&gt;0,LEN(TRIM($B12))&gt;0,F12=TRUE(),IF(F$50,$C12&lt;&gt;TRUE(),TRUE())),QUOTIENT(F$46,MAX(1,F$48))+IF(IF(F$50,SUMPRODUCT(--(LEN(TRIM($B$12:$B12))&gt;0),--(F$12:F12=TRUE()),--($C$12:$C12&lt;&gt;TRUE())),SUMPRODUCT(--(LEN(TRIM($B$12:$B12))&gt;0),--(F$12:F12=TRUE())))&lt;=MOD(F$46,MAX(1,F$48)),1,0),0)</f>
        <v>0</v>
      </c>
      <c r="H52" s="14" t="n">
        <f aca="false">IF(AND(H$47,H$48&gt;0,LEN(TRIM($B12))&gt;0,H12=TRUE(),IF(H$50,$C12&lt;&gt;TRUE(),TRUE())),QUOTIENT(H$46,MAX(1,H$48))+IF(IF(H$50,SUMPRODUCT(--(LEN(TRIM($B$12:$B12))&gt;0),--(H$12:H12=TRUE()),--($C$12:$C12&lt;&gt;TRUE())),SUMPRODUCT(--(LEN(TRIM($B$12:$B12))&gt;0),--(H$12:H12=TRUE())))&lt;=MOD(H$46,MAX(1,H$48)),1,0),0)</f>
        <v>0</v>
      </c>
      <c r="J52" s="14" t="n">
        <f aca="false">IF(AND(J$47,J$48&gt;0,LEN(TRIM($B12))&gt;0,J12=TRUE(),IF(J$50,$C12&lt;&gt;TRUE(),TRUE())),QUOTIENT(J$46,MAX(1,J$48))+IF(IF(J$50,SUMPRODUCT(--(LEN(TRIM($B$12:$B12))&gt;0),--(J$12:J12=TRUE()),--($C$12:$C12&lt;&gt;TRUE())),SUMPRODUCT(--(LEN(TRIM($B$12:$B12))&gt;0),--(J$12:J12=TRUE())))&lt;=MOD(J$46,MAX(1,J$48)),1,0),0)</f>
        <v>0</v>
      </c>
      <c r="L52" s="14" t="n">
        <f aca="false">IF(AND(L$47,L$48&gt;0,LEN(TRIM($B12))&gt;0,L12=TRUE(),IF(L$50,$C12&lt;&gt;TRUE(),TRUE())),QUOTIENT(L$46,MAX(1,L$48))+IF(IF(L$50,SUMPRODUCT(--(LEN(TRIM($B$12:$B12))&gt;0),--(L$12:L12=TRUE()),--($C$12:$C12&lt;&gt;TRUE())),SUMPRODUCT(--(LEN(TRIM($B$12:$B12))&gt;0),--(L$12:L12=TRUE())))&lt;=MOD(L$46,MAX(1,L$48)),1,0),0)</f>
        <v>0</v>
      </c>
      <c r="N52" s="14" t="n">
        <f aca="false">IF(AND(N$47,N$48&gt;0,LEN(TRIM($B12))&gt;0,N12=TRUE(),IF(N$50,$C12&lt;&gt;TRUE(),TRUE())),QUOTIENT(N$46,MAX(1,N$48))+IF(IF(N$50,SUMPRODUCT(--(LEN(TRIM($B$12:$B12))&gt;0),--(N$12:N12=TRUE()),--($C$12:$C12&lt;&gt;TRUE())),SUMPRODUCT(--(LEN(TRIM($B$12:$B12))&gt;0),--(N$12:N12=TRUE())))&lt;=MOD(N$46,MAX(1,N$48)),1,0),0)</f>
        <v>0</v>
      </c>
      <c r="P52" s="14" t="n">
        <f aca="false">IF(AND(P$47,P$48&gt;0,LEN(TRIM($B12))&gt;0,P12=TRUE(),IF(P$50,$C12&lt;&gt;TRUE(),TRUE())),QUOTIENT(P$46,MAX(1,P$48))+IF(IF(P$50,SUMPRODUCT(--(LEN(TRIM($B$12:$B12))&gt;0),--(P$12:P12=TRUE()),--($C$12:$C12&lt;&gt;TRUE())),SUMPRODUCT(--(LEN(TRIM($B$12:$B12))&gt;0),--(P$12:P12=TRUE())))&lt;=MOD(P$46,MAX(1,P$48)),1,0),0)</f>
        <v>0</v>
      </c>
    </row>
    <row r="53" customFormat="false" ht="15" hidden="true" customHeight="false" outlineLevel="0" collapsed="false">
      <c r="A53" s="13" t="s">
        <v>19</v>
      </c>
      <c r="D53" s="14" t="n">
        <f aca="false">IF(AND(D$47,D$48&gt;0,LEN(TRIM($B13))&gt;0,D13=TRUE(),IF(D$50,$C13&lt;&gt;TRUE(),TRUE())),QUOTIENT(D$46,MAX(1,D$48))+IF(IF(D$50,SUMPRODUCT(--(LEN(TRIM($B$12:$B13))&gt;0),--(D$12:D13=TRUE()),--($C$12:$C13&lt;&gt;TRUE())),SUMPRODUCT(--(LEN(TRIM($B$12:$B13))&gt;0),--(D$12:D13=TRUE())))&lt;=MOD(D$46,MAX(1,D$48)),1,0),0)</f>
        <v>0</v>
      </c>
      <c r="F53" s="14" t="n">
        <f aca="false">IF(AND(F$47,F$48&gt;0,LEN(TRIM($B13))&gt;0,F13=TRUE(),IF(F$50,$C13&lt;&gt;TRUE(),TRUE())),QUOTIENT(F$46,MAX(1,F$48))+IF(IF(F$50,SUMPRODUCT(--(LEN(TRIM($B$12:$B13))&gt;0),--(F$12:F13=TRUE()),--($C$12:$C13&lt;&gt;TRUE())),SUMPRODUCT(--(LEN(TRIM($B$12:$B13))&gt;0),--(F$12:F13=TRUE())))&lt;=MOD(F$46,MAX(1,F$48)),1,0),0)</f>
        <v>0</v>
      </c>
      <c r="H53" s="14" t="n">
        <f aca="false">IF(AND(H$47,H$48&gt;0,LEN(TRIM($B13))&gt;0,H13=TRUE(),IF(H$50,$C13&lt;&gt;TRUE(),TRUE())),QUOTIENT(H$46,MAX(1,H$48))+IF(IF(H$50,SUMPRODUCT(--(LEN(TRIM($B$12:$B13))&gt;0),--(H$12:H13=TRUE()),--($C$12:$C13&lt;&gt;TRUE())),SUMPRODUCT(--(LEN(TRIM($B$12:$B13))&gt;0),--(H$12:H13=TRUE())))&lt;=MOD(H$46,MAX(1,H$48)),1,0),0)</f>
        <v>0</v>
      </c>
      <c r="J53" s="14" t="n">
        <f aca="false">IF(AND(J$47,J$48&gt;0,LEN(TRIM($B13))&gt;0,J13=TRUE(),IF(J$50,$C13&lt;&gt;TRUE(),TRUE())),QUOTIENT(J$46,MAX(1,J$48))+IF(IF(J$50,SUMPRODUCT(--(LEN(TRIM($B$12:$B13))&gt;0),--(J$12:J13=TRUE()),--($C$12:$C13&lt;&gt;TRUE())),SUMPRODUCT(--(LEN(TRIM($B$12:$B13))&gt;0),--(J$12:J13=TRUE())))&lt;=MOD(J$46,MAX(1,J$48)),1,0),0)</f>
        <v>0</v>
      </c>
      <c r="L53" s="14" t="n">
        <f aca="false">IF(AND(L$47,L$48&gt;0,LEN(TRIM($B13))&gt;0,L13=TRUE(),IF(L$50,$C13&lt;&gt;TRUE(),TRUE())),QUOTIENT(L$46,MAX(1,L$48))+IF(IF(L$50,SUMPRODUCT(--(LEN(TRIM($B$12:$B13))&gt;0),--(L$12:L13=TRUE()),--($C$12:$C13&lt;&gt;TRUE())),SUMPRODUCT(--(LEN(TRIM($B$12:$B13))&gt;0),--(L$12:L13=TRUE())))&lt;=MOD(L$46,MAX(1,L$48)),1,0),0)</f>
        <v>0</v>
      </c>
      <c r="N53" s="14" t="n">
        <f aca="false">IF(AND(N$47,N$48&gt;0,LEN(TRIM($B13))&gt;0,N13=TRUE(),IF(N$50,$C13&lt;&gt;TRUE(),TRUE())),QUOTIENT(N$46,MAX(1,N$48))+IF(IF(N$50,SUMPRODUCT(--(LEN(TRIM($B$12:$B13))&gt;0),--(N$12:N13=TRUE()),--($C$12:$C13&lt;&gt;TRUE())),SUMPRODUCT(--(LEN(TRIM($B$12:$B13))&gt;0),--(N$12:N13=TRUE())))&lt;=MOD(N$46,MAX(1,N$48)),1,0),0)</f>
        <v>0</v>
      </c>
      <c r="P53" s="14" t="n">
        <f aca="false">IF(AND(P$47,P$48&gt;0,LEN(TRIM($B13))&gt;0,P13=TRUE(),IF(P$50,$C13&lt;&gt;TRUE(),TRUE())),QUOTIENT(P$46,MAX(1,P$48))+IF(IF(P$50,SUMPRODUCT(--(LEN(TRIM($B$12:$B13))&gt;0),--(P$12:P13=TRUE()),--($C$12:$C13&lt;&gt;TRUE())),SUMPRODUCT(--(LEN(TRIM($B$12:$B13))&gt;0),--(P$12:P13=TRUE())))&lt;=MOD(P$46,MAX(1,P$48)),1,0),0)</f>
        <v>0</v>
      </c>
    </row>
    <row r="54" customFormat="false" ht="15" hidden="true" customHeight="false" outlineLevel="0" collapsed="false">
      <c r="A54" s="13" t="s">
        <v>20</v>
      </c>
      <c r="D54" s="14" t="n">
        <f aca="false">IF(AND(D$47,D$48&gt;0,LEN(TRIM($B14))&gt;0,D14=TRUE(),IF(D$50,$C14&lt;&gt;TRUE(),TRUE())),QUOTIENT(D$46,MAX(1,D$48))+IF(IF(D$50,SUMPRODUCT(--(LEN(TRIM($B$12:$B14))&gt;0),--(D$12:D14=TRUE()),--($C$12:$C14&lt;&gt;TRUE())),SUMPRODUCT(--(LEN(TRIM($B$12:$B14))&gt;0),--(D$12:D14=TRUE())))&lt;=MOD(D$46,MAX(1,D$48)),1,0),0)</f>
        <v>0</v>
      </c>
      <c r="F54" s="14" t="n">
        <f aca="false">IF(AND(F$47,F$48&gt;0,LEN(TRIM($B14))&gt;0,F14=TRUE(),IF(F$50,$C14&lt;&gt;TRUE(),TRUE())),QUOTIENT(F$46,MAX(1,F$48))+IF(IF(F$50,SUMPRODUCT(--(LEN(TRIM($B$12:$B14))&gt;0),--(F$12:F14=TRUE()),--($C$12:$C14&lt;&gt;TRUE())),SUMPRODUCT(--(LEN(TRIM($B$12:$B14))&gt;0),--(F$12:F14=TRUE())))&lt;=MOD(F$46,MAX(1,F$48)),1,0),0)</f>
        <v>0</v>
      </c>
      <c r="H54" s="14" t="n">
        <f aca="false">IF(AND(H$47,H$48&gt;0,LEN(TRIM($B14))&gt;0,H14=TRUE(),IF(H$50,$C14&lt;&gt;TRUE(),TRUE())),QUOTIENT(H$46,MAX(1,H$48))+IF(IF(H$50,SUMPRODUCT(--(LEN(TRIM($B$12:$B14))&gt;0),--(H$12:H14=TRUE()),--($C$12:$C14&lt;&gt;TRUE())),SUMPRODUCT(--(LEN(TRIM($B$12:$B14))&gt;0),--(H$12:H14=TRUE())))&lt;=MOD(H$46,MAX(1,H$48)),1,0),0)</f>
        <v>0</v>
      </c>
      <c r="J54" s="14" t="n">
        <f aca="false">IF(AND(J$47,J$48&gt;0,LEN(TRIM($B14))&gt;0,J14=TRUE(),IF(J$50,$C14&lt;&gt;TRUE(),TRUE())),QUOTIENT(J$46,MAX(1,J$48))+IF(IF(J$50,SUMPRODUCT(--(LEN(TRIM($B$12:$B14))&gt;0),--(J$12:J14=TRUE()),--($C$12:$C14&lt;&gt;TRUE())),SUMPRODUCT(--(LEN(TRIM($B$12:$B14))&gt;0),--(J$12:J14=TRUE())))&lt;=MOD(J$46,MAX(1,J$48)),1,0),0)</f>
        <v>0</v>
      </c>
      <c r="L54" s="14" t="n">
        <f aca="false">IF(AND(L$47,L$48&gt;0,LEN(TRIM($B14))&gt;0,L14=TRUE(),IF(L$50,$C14&lt;&gt;TRUE(),TRUE())),QUOTIENT(L$46,MAX(1,L$48))+IF(IF(L$50,SUMPRODUCT(--(LEN(TRIM($B$12:$B14))&gt;0),--(L$12:L14=TRUE()),--($C$12:$C14&lt;&gt;TRUE())),SUMPRODUCT(--(LEN(TRIM($B$12:$B14))&gt;0),--(L$12:L14=TRUE())))&lt;=MOD(L$46,MAX(1,L$48)),1,0),0)</f>
        <v>0</v>
      </c>
      <c r="N54" s="14" t="n">
        <f aca="false">IF(AND(N$47,N$48&gt;0,LEN(TRIM($B14))&gt;0,N14=TRUE(),IF(N$50,$C14&lt;&gt;TRUE(),TRUE())),QUOTIENT(N$46,MAX(1,N$48))+IF(IF(N$50,SUMPRODUCT(--(LEN(TRIM($B$12:$B14))&gt;0),--(N$12:N14=TRUE()),--($C$12:$C14&lt;&gt;TRUE())),SUMPRODUCT(--(LEN(TRIM($B$12:$B14))&gt;0),--(N$12:N14=TRUE())))&lt;=MOD(N$46,MAX(1,N$48)),1,0),0)</f>
        <v>0</v>
      </c>
      <c r="P54" s="14" t="n">
        <f aca="false">IF(AND(P$47,P$48&gt;0,LEN(TRIM($B14))&gt;0,P14=TRUE(),IF(P$50,$C14&lt;&gt;TRUE(),TRUE())),QUOTIENT(P$46,MAX(1,P$48))+IF(IF(P$50,SUMPRODUCT(--(LEN(TRIM($B$12:$B14))&gt;0),--(P$12:P14=TRUE()),--($C$12:$C14&lt;&gt;TRUE())),SUMPRODUCT(--(LEN(TRIM($B$12:$B14))&gt;0),--(P$12:P14=TRUE())))&lt;=MOD(P$46,MAX(1,P$48)),1,0),0)</f>
        <v>0</v>
      </c>
    </row>
    <row r="55" customFormat="false" ht="15" hidden="true" customHeight="false" outlineLevel="0" collapsed="false">
      <c r="A55" s="13" t="s">
        <v>21</v>
      </c>
      <c r="D55" s="14" t="n">
        <f aca="false">IF(AND(D$47,D$48&gt;0,LEN(TRIM($B15))&gt;0,D15=TRUE(),IF(D$50,$C15&lt;&gt;TRUE(),TRUE())),QUOTIENT(D$46,MAX(1,D$48))+IF(IF(D$50,SUMPRODUCT(--(LEN(TRIM($B$12:$B15))&gt;0),--(D$12:D15=TRUE()),--($C$12:$C15&lt;&gt;TRUE())),SUMPRODUCT(--(LEN(TRIM($B$12:$B15))&gt;0),--(D$12:D15=TRUE())))&lt;=MOD(D$46,MAX(1,D$48)),1,0),0)</f>
        <v>0</v>
      </c>
      <c r="F55" s="14" t="n">
        <f aca="false">IF(AND(F$47,F$48&gt;0,LEN(TRIM($B15))&gt;0,F15=TRUE(),IF(F$50,$C15&lt;&gt;TRUE(),TRUE())),QUOTIENT(F$46,MAX(1,F$48))+IF(IF(F$50,SUMPRODUCT(--(LEN(TRIM($B$12:$B15))&gt;0),--(F$12:F15=TRUE()),--($C$12:$C15&lt;&gt;TRUE())),SUMPRODUCT(--(LEN(TRIM($B$12:$B15))&gt;0),--(F$12:F15=TRUE())))&lt;=MOD(F$46,MAX(1,F$48)),1,0),0)</f>
        <v>0</v>
      </c>
      <c r="H55" s="14" t="n">
        <f aca="false">IF(AND(H$47,H$48&gt;0,LEN(TRIM($B15))&gt;0,H15=TRUE(),IF(H$50,$C15&lt;&gt;TRUE(),TRUE())),QUOTIENT(H$46,MAX(1,H$48))+IF(IF(H$50,SUMPRODUCT(--(LEN(TRIM($B$12:$B15))&gt;0),--(H$12:H15=TRUE()),--($C$12:$C15&lt;&gt;TRUE())),SUMPRODUCT(--(LEN(TRIM($B$12:$B15))&gt;0),--(H$12:H15=TRUE())))&lt;=MOD(H$46,MAX(1,H$48)),1,0),0)</f>
        <v>0</v>
      </c>
      <c r="J55" s="14" t="n">
        <f aca="false">IF(AND(J$47,J$48&gt;0,LEN(TRIM($B15))&gt;0,J15=TRUE(),IF(J$50,$C15&lt;&gt;TRUE(),TRUE())),QUOTIENT(J$46,MAX(1,J$48))+IF(IF(J$50,SUMPRODUCT(--(LEN(TRIM($B$12:$B15))&gt;0),--(J$12:J15=TRUE()),--($C$12:$C15&lt;&gt;TRUE())),SUMPRODUCT(--(LEN(TRIM($B$12:$B15))&gt;0),--(J$12:J15=TRUE())))&lt;=MOD(J$46,MAX(1,J$48)),1,0),0)</f>
        <v>0</v>
      </c>
      <c r="L55" s="14" t="n">
        <f aca="false">IF(AND(L$47,L$48&gt;0,LEN(TRIM($B15))&gt;0,L15=TRUE(),IF(L$50,$C15&lt;&gt;TRUE(),TRUE())),QUOTIENT(L$46,MAX(1,L$48))+IF(IF(L$50,SUMPRODUCT(--(LEN(TRIM($B$12:$B15))&gt;0),--(L$12:L15=TRUE()),--($C$12:$C15&lt;&gt;TRUE())),SUMPRODUCT(--(LEN(TRIM($B$12:$B15))&gt;0),--(L$12:L15=TRUE())))&lt;=MOD(L$46,MAX(1,L$48)),1,0),0)</f>
        <v>0</v>
      </c>
      <c r="N55" s="14" t="n">
        <f aca="false">IF(AND(N$47,N$48&gt;0,LEN(TRIM($B15))&gt;0,N15=TRUE(),IF(N$50,$C15&lt;&gt;TRUE(),TRUE())),QUOTIENT(N$46,MAX(1,N$48))+IF(IF(N$50,SUMPRODUCT(--(LEN(TRIM($B$12:$B15))&gt;0),--(N$12:N15=TRUE()),--($C$12:$C15&lt;&gt;TRUE())),SUMPRODUCT(--(LEN(TRIM($B$12:$B15))&gt;0),--(N$12:N15=TRUE())))&lt;=MOD(N$46,MAX(1,N$48)),1,0),0)</f>
        <v>0</v>
      </c>
      <c r="P55" s="14" t="n">
        <f aca="false">IF(AND(P$47,P$48&gt;0,LEN(TRIM($B15))&gt;0,P15=TRUE(),IF(P$50,$C15&lt;&gt;TRUE(),TRUE())),QUOTIENT(P$46,MAX(1,P$48))+IF(IF(P$50,SUMPRODUCT(--(LEN(TRIM($B$12:$B15))&gt;0),--(P$12:P15=TRUE()),--($C$12:$C15&lt;&gt;TRUE())),SUMPRODUCT(--(LEN(TRIM($B$12:$B15))&gt;0),--(P$12:P15=TRUE())))&lt;=MOD(P$46,MAX(1,P$48)),1,0),0)</f>
        <v>0</v>
      </c>
    </row>
    <row r="56" customFormat="false" ht="15" hidden="true" customHeight="false" outlineLevel="0" collapsed="false">
      <c r="A56" s="13" t="s">
        <v>22</v>
      </c>
      <c r="D56" s="14" t="n">
        <f aca="false">IF(AND(D$47,D$48&gt;0,LEN(TRIM($B16))&gt;0,D16=TRUE(),IF(D$50,$C16&lt;&gt;TRUE(),TRUE())),QUOTIENT(D$46,MAX(1,D$48))+IF(IF(D$50,SUMPRODUCT(--(LEN(TRIM($B$12:$B16))&gt;0),--(D$12:D16=TRUE()),--($C$12:$C16&lt;&gt;TRUE())),SUMPRODUCT(--(LEN(TRIM($B$12:$B16))&gt;0),--(D$12:D16=TRUE())))&lt;=MOD(D$46,MAX(1,D$48)),1,0),0)</f>
        <v>0</v>
      </c>
      <c r="F56" s="14" t="n">
        <f aca="false">IF(AND(F$47,F$48&gt;0,LEN(TRIM($B16))&gt;0,F16=TRUE(),IF(F$50,$C16&lt;&gt;TRUE(),TRUE())),QUOTIENT(F$46,MAX(1,F$48))+IF(IF(F$50,SUMPRODUCT(--(LEN(TRIM($B$12:$B16))&gt;0),--(F$12:F16=TRUE()),--($C$12:$C16&lt;&gt;TRUE())),SUMPRODUCT(--(LEN(TRIM($B$12:$B16))&gt;0),--(F$12:F16=TRUE())))&lt;=MOD(F$46,MAX(1,F$48)),1,0),0)</f>
        <v>0</v>
      </c>
      <c r="H56" s="14" t="n">
        <f aca="false">IF(AND(H$47,H$48&gt;0,LEN(TRIM($B16))&gt;0,H16=TRUE(),IF(H$50,$C16&lt;&gt;TRUE(),TRUE())),QUOTIENT(H$46,MAX(1,H$48))+IF(IF(H$50,SUMPRODUCT(--(LEN(TRIM($B$12:$B16))&gt;0),--(H$12:H16=TRUE()),--($C$12:$C16&lt;&gt;TRUE())),SUMPRODUCT(--(LEN(TRIM($B$12:$B16))&gt;0),--(H$12:H16=TRUE())))&lt;=MOD(H$46,MAX(1,H$48)),1,0),0)</f>
        <v>0</v>
      </c>
      <c r="J56" s="14" t="n">
        <f aca="false">IF(AND(J$47,J$48&gt;0,LEN(TRIM($B16))&gt;0,J16=TRUE(),IF(J$50,$C16&lt;&gt;TRUE(),TRUE())),QUOTIENT(J$46,MAX(1,J$48))+IF(IF(J$50,SUMPRODUCT(--(LEN(TRIM($B$12:$B16))&gt;0),--(J$12:J16=TRUE()),--($C$12:$C16&lt;&gt;TRUE())),SUMPRODUCT(--(LEN(TRIM($B$12:$B16))&gt;0),--(J$12:J16=TRUE())))&lt;=MOD(J$46,MAX(1,J$48)),1,0),0)</f>
        <v>0</v>
      </c>
      <c r="L56" s="14" t="n">
        <f aca="false">IF(AND(L$47,L$48&gt;0,LEN(TRIM($B16))&gt;0,L16=TRUE(),IF(L$50,$C16&lt;&gt;TRUE(),TRUE())),QUOTIENT(L$46,MAX(1,L$48))+IF(IF(L$50,SUMPRODUCT(--(LEN(TRIM($B$12:$B16))&gt;0),--(L$12:L16=TRUE()),--($C$12:$C16&lt;&gt;TRUE())),SUMPRODUCT(--(LEN(TRIM($B$12:$B16))&gt;0),--(L$12:L16=TRUE())))&lt;=MOD(L$46,MAX(1,L$48)),1,0),0)</f>
        <v>0</v>
      </c>
      <c r="N56" s="14" t="n">
        <f aca="false">IF(AND(N$47,N$48&gt;0,LEN(TRIM($B16))&gt;0,N16=TRUE(),IF(N$50,$C16&lt;&gt;TRUE(),TRUE())),QUOTIENT(N$46,MAX(1,N$48))+IF(IF(N$50,SUMPRODUCT(--(LEN(TRIM($B$12:$B16))&gt;0),--(N$12:N16=TRUE()),--($C$12:$C16&lt;&gt;TRUE())),SUMPRODUCT(--(LEN(TRIM($B$12:$B16))&gt;0),--(N$12:N16=TRUE())))&lt;=MOD(N$46,MAX(1,N$48)),1,0),0)</f>
        <v>0</v>
      </c>
      <c r="P56" s="14" t="n">
        <f aca="false">IF(AND(P$47,P$48&gt;0,LEN(TRIM($B16))&gt;0,P16=TRUE(),IF(P$50,$C16&lt;&gt;TRUE(),TRUE())),QUOTIENT(P$46,MAX(1,P$48))+IF(IF(P$50,SUMPRODUCT(--(LEN(TRIM($B$12:$B16))&gt;0),--(P$12:P16=TRUE()),--($C$12:$C16&lt;&gt;TRUE())),SUMPRODUCT(--(LEN(TRIM($B$12:$B16))&gt;0),--(P$12:P16=TRUE())))&lt;=MOD(P$46,MAX(1,P$48)),1,0),0)</f>
        <v>0</v>
      </c>
    </row>
    <row r="57" customFormat="false" ht="15" hidden="true" customHeight="false" outlineLevel="0" collapsed="false">
      <c r="A57" s="13" t="s">
        <v>23</v>
      </c>
      <c r="D57" s="14" t="n">
        <f aca="false">IF(AND(D$47,D$48&gt;0,LEN(TRIM($B17))&gt;0,D17=TRUE(),IF(D$50,$C17&lt;&gt;TRUE(),TRUE())),QUOTIENT(D$46,MAX(1,D$48))+IF(IF(D$50,SUMPRODUCT(--(LEN(TRIM($B$12:$B17))&gt;0),--(D$12:D17=TRUE()),--($C$12:$C17&lt;&gt;TRUE())),SUMPRODUCT(--(LEN(TRIM($B$12:$B17))&gt;0),--(D$12:D17=TRUE())))&lt;=MOD(D$46,MAX(1,D$48)),1,0),0)</f>
        <v>0</v>
      </c>
      <c r="F57" s="14" t="n">
        <f aca="false">IF(AND(F$47,F$48&gt;0,LEN(TRIM($B17))&gt;0,F17=TRUE(),IF(F$50,$C17&lt;&gt;TRUE(),TRUE())),QUOTIENT(F$46,MAX(1,F$48))+IF(IF(F$50,SUMPRODUCT(--(LEN(TRIM($B$12:$B17))&gt;0),--(F$12:F17=TRUE()),--($C$12:$C17&lt;&gt;TRUE())),SUMPRODUCT(--(LEN(TRIM($B$12:$B17))&gt;0),--(F$12:F17=TRUE())))&lt;=MOD(F$46,MAX(1,F$48)),1,0),0)</f>
        <v>0</v>
      </c>
      <c r="H57" s="14" t="n">
        <f aca="false">IF(AND(H$47,H$48&gt;0,LEN(TRIM($B17))&gt;0,H17=TRUE(),IF(H$50,$C17&lt;&gt;TRUE(),TRUE())),QUOTIENT(H$46,MAX(1,H$48))+IF(IF(H$50,SUMPRODUCT(--(LEN(TRIM($B$12:$B17))&gt;0),--(H$12:H17=TRUE()),--($C$12:$C17&lt;&gt;TRUE())),SUMPRODUCT(--(LEN(TRIM($B$12:$B17))&gt;0),--(H$12:H17=TRUE())))&lt;=MOD(H$46,MAX(1,H$48)),1,0),0)</f>
        <v>0</v>
      </c>
      <c r="J57" s="14" t="n">
        <f aca="false">IF(AND(J$47,J$48&gt;0,LEN(TRIM($B17))&gt;0,J17=TRUE(),IF(J$50,$C17&lt;&gt;TRUE(),TRUE())),QUOTIENT(J$46,MAX(1,J$48))+IF(IF(J$50,SUMPRODUCT(--(LEN(TRIM($B$12:$B17))&gt;0),--(J$12:J17=TRUE()),--($C$12:$C17&lt;&gt;TRUE())),SUMPRODUCT(--(LEN(TRIM($B$12:$B17))&gt;0),--(J$12:J17=TRUE())))&lt;=MOD(J$46,MAX(1,J$48)),1,0),0)</f>
        <v>0</v>
      </c>
      <c r="L57" s="14" t="n">
        <f aca="false">IF(AND(L$47,L$48&gt;0,LEN(TRIM($B17))&gt;0,L17=TRUE(),IF(L$50,$C17&lt;&gt;TRUE(),TRUE())),QUOTIENT(L$46,MAX(1,L$48))+IF(IF(L$50,SUMPRODUCT(--(LEN(TRIM($B$12:$B17))&gt;0),--(L$12:L17=TRUE()),--($C$12:$C17&lt;&gt;TRUE())),SUMPRODUCT(--(LEN(TRIM($B$12:$B17))&gt;0),--(L$12:L17=TRUE())))&lt;=MOD(L$46,MAX(1,L$48)),1,0),0)</f>
        <v>0</v>
      </c>
      <c r="N57" s="14" t="n">
        <f aca="false">IF(AND(N$47,N$48&gt;0,LEN(TRIM($B17))&gt;0,N17=TRUE(),IF(N$50,$C17&lt;&gt;TRUE(),TRUE())),QUOTIENT(N$46,MAX(1,N$48))+IF(IF(N$50,SUMPRODUCT(--(LEN(TRIM($B$12:$B17))&gt;0),--(N$12:N17=TRUE()),--($C$12:$C17&lt;&gt;TRUE())),SUMPRODUCT(--(LEN(TRIM($B$12:$B17))&gt;0),--(N$12:N17=TRUE())))&lt;=MOD(N$46,MAX(1,N$48)),1,0),0)</f>
        <v>0</v>
      </c>
      <c r="P57" s="14" t="n">
        <f aca="false">IF(AND(P$47,P$48&gt;0,LEN(TRIM($B17))&gt;0,P17=TRUE(),IF(P$50,$C17&lt;&gt;TRUE(),TRUE())),QUOTIENT(P$46,MAX(1,P$48))+IF(IF(P$50,SUMPRODUCT(--(LEN(TRIM($B$12:$B17))&gt;0),--(P$12:P17=TRUE()),--($C$12:$C17&lt;&gt;TRUE())),SUMPRODUCT(--(LEN(TRIM($B$12:$B17))&gt;0),--(P$12:P17=TRUE())))&lt;=MOD(P$46,MAX(1,P$48)),1,0),0)</f>
        <v>0</v>
      </c>
    </row>
    <row r="58" customFormat="false" ht="15" hidden="true" customHeight="false" outlineLevel="0" collapsed="false">
      <c r="A58" s="13" t="s">
        <v>24</v>
      </c>
      <c r="D58" s="14" t="n">
        <f aca="false">IF(AND(D$47,D$48&gt;0,LEN(TRIM($B18))&gt;0,D18=TRUE(),IF(D$50,$C18&lt;&gt;TRUE(),TRUE())),QUOTIENT(D$46,MAX(1,D$48))+IF(IF(D$50,SUMPRODUCT(--(LEN(TRIM($B$12:$B18))&gt;0),--(D$12:D18=TRUE()),--($C$12:$C18&lt;&gt;TRUE())),SUMPRODUCT(--(LEN(TRIM($B$12:$B18))&gt;0),--(D$12:D18=TRUE())))&lt;=MOD(D$46,MAX(1,D$48)),1,0),0)</f>
        <v>0</v>
      </c>
      <c r="F58" s="14" t="n">
        <f aca="false">IF(AND(F$47,F$48&gt;0,LEN(TRIM($B18))&gt;0,F18=TRUE(),IF(F$50,$C18&lt;&gt;TRUE(),TRUE())),QUOTIENT(F$46,MAX(1,F$48))+IF(IF(F$50,SUMPRODUCT(--(LEN(TRIM($B$12:$B18))&gt;0),--(F$12:F18=TRUE()),--($C$12:$C18&lt;&gt;TRUE())),SUMPRODUCT(--(LEN(TRIM($B$12:$B18))&gt;0),--(F$12:F18=TRUE())))&lt;=MOD(F$46,MAX(1,F$48)),1,0),0)</f>
        <v>0</v>
      </c>
      <c r="H58" s="14" t="n">
        <f aca="false">IF(AND(H$47,H$48&gt;0,LEN(TRIM($B18))&gt;0,H18=TRUE(),IF(H$50,$C18&lt;&gt;TRUE(),TRUE())),QUOTIENT(H$46,MAX(1,H$48))+IF(IF(H$50,SUMPRODUCT(--(LEN(TRIM($B$12:$B18))&gt;0),--(H$12:H18=TRUE()),--($C$12:$C18&lt;&gt;TRUE())),SUMPRODUCT(--(LEN(TRIM($B$12:$B18))&gt;0),--(H$12:H18=TRUE())))&lt;=MOD(H$46,MAX(1,H$48)),1,0),0)</f>
        <v>0</v>
      </c>
      <c r="J58" s="14" t="n">
        <f aca="false">IF(AND(J$47,J$48&gt;0,LEN(TRIM($B18))&gt;0,J18=TRUE(),IF(J$50,$C18&lt;&gt;TRUE(),TRUE())),QUOTIENT(J$46,MAX(1,J$48))+IF(IF(J$50,SUMPRODUCT(--(LEN(TRIM($B$12:$B18))&gt;0),--(J$12:J18=TRUE()),--($C$12:$C18&lt;&gt;TRUE())),SUMPRODUCT(--(LEN(TRIM($B$12:$B18))&gt;0),--(J$12:J18=TRUE())))&lt;=MOD(J$46,MAX(1,J$48)),1,0),0)</f>
        <v>0</v>
      </c>
      <c r="L58" s="14" t="n">
        <f aca="false">IF(AND(L$47,L$48&gt;0,LEN(TRIM($B18))&gt;0,L18=TRUE(),IF(L$50,$C18&lt;&gt;TRUE(),TRUE())),QUOTIENT(L$46,MAX(1,L$48))+IF(IF(L$50,SUMPRODUCT(--(LEN(TRIM($B$12:$B18))&gt;0),--(L$12:L18=TRUE()),--($C$12:$C18&lt;&gt;TRUE())),SUMPRODUCT(--(LEN(TRIM($B$12:$B18))&gt;0),--(L$12:L18=TRUE())))&lt;=MOD(L$46,MAX(1,L$48)),1,0),0)</f>
        <v>0</v>
      </c>
      <c r="N58" s="14" t="n">
        <f aca="false">IF(AND(N$47,N$48&gt;0,LEN(TRIM($B18))&gt;0,N18=TRUE(),IF(N$50,$C18&lt;&gt;TRUE(),TRUE())),QUOTIENT(N$46,MAX(1,N$48))+IF(IF(N$50,SUMPRODUCT(--(LEN(TRIM($B$12:$B18))&gt;0),--(N$12:N18=TRUE()),--($C$12:$C18&lt;&gt;TRUE())),SUMPRODUCT(--(LEN(TRIM($B$12:$B18))&gt;0),--(N$12:N18=TRUE())))&lt;=MOD(N$46,MAX(1,N$48)),1,0),0)</f>
        <v>0</v>
      </c>
      <c r="P58" s="14" t="n">
        <f aca="false">IF(AND(P$47,P$48&gt;0,LEN(TRIM($B18))&gt;0,P18=TRUE(),IF(P$50,$C18&lt;&gt;TRUE(),TRUE())),QUOTIENT(P$46,MAX(1,P$48))+IF(IF(P$50,SUMPRODUCT(--(LEN(TRIM($B$12:$B18))&gt;0),--(P$12:P18=TRUE()),--($C$12:$C18&lt;&gt;TRUE())),SUMPRODUCT(--(LEN(TRIM($B$12:$B18))&gt;0),--(P$12:P18=TRUE())))&lt;=MOD(P$46,MAX(1,P$48)),1,0),0)</f>
        <v>0</v>
      </c>
    </row>
    <row r="59" customFormat="false" ht="15" hidden="true" customHeight="false" outlineLevel="0" collapsed="false">
      <c r="A59" s="13" t="s">
        <v>25</v>
      </c>
      <c r="D59" s="14" t="n">
        <f aca="false">IF(AND(D$47,D$48&gt;0,LEN(TRIM($B19))&gt;0,D19=TRUE(),IF(D$50,$C19&lt;&gt;TRUE(),TRUE())),QUOTIENT(D$46,MAX(1,D$48))+IF(IF(D$50,SUMPRODUCT(--(LEN(TRIM($B$12:$B19))&gt;0),--(D$12:D19=TRUE()),--($C$12:$C19&lt;&gt;TRUE())),SUMPRODUCT(--(LEN(TRIM($B$12:$B19))&gt;0),--(D$12:D19=TRUE())))&lt;=MOD(D$46,MAX(1,D$48)),1,0),0)</f>
        <v>0</v>
      </c>
      <c r="F59" s="14" t="n">
        <f aca="false">IF(AND(F$47,F$48&gt;0,LEN(TRIM($B19))&gt;0,F19=TRUE(),IF(F$50,$C19&lt;&gt;TRUE(),TRUE())),QUOTIENT(F$46,MAX(1,F$48))+IF(IF(F$50,SUMPRODUCT(--(LEN(TRIM($B$12:$B19))&gt;0),--(F$12:F19=TRUE()),--($C$12:$C19&lt;&gt;TRUE())),SUMPRODUCT(--(LEN(TRIM($B$12:$B19))&gt;0),--(F$12:F19=TRUE())))&lt;=MOD(F$46,MAX(1,F$48)),1,0),0)</f>
        <v>0</v>
      </c>
      <c r="H59" s="14" t="n">
        <f aca="false">IF(AND(H$47,H$48&gt;0,LEN(TRIM($B19))&gt;0,H19=TRUE(),IF(H$50,$C19&lt;&gt;TRUE(),TRUE())),QUOTIENT(H$46,MAX(1,H$48))+IF(IF(H$50,SUMPRODUCT(--(LEN(TRIM($B$12:$B19))&gt;0),--(H$12:H19=TRUE()),--($C$12:$C19&lt;&gt;TRUE())),SUMPRODUCT(--(LEN(TRIM($B$12:$B19))&gt;0),--(H$12:H19=TRUE())))&lt;=MOD(H$46,MAX(1,H$48)),1,0),0)</f>
        <v>0</v>
      </c>
      <c r="J59" s="14" t="n">
        <f aca="false">IF(AND(J$47,J$48&gt;0,LEN(TRIM($B19))&gt;0,J19=TRUE(),IF(J$50,$C19&lt;&gt;TRUE(),TRUE())),QUOTIENT(J$46,MAX(1,J$48))+IF(IF(J$50,SUMPRODUCT(--(LEN(TRIM($B$12:$B19))&gt;0),--(J$12:J19=TRUE()),--($C$12:$C19&lt;&gt;TRUE())),SUMPRODUCT(--(LEN(TRIM($B$12:$B19))&gt;0),--(J$12:J19=TRUE())))&lt;=MOD(J$46,MAX(1,J$48)),1,0),0)</f>
        <v>0</v>
      </c>
      <c r="L59" s="14" t="n">
        <f aca="false">IF(AND(L$47,L$48&gt;0,LEN(TRIM($B19))&gt;0,L19=TRUE(),IF(L$50,$C19&lt;&gt;TRUE(),TRUE())),QUOTIENT(L$46,MAX(1,L$48))+IF(IF(L$50,SUMPRODUCT(--(LEN(TRIM($B$12:$B19))&gt;0),--(L$12:L19=TRUE()),--($C$12:$C19&lt;&gt;TRUE())),SUMPRODUCT(--(LEN(TRIM($B$12:$B19))&gt;0),--(L$12:L19=TRUE())))&lt;=MOD(L$46,MAX(1,L$48)),1,0),0)</f>
        <v>0</v>
      </c>
      <c r="N59" s="14" t="n">
        <f aca="false">IF(AND(N$47,N$48&gt;0,LEN(TRIM($B19))&gt;0,N19=TRUE(),IF(N$50,$C19&lt;&gt;TRUE(),TRUE())),QUOTIENT(N$46,MAX(1,N$48))+IF(IF(N$50,SUMPRODUCT(--(LEN(TRIM($B$12:$B19))&gt;0),--(N$12:N19=TRUE()),--($C$12:$C19&lt;&gt;TRUE())),SUMPRODUCT(--(LEN(TRIM($B$12:$B19))&gt;0),--(N$12:N19=TRUE())))&lt;=MOD(N$46,MAX(1,N$48)),1,0),0)</f>
        <v>0</v>
      </c>
      <c r="P59" s="14" t="n">
        <f aca="false">IF(AND(P$47,P$48&gt;0,LEN(TRIM($B19))&gt;0,P19=TRUE(),IF(P$50,$C19&lt;&gt;TRUE(),TRUE())),QUOTIENT(P$46,MAX(1,P$48))+IF(IF(P$50,SUMPRODUCT(--(LEN(TRIM($B$12:$B19))&gt;0),--(P$12:P19=TRUE()),--($C$12:$C19&lt;&gt;TRUE())),SUMPRODUCT(--(LEN(TRIM($B$12:$B19))&gt;0),--(P$12:P19=TRUE())))&lt;=MOD(P$46,MAX(1,P$48)),1,0),0)</f>
        <v>0</v>
      </c>
    </row>
    <row r="60" customFormat="false" ht="15" hidden="true" customHeight="false" outlineLevel="0" collapsed="false">
      <c r="A60" s="13" t="s">
        <v>26</v>
      </c>
      <c r="D60" s="14" t="n">
        <f aca="false">IF(AND(D$47,D$48&gt;0,LEN(TRIM($B20))&gt;0,D20=TRUE(),IF(D$50,$C20&lt;&gt;TRUE(),TRUE())),QUOTIENT(D$46,MAX(1,D$48))+IF(IF(D$50,SUMPRODUCT(--(LEN(TRIM($B$12:$B20))&gt;0),--(D$12:D20=TRUE()),--($C$12:$C20&lt;&gt;TRUE())),SUMPRODUCT(--(LEN(TRIM($B$12:$B20))&gt;0),--(D$12:D20=TRUE())))&lt;=MOD(D$46,MAX(1,D$48)),1,0),0)</f>
        <v>0</v>
      </c>
      <c r="F60" s="14" t="n">
        <f aca="false">IF(AND(F$47,F$48&gt;0,LEN(TRIM($B20))&gt;0,F20=TRUE(),IF(F$50,$C20&lt;&gt;TRUE(),TRUE())),QUOTIENT(F$46,MAX(1,F$48))+IF(IF(F$50,SUMPRODUCT(--(LEN(TRIM($B$12:$B20))&gt;0),--(F$12:F20=TRUE()),--($C$12:$C20&lt;&gt;TRUE())),SUMPRODUCT(--(LEN(TRIM($B$12:$B20))&gt;0),--(F$12:F20=TRUE())))&lt;=MOD(F$46,MAX(1,F$48)),1,0),0)</f>
        <v>0</v>
      </c>
      <c r="H60" s="14" t="n">
        <f aca="false">IF(AND(H$47,H$48&gt;0,LEN(TRIM($B20))&gt;0,H20=TRUE(),IF(H$50,$C20&lt;&gt;TRUE(),TRUE())),QUOTIENT(H$46,MAX(1,H$48))+IF(IF(H$50,SUMPRODUCT(--(LEN(TRIM($B$12:$B20))&gt;0),--(H$12:H20=TRUE()),--($C$12:$C20&lt;&gt;TRUE())),SUMPRODUCT(--(LEN(TRIM($B$12:$B20))&gt;0),--(H$12:H20=TRUE())))&lt;=MOD(H$46,MAX(1,H$48)),1,0),0)</f>
        <v>0</v>
      </c>
      <c r="J60" s="14" t="n">
        <f aca="false">IF(AND(J$47,J$48&gt;0,LEN(TRIM($B20))&gt;0,J20=TRUE(),IF(J$50,$C20&lt;&gt;TRUE(),TRUE())),QUOTIENT(J$46,MAX(1,J$48))+IF(IF(J$50,SUMPRODUCT(--(LEN(TRIM($B$12:$B20))&gt;0),--(J$12:J20=TRUE()),--($C$12:$C20&lt;&gt;TRUE())),SUMPRODUCT(--(LEN(TRIM($B$12:$B20))&gt;0),--(J$12:J20=TRUE())))&lt;=MOD(J$46,MAX(1,J$48)),1,0),0)</f>
        <v>0</v>
      </c>
      <c r="L60" s="14" t="n">
        <f aca="false">IF(AND(L$47,L$48&gt;0,LEN(TRIM($B20))&gt;0,L20=TRUE(),IF(L$50,$C20&lt;&gt;TRUE(),TRUE())),QUOTIENT(L$46,MAX(1,L$48))+IF(IF(L$50,SUMPRODUCT(--(LEN(TRIM($B$12:$B20))&gt;0),--(L$12:L20=TRUE()),--($C$12:$C20&lt;&gt;TRUE())),SUMPRODUCT(--(LEN(TRIM($B$12:$B20))&gt;0),--(L$12:L20=TRUE())))&lt;=MOD(L$46,MAX(1,L$48)),1,0),0)</f>
        <v>0</v>
      </c>
      <c r="N60" s="14" t="n">
        <f aca="false">IF(AND(N$47,N$48&gt;0,LEN(TRIM($B20))&gt;0,N20=TRUE(),IF(N$50,$C20&lt;&gt;TRUE(),TRUE())),QUOTIENT(N$46,MAX(1,N$48))+IF(IF(N$50,SUMPRODUCT(--(LEN(TRIM($B$12:$B20))&gt;0),--(N$12:N20=TRUE()),--($C$12:$C20&lt;&gt;TRUE())),SUMPRODUCT(--(LEN(TRIM($B$12:$B20))&gt;0),--(N$12:N20=TRUE())))&lt;=MOD(N$46,MAX(1,N$48)),1,0),0)</f>
        <v>0</v>
      </c>
      <c r="P60" s="14" t="n">
        <f aca="false">IF(AND(P$47,P$48&gt;0,LEN(TRIM($B20))&gt;0,P20=TRUE(),IF(P$50,$C20&lt;&gt;TRUE(),TRUE())),QUOTIENT(P$46,MAX(1,P$48))+IF(IF(P$50,SUMPRODUCT(--(LEN(TRIM($B$12:$B20))&gt;0),--(P$12:P20=TRUE()),--($C$12:$C20&lt;&gt;TRUE())),SUMPRODUCT(--(LEN(TRIM($B$12:$B20))&gt;0),--(P$12:P20=TRUE())))&lt;=MOD(P$46,MAX(1,P$48)),1,0),0)</f>
        <v>0</v>
      </c>
    </row>
    <row r="61" customFormat="false" ht="15" hidden="true" customHeight="false" outlineLevel="0" collapsed="false">
      <c r="A61" s="13" t="s">
        <v>27</v>
      </c>
      <c r="D61" s="14" t="n">
        <f aca="false">IF(AND(D$47,D$48&gt;0,LEN(TRIM($B21))&gt;0,D21=TRUE(),IF(D$50,$C21&lt;&gt;TRUE(),TRUE())),QUOTIENT(D$46,MAX(1,D$48))+IF(IF(D$50,SUMPRODUCT(--(LEN(TRIM($B$12:$B21))&gt;0),--(D$12:D21=TRUE()),--($C$12:$C21&lt;&gt;TRUE())),SUMPRODUCT(--(LEN(TRIM($B$12:$B21))&gt;0),--(D$12:D21=TRUE())))&lt;=MOD(D$46,MAX(1,D$48)),1,0),0)</f>
        <v>0</v>
      </c>
      <c r="F61" s="14" t="n">
        <f aca="false">IF(AND(F$47,F$48&gt;0,LEN(TRIM($B21))&gt;0,F21=TRUE(),IF(F$50,$C21&lt;&gt;TRUE(),TRUE())),QUOTIENT(F$46,MAX(1,F$48))+IF(IF(F$50,SUMPRODUCT(--(LEN(TRIM($B$12:$B21))&gt;0),--(F$12:F21=TRUE()),--($C$12:$C21&lt;&gt;TRUE())),SUMPRODUCT(--(LEN(TRIM($B$12:$B21))&gt;0),--(F$12:F21=TRUE())))&lt;=MOD(F$46,MAX(1,F$48)),1,0),0)</f>
        <v>0</v>
      </c>
      <c r="H61" s="14" t="n">
        <f aca="false">IF(AND(H$47,H$48&gt;0,LEN(TRIM($B21))&gt;0,H21=TRUE(),IF(H$50,$C21&lt;&gt;TRUE(),TRUE())),QUOTIENT(H$46,MAX(1,H$48))+IF(IF(H$50,SUMPRODUCT(--(LEN(TRIM($B$12:$B21))&gt;0),--(H$12:H21=TRUE()),--($C$12:$C21&lt;&gt;TRUE())),SUMPRODUCT(--(LEN(TRIM($B$12:$B21))&gt;0),--(H$12:H21=TRUE())))&lt;=MOD(H$46,MAX(1,H$48)),1,0),0)</f>
        <v>0</v>
      </c>
      <c r="J61" s="14" t="n">
        <f aca="false">IF(AND(J$47,J$48&gt;0,LEN(TRIM($B21))&gt;0,J21=TRUE(),IF(J$50,$C21&lt;&gt;TRUE(),TRUE())),QUOTIENT(J$46,MAX(1,J$48))+IF(IF(J$50,SUMPRODUCT(--(LEN(TRIM($B$12:$B21))&gt;0),--(J$12:J21=TRUE()),--($C$12:$C21&lt;&gt;TRUE())),SUMPRODUCT(--(LEN(TRIM($B$12:$B21))&gt;0),--(J$12:J21=TRUE())))&lt;=MOD(J$46,MAX(1,J$48)),1,0),0)</f>
        <v>0</v>
      </c>
      <c r="L61" s="14" t="n">
        <f aca="false">IF(AND(L$47,L$48&gt;0,LEN(TRIM($B21))&gt;0,L21=TRUE(),IF(L$50,$C21&lt;&gt;TRUE(),TRUE())),QUOTIENT(L$46,MAX(1,L$48))+IF(IF(L$50,SUMPRODUCT(--(LEN(TRIM($B$12:$B21))&gt;0),--(L$12:L21=TRUE()),--($C$12:$C21&lt;&gt;TRUE())),SUMPRODUCT(--(LEN(TRIM($B$12:$B21))&gt;0),--(L$12:L21=TRUE())))&lt;=MOD(L$46,MAX(1,L$48)),1,0),0)</f>
        <v>0</v>
      </c>
      <c r="N61" s="14" t="n">
        <f aca="false">IF(AND(N$47,N$48&gt;0,LEN(TRIM($B21))&gt;0,N21=TRUE(),IF(N$50,$C21&lt;&gt;TRUE(),TRUE())),QUOTIENT(N$46,MAX(1,N$48))+IF(IF(N$50,SUMPRODUCT(--(LEN(TRIM($B$12:$B21))&gt;0),--(N$12:N21=TRUE()),--($C$12:$C21&lt;&gt;TRUE())),SUMPRODUCT(--(LEN(TRIM($B$12:$B21))&gt;0),--(N$12:N21=TRUE())))&lt;=MOD(N$46,MAX(1,N$48)),1,0),0)</f>
        <v>0</v>
      </c>
      <c r="P61" s="14" t="n">
        <f aca="false">IF(AND(P$47,P$48&gt;0,LEN(TRIM($B21))&gt;0,P21=TRUE(),IF(P$50,$C21&lt;&gt;TRUE(),TRUE())),QUOTIENT(P$46,MAX(1,P$48))+IF(IF(P$50,SUMPRODUCT(--(LEN(TRIM($B$12:$B21))&gt;0),--(P$12:P21=TRUE()),--($C$12:$C21&lt;&gt;TRUE())),SUMPRODUCT(--(LEN(TRIM($B$12:$B21))&gt;0),--(P$12:P21=TRUE())))&lt;=MOD(P$46,MAX(1,P$48)),1,0),0)</f>
        <v>0</v>
      </c>
    </row>
    <row r="62" customFormat="false" ht="15" hidden="true" customHeight="false" outlineLevel="0" collapsed="false">
      <c r="A62" s="13" t="s">
        <v>28</v>
      </c>
      <c r="D62" s="14" t="n">
        <f aca="false">IF(AND(D$47,D$48&gt;0,LEN(TRIM($B22))&gt;0,D22=TRUE(),IF(D$50,$C22&lt;&gt;TRUE(),TRUE())),QUOTIENT(D$46,MAX(1,D$48))+IF(IF(D$50,SUMPRODUCT(--(LEN(TRIM($B$12:$B22))&gt;0),--(D$12:D22=TRUE()),--($C$12:$C22&lt;&gt;TRUE())),SUMPRODUCT(--(LEN(TRIM($B$12:$B22))&gt;0),--(D$12:D22=TRUE())))&lt;=MOD(D$46,MAX(1,D$48)),1,0),0)</f>
        <v>0</v>
      </c>
      <c r="F62" s="14" t="n">
        <f aca="false">IF(AND(F$47,F$48&gt;0,LEN(TRIM($B22))&gt;0,F22=TRUE(),IF(F$50,$C22&lt;&gt;TRUE(),TRUE())),QUOTIENT(F$46,MAX(1,F$48))+IF(IF(F$50,SUMPRODUCT(--(LEN(TRIM($B$12:$B22))&gt;0),--(F$12:F22=TRUE()),--($C$12:$C22&lt;&gt;TRUE())),SUMPRODUCT(--(LEN(TRIM($B$12:$B22))&gt;0),--(F$12:F22=TRUE())))&lt;=MOD(F$46,MAX(1,F$48)),1,0),0)</f>
        <v>0</v>
      </c>
      <c r="H62" s="14" t="n">
        <f aca="false">IF(AND(H$47,H$48&gt;0,LEN(TRIM($B22))&gt;0,H22=TRUE(),IF(H$50,$C22&lt;&gt;TRUE(),TRUE())),QUOTIENT(H$46,MAX(1,H$48))+IF(IF(H$50,SUMPRODUCT(--(LEN(TRIM($B$12:$B22))&gt;0),--(H$12:H22=TRUE()),--($C$12:$C22&lt;&gt;TRUE())),SUMPRODUCT(--(LEN(TRIM($B$12:$B22))&gt;0),--(H$12:H22=TRUE())))&lt;=MOD(H$46,MAX(1,H$48)),1,0),0)</f>
        <v>0</v>
      </c>
      <c r="J62" s="14" t="n">
        <f aca="false">IF(AND(J$47,J$48&gt;0,LEN(TRIM($B22))&gt;0,J22=TRUE(),IF(J$50,$C22&lt;&gt;TRUE(),TRUE())),QUOTIENT(J$46,MAX(1,J$48))+IF(IF(J$50,SUMPRODUCT(--(LEN(TRIM($B$12:$B22))&gt;0),--(J$12:J22=TRUE()),--($C$12:$C22&lt;&gt;TRUE())),SUMPRODUCT(--(LEN(TRIM($B$12:$B22))&gt;0),--(J$12:J22=TRUE())))&lt;=MOD(J$46,MAX(1,J$48)),1,0),0)</f>
        <v>0</v>
      </c>
      <c r="L62" s="14" t="n">
        <f aca="false">IF(AND(L$47,L$48&gt;0,LEN(TRIM($B22))&gt;0,L22=TRUE(),IF(L$50,$C22&lt;&gt;TRUE(),TRUE())),QUOTIENT(L$46,MAX(1,L$48))+IF(IF(L$50,SUMPRODUCT(--(LEN(TRIM($B$12:$B22))&gt;0),--(L$12:L22=TRUE()),--($C$12:$C22&lt;&gt;TRUE())),SUMPRODUCT(--(LEN(TRIM($B$12:$B22))&gt;0),--(L$12:L22=TRUE())))&lt;=MOD(L$46,MAX(1,L$48)),1,0),0)</f>
        <v>0</v>
      </c>
      <c r="N62" s="14" t="n">
        <f aca="false">IF(AND(N$47,N$48&gt;0,LEN(TRIM($B22))&gt;0,N22=TRUE(),IF(N$50,$C22&lt;&gt;TRUE(),TRUE())),QUOTIENT(N$46,MAX(1,N$48))+IF(IF(N$50,SUMPRODUCT(--(LEN(TRIM($B$12:$B22))&gt;0),--(N$12:N22=TRUE()),--($C$12:$C22&lt;&gt;TRUE())),SUMPRODUCT(--(LEN(TRIM($B$12:$B22))&gt;0),--(N$12:N22=TRUE())))&lt;=MOD(N$46,MAX(1,N$48)),1,0),0)</f>
        <v>0</v>
      </c>
      <c r="P62" s="14" t="n">
        <f aca="false">IF(AND(P$47,P$48&gt;0,LEN(TRIM($B22))&gt;0,P22=TRUE(),IF(P$50,$C22&lt;&gt;TRUE(),TRUE())),QUOTIENT(P$46,MAX(1,P$48))+IF(IF(P$50,SUMPRODUCT(--(LEN(TRIM($B$12:$B22))&gt;0),--(P$12:P22=TRUE()),--($C$12:$C22&lt;&gt;TRUE())),SUMPRODUCT(--(LEN(TRIM($B$12:$B22))&gt;0),--(P$12:P22=TRUE())))&lt;=MOD(P$46,MAX(1,P$48)),1,0),0)</f>
        <v>0</v>
      </c>
    </row>
    <row r="63" customFormat="false" ht="15" hidden="true" customHeight="false" outlineLevel="0" collapsed="false">
      <c r="A63" s="13" t="s">
        <v>29</v>
      </c>
      <c r="D63" s="14" t="n">
        <f aca="false">IF(AND(D$47,D$48&gt;0,LEN(TRIM($B23))&gt;0,D23=TRUE(),IF(D$50,$C23&lt;&gt;TRUE(),TRUE())),QUOTIENT(D$46,MAX(1,D$48))+IF(IF(D$50,SUMPRODUCT(--(LEN(TRIM($B$12:$B23))&gt;0),--(D$12:D23=TRUE()),--($C$12:$C23&lt;&gt;TRUE())),SUMPRODUCT(--(LEN(TRIM($B$12:$B23))&gt;0),--(D$12:D23=TRUE())))&lt;=MOD(D$46,MAX(1,D$48)),1,0),0)</f>
        <v>0</v>
      </c>
      <c r="F63" s="14" t="n">
        <f aca="false">IF(AND(F$47,F$48&gt;0,LEN(TRIM($B23))&gt;0,F23=TRUE(),IF(F$50,$C23&lt;&gt;TRUE(),TRUE())),QUOTIENT(F$46,MAX(1,F$48))+IF(IF(F$50,SUMPRODUCT(--(LEN(TRIM($B$12:$B23))&gt;0),--(F$12:F23=TRUE()),--($C$12:$C23&lt;&gt;TRUE())),SUMPRODUCT(--(LEN(TRIM($B$12:$B23))&gt;0),--(F$12:F23=TRUE())))&lt;=MOD(F$46,MAX(1,F$48)),1,0),0)</f>
        <v>0</v>
      </c>
      <c r="H63" s="14" t="n">
        <f aca="false">IF(AND(H$47,H$48&gt;0,LEN(TRIM($B23))&gt;0,H23=TRUE(),IF(H$50,$C23&lt;&gt;TRUE(),TRUE())),QUOTIENT(H$46,MAX(1,H$48))+IF(IF(H$50,SUMPRODUCT(--(LEN(TRIM($B$12:$B23))&gt;0),--(H$12:H23=TRUE()),--($C$12:$C23&lt;&gt;TRUE())),SUMPRODUCT(--(LEN(TRIM($B$12:$B23))&gt;0),--(H$12:H23=TRUE())))&lt;=MOD(H$46,MAX(1,H$48)),1,0),0)</f>
        <v>0</v>
      </c>
      <c r="J63" s="14" t="n">
        <f aca="false">IF(AND(J$47,J$48&gt;0,LEN(TRIM($B23))&gt;0,J23=TRUE(),IF(J$50,$C23&lt;&gt;TRUE(),TRUE())),QUOTIENT(J$46,MAX(1,J$48))+IF(IF(J$50,SUMPRODUCT(--(LEN(TRIM($B$12:$B23))&gt;0),--(J$12:J23=TRUE()),--($C$12:$C23&lt;&gt;TRUE())),SUMPRODUCT(--(LEN(TRIM($B$12:$B23))&gt;0),--(J$12:J23=TRUE())))&lt;=MOD(J$46,MAX(1,J$48)),1,0),0)</f>
        <v>0</v>
      </c>
      <c r="L63" s="14" t="n">
        <f aca="false">IF(AND(L$47,L$48&gt;0,LEN(TRIM($B23))&gt;0,L23=TRUE(),IF(L$50,$C23&lt;&gt;TRUE(),TRUE())),QUOTIENT(L$46,MAX(1,L$48))+IF(IF(L$50,SUMPRODUCT(--(LEN(TRIM($B$12:$B23))&gt;0),--(L$12:L23=TRUE()),--($C$12:$C23&lt;&gt;TRUE())),SUMPRODUCT(--(LEN(TRIM($B$12:$B23))&gt;0),--(L$12:L23=TRUE())))&lt;=MOD(L$46,MAX(1,L$48)),1,0),0)</f>
        <v>0</v>
      </c>
      <c r="N63" s="14" t="n">
        <f aca="false">IF(AND(N$47,N$48&gt;0,LEN(TRIM($B23))&gt;0,N23=TRUE(),IF(N$50,$C23&lt;&gt;TRUE(),TRUE())),QUOTIENT(N$46,MAX(1,N$48))+IF(IF(N$50,SUMPRODUCT(--(LEN(TRIM($B$12:$B23))&gt;0),--(N$12:N23=TRUE()),--($C$12:$C23&lt;&gt;TRUE())),SUMPRODUCT(--(LEN(TRIM($B$12:$B23))&gt;0),--(N$12:N23=TRUE())))&lt;=MOD(N$46,MAX(1,N$48)),1,0),0)</f>
        <v>0</v>
      </c>
      <c r="P63" s="14" t="n">
        <f aca="false">IF(AND(P$47,P$48&gt;0,LEN(TRIM($B23))&gt;0,P23=TRUE(),IF(P$50,$C23&lt;&gt;TRUE(),TRUE())),QUOTIENT(P$46,MAX(1,P$48))+IF(IF(P$50,SUMPRODUCT(--(LEN(TRIM($B$12:$B23))&gt;0),--(P$12:P23=TRUE()),--($C$12:$C23&lt;&gt;TRUE())),SUMPRODUCT(--(LEN(TRIM($B$12:$B23))&gt;0),--(P$12:P23=TRUE())))&lt;=MOD(P$46,MAX(1,P$48)),1,0),0)</f>
        <v>0</v>
      </c>
    </row>
    <row r="64" customFormat="false" ht="15" hidden="true" customHeight="false" outlineLevel="0" collapsed="false">
      <c r="A64" s="13" t="s">
        <v>30</v>
      </c>
      <c r="D64" s="14" t="n">
        <f aca="false">IF(AND(D$47,D$48&gt;0,LEN(TRIM($B24))&gt;0,D24=TRUE(),IF(D$50,$C24&lt;&gt;TRUE(),TRUE())),QUOTIENT(D$46,MAX(1,D$48))+IF(IF(D$50,SUMPRODUCT(--(LEN(TRIM($B$12:$B24))&gt;0),--(D$12:D24=TRUE()),--($C$12:$C24&lt;&gt;TRUE())),SUMPRODUCT(--(LEN(TRIM($B$12:$B24))&gt;0),--(D$12:D24=TRUE())))&lt;=MOD(D$46,MAX(1,D$48)),1,0),0)</f>
        <v>0</v>
      </c>
      <c r="F64" s="14" t="n">
        <f aca="false">IF(AND(F$47,F$48&gt;0,LEN(TRIM($B24))&gt;0,F24=TRUE(),IF(F$50,$C24&lt;&gt;TRUE(),TRUE())),QUOTIENT(F$46,MAX(1,F$48))+IF(IF(F$50,SUMPRODUCT(--(LEN(TRIM($B$12:$B24))&gt;0),--(F$12:F24=TRUE()),--($C$12:$C24&lt;&gt;TRUE())),SUMPRODUCT(--(LEN(TRIM($B$12:$B24))&gt;0),--(F$12:F24=TRUE())))&lt;=MOD(F$46,MAX(1,F$48)),1,0),0)</f>
        <v>0</v>
      </c>
      <c r="H64" s="14" t="n">
        <f aca="false">IF(AND(H$47,H$48&gt;0,LEN(TRIM($B24))&gt;0,H24=TRUE(),IF(H$50,$C24&lt;&gt;TRUE(),TRUE())),QUOTIENT(H$46,MAX(1,H$48))+IF(IF(H$50,SUMPRODUCT(--(LEN(TRIM($B$12:$B24))&gt;0),--(H$12:H24=TRUE()),--($C$12:$C24&lt;&gt;TRUE())),SUMPRODUCT(--(LEN(TRIM($B$12:$B24))&gt;0),--(H$12:H24=TRUE())))&lt;=MOD(H$46,MAX(1,H$48)),1,0),0)</f>
        <v>0</v>
      </c>
      <c r="J64" s="14" t="n">
        <f aca="false">IF(AND(J$47,J$48&gt;0,LEN(TRIM($B24))&gt;0,J24=TRUE(),IF(J$50,$C24&lt;&gt;TRUE(),TRUE())),QUOTIENT(J$46,MAX(1,J$48))+IF(IF(J$50,SUMPRODUCT(--(LEN(TRIM($B$12:$B24))&gt;0),--(J$12:J24=TRUE()),--($C$12:$C24&lt;&gt;TRUE())),SUMPRODUCT(--(LEN(TRIM($B$12:$B24))&gt;0),--(J$12:J24=TRUE())))&lt;=MOD(J$46,MAX(1,J$48)),1,0),0)</f>
        <v>0</v>
      </c>
      <c r="L64" s="14" t="n">
        <f aca="false">IF(AND(L$47,L$48&gt;0,LEN(TRIM($B24))&gt;0,L24=TRUE(),IF(L$50,$C24&lt;&gt;TRUE(),TRUE())),QUOTIENT(L$46,MAX(1,L$48))+IF(IF(L$50,SUMPRODUCT(--(LEN(TRIM($B$12:$B24))&gt;0),--(L$12:L24=TRUE()),--($C$12:$C24&lt;&gt;TRUE())),SUMPRODUCT(--(LEN(TRIM($B$12:$B24))&gt;0),--(L$12:L24=TRUE())))&lt;=MOD(L$46,MAX(1,L$48)),1,0),0)</f>
        <v>0</v>
      </c>
      <c r="N64" s="14" t="n">
        <f aca="false">IF(AND(N$47,N$48&gt;0,LEN(TRIM($B24))&gt;0,N24=TRUE(),IF(N$50,$C24&lt;&gt;TRUE(),TRUE())),QUOTIENT(N$46,MAX(1,N$48))+IF(IF(N$50,SUMPRODUCT(--(LEN(TRIM($B$12:$B24))&gt;0),--(N$12:N24=TRUE()),--($C$12:$C24&lt;&gt;TRUE())),SUMPRODUCT(--(LEN(TRIM($B$12:$B24))&gt;0),--(N$12:N24=TRUE())))&lt;=MOD(N$46,MAX(1,N$48)),1,0),0)</f>
        <v>0</v>
      </c>
      <c r="P64" s="14" t="n">
        <f aca="false">IF(AND(P$47,P$48&gt;0,LEN(TRIM($B24))&gt;0,P24=TRUE(),IF(P$50,$C24&lt;&gt;TRUE(),TRUE())),QUOTIENT(P$46,MAX(1,P$48))+IF(IF(P$50,SUMPRODUCT(--(LEN(TRIM($B$12:$B24))&gt;0),--(P$12:P24=TRUE()),--($C$12:$C24&lt;&gt;TRUE())),SUMPRODUCT(--(LEN(TRIM($B$12:$B24))&gt;0),--(P$12:P24=TRUE())))&lt;=MOD(P$46,MAX(1,P$48)),1,0),0)</f>
        <v>0</v>
      </c>
    </row>
    <row r="65" customFormat="false" ht="15" hidden="true" customHeight="false" outlineLevel="0" collapsed="false">
      <c r="A65" s="13" t="s">
        <v>31</v>
      </c>
      <c r="D65" s="14" t="n">
        <f aca="false">IF(AND(D$47,D$48&gt;0,LEN(TRIM($B25))&gt;0,D25=TRUE(),IF(D$50,$C25&lt;&gt;TRUE(),TRUE())),QUOTIENT(D$46,MAX(1,D$48))+IF(IF(D$50,SUMPRODUCT(--(LEN(TRIM($B$12:$B25))&gt;0),--(D$12:D25=TRUE()),--($C$12:$C25&lt;&gt;TRUE())),SUMPRODUCT(--(LEN(TRIM($B$12:$B25))&gt;0),--(D$12:D25=TRUE())))&lt;=MOD(D$46,MAX(1,D$48)),1,0),0)</f>
        <v>0</v>
      </c>
      <c r="F65" s="14" t="n">
        <f aca="false">IF(AND(F$47,F$48&gt;0,LEN(TRIM($B25))&gt;0,F25=TRUE(),IF(F$50,$C25&lt;&gt;TRUE(),TRUE())),QUOTIENT(F$46,MAX(1,F$48))+IF(IF(F$50,SUMPRODUCT(--(LEN(TRIM($B$12:$B25))&gt;0),--(F$12:F25=TRUE()),--($C$12:$C25&lt;&gt;TRUE())),SUMPRODUCT(--(LEN(TRIM($B$12:$B25))&gt;0),--(F$12:F25=TRUE())))&lt;=MOD(F$46,MAX(1,F$48)),1,0),0)</f>
        <v>0</v>
      </c>
      <c r="H65" s="14" t="n">
        <f aca="false">IF(AND(H$47,H$48&gt;0,LEN(TRIM($B25))&gt;0,H25=TRUE(),IF(H$50,$C25&lt;&gt;TRUE(),TRUE())),QUOTIENT(H$46,MAX(1,H$48))+IF(IF(H$50,SUMPRODUCT(--(LEN(TRIM($B$12:$B25))&gt;0),--(H$12:H25=TRUE()),--($C$12:$C25&lt;&gt;TRUE())),SUMPRODUCT(--(LEN(TRIM($B$12:$B25))&gt;0),--(H$12:H25=TRUE())))&lt;=MOD(H$46,MAX(1,H$48)),1,0),0)</f>
        <v>0</v>
      </c>
      <c r="J65" s="14" t="n">
        <f aca="false">IF(AND(J$47,J$48&gt;0,LEN(TRIM($B25))&gt;0,J25=TRUE(),IF(J$50,$C25&lt;&gt;TRUE(),TRUE())),QUOTIENT(J$46,MAX(1,J$48))+IF(IF(J$50,SUMPRODUCT(--(LEN(TRIM($B$12:$B25))&gt;0),--(J$12:J25=TRUE()),--($C$12:$C25&lt;&gt;TRUE())),SUMPRODUCT(--(LEN(TRIM($B$12:$B25))&gt;0),--(J$12:J25=TRUE())))&lt;=MOD(J$46,MAX(1,J$48)),1,0),0)</f>
        <v>0</v>
      </c>
      <c r="L65" s="14" t="n">
        <f aca="false">IF(AND(L$47,L$48&gt;0,LEN(TRIM($B25))&gt;0,L25=TRUE(),IF(L$50,$C25&lt;&gt;TRUE(),TRUE())),QUOTIENT(L$46,MAX(1,L$48))+IF(IF(L$50,SUMPRODUCT(--(LEN(TRIM($B$12:$B25))&gt;0),--(L$12:L25=TRUE()),--($C$12:$C25&lt;&gt;TRUE())),SUMPRODUCT(--(LEN(TRIM($B$12:$B25))&gt;0),--(L$12:L25=TRUE())))&lt;=MOD(L$46,MAX(1,L$48)),1,0),0)</f>
        <v>0</v>
      </c>
      <c r="N65" s="14" t="n">
        <f aca="false">IF(AND(N$47,N$48&gt;0,LEN(TRIM($B25))&gt;0,N25=TRUE(),IF(N$50,$C25&lt;&gt;TRUE(),TRUE())),QUOTIENT(N$46,MAX(1,N$48))+IF(IF(N$50,SUMPRODUCT(--(LEN(TRIM($B$12:$B25))&gt;0),--(N$12:N25=TRUE()),--($C$12:$C25&lt;&gt;TRUE())),SUMPRODUCT(--(LEN(TRIM($B$12:$B25))&gt;0),--(N$12:N25=TRUE())))&lt;=MOD(N$46,MAX(1,N$48)),1,0),0)</f>
        <v>0</v>
      </c>
      <c r="P65" s="14" t="n">
        <f aca="false">IF(AND(P$47,P$48&gt;0,LEN(TRIM($B25))&gt;0,P25=TRUE(),IF(P$50,$C25&lt;&gt;TRUE(),TRUE())),QUOTIENT(P$46,MAX(1,P$48))+IF(IF(P$50,SUMPRODUCT(--(LEN(TRIM($B$12:$B25))&gt;0),--(P$12:P25=TRUE()),--($C$12:$C25&lt;&gt;TRUE())),SUMPRODUCT(--(LEN(TRIM($B$12:$B25))&gt;0),--(P$12:P25=TRUE())))&lt;=MOD(P$46,MAX(1,P$48)),1,0),0)</f>
        <v>0</v>
      </c>
    </row>
    <row r="66" customFormat="false" ht="15" hidden="true" customHeight="false" outlineLevel="0" collapsed="false">
      <c r="A66" s="13" t="s">
        <v>32</v>
      </c>
      <c r="D66" s="14" t="n">
        <f aca="false">IF(AND(D$47,D$48&gt;0,LEN(TRIM($B26))&gt;0,D26=TRUE(),IF(D$50,$C26&lt;&gt;TRUE(),TRUE())),QUOTIENT(D$46,MAX(1,D$48))+IF(IF(D$50,SUMPRODUCT(--(LEN(TRIM($B$12:$B26))&gt;0),--(D$12:D26=TRUE()),--($C$12:$C26&lt;&gt;TRUE())),SUMPRODUCT(--(LEN(TRIM($B$12:$B26))&gt;0),--(D$12:D26=TRUE())))&lt;=MOD(D$46,MAX(1,D$48)),1,0),0)</f>
        <v>0</v>
      </c>
      <c r="F66" s="14" t="n">
        <f aca="false">IF(AND(F$47,F$48&gt;0,LEN(TRIM($B26))&gt;0,F26=TRUE(),IF(F$50,$C26&lt;&gt;TRUE(),TRUE())),QUOTIENT(F$46,MAX(1,F$48))+IF(IF(F$50,SUMPRODUCT(--(LEN(TRIM($B$12:$B26))&gt;0),--(F$12:F26=TRUE()),--($C$12:$C26&lt;&gt;TRUE())),SUMPRODUCT(--(LEN(TRIM($B$12:$B26))&gt;0),--(F$12:F26=TRUE())))&lt;=MOD(F$46,MAX(1,F$48)),1,0),0)</f>
        <v>0</v>
      </c>
      <c r="H66" s="14" t="n">
        <f aca="false">IF(AND(H$47,H$48&gt;0,LEN(TRIM($B26))&gt;0,H26=TRUE(),IF(H$50,$C26&lt;&gt;TRUE(),TRUE())),QUOTIENT(H$46,MAX(1,H$48))+IF(IF(H$50,SUMPRODUCT(--(LEN(TRIM($B$12:$B26))&gt;0),--(H$12:H26=TRUE()),--($C$12:$C26&lt;&gt;TRUE())),SUMPRODUCT(--(LEN(TRIM($B$12:$B26))&gt;0),--(H$12:H26=TRUE())))&lt;=MOD(H$46,MAX(1,H$48)),1,0),0)</f>
        <v>0</v>
      </c>
      <c r="J66" s="14" t="n">
        <f aca="false">IF(AND(J$47,J$48&gt;0,LEN(TRIM($B26))&gt;0,J26=TRUE(),IF(J$50,$C26&lt;&gt;TRUE(),TRUE())),QUOTIENT(J$46,MAX(1,J$48))+IF(IF(J$50,SUMPRODUCT(--(LEN(TRIM($B$12:$B26))&gt;0),--(J$12:J26=TRUE()),--($C$12:$C26&lt;&gt;TRUE())),SUMPRODUCT(--(LEN(TRIM($B$12:$B26))&gt;0),--(J$12:J26=TRUE())))&lt;=MOD(J$46,MAX(1,J$48)),1,0),0)</f>
        <v>0</v>
      </c>
      <c r="L66" s="14" t="n">
        <f aca="false">IF(AND(L$47,L$48&gt;0,LEN(TRIM($B26))&gt;0,L26=TRUE(),IF(L$50,$C26&lt;&gt;TRUE(),TRUE())),QUOTIENT(L$46,MAX(1,L$48))+IF(IF(L$50,SUMPRODUCT(--(LEN(TRIM($B$12:$B26))&gt;0),--(L$12:L26=TRUE()),--($C$12:$C26&lt;&gt;TRUE())),SUMPRODUCT(--(LEN(TRIM($B$12:$B26))&gt;0),--(L$12:L26=TRUE())))&lt;=MOD(L$46,MAX(1,L$48)),1,0),0)</f>
        <v>0</v>
      </c>
      <c r="N66" s="14" t="n">
        <f aca="false">IF(AND(N$47,N$48&gt;0,LEN(TRIM($B26))&gt;0,N26=TRUE(),IF(N$50,$C26&lt;&gt;TRUE(),TRUE())),QUOTIENT(N$46,MAX(1,N$48))+IF(IF(N$50,SUMPRODUCT(--(LEN(TRIM($B$12:$B26))&gt;0),--(N$12:N26=TRUE()),--($C$12:$C26&lt;&gt;TRUE())),SUMPRODUCT(--(LEN(TRIM($B$12:$B26))&gt;0),--(N$12:N26=TRUE())))&lt;=MOD(N$46,MAX(1,N$48)),1,0),0)</f>
        <v>0</v>
      </c>
      <c r="P66" s="14" t="n">
        <f aca="false">IF(AND(P$47,P$48&gt;0,LEN(TRIM($B26))&gt;0,P26=TRUE(),IF(P$50,$C26&lt;&gt;TRUE(),TRUE())),QUOTIENT(P$46,MAX(1,P$48))+IF(IF(P$50,SUMPRODUCT(--(LEN(TRIM($B$12:$B26))&gt;0),--(P$12:P26=TRUE()),--($C$12:$C26&lt;&gt;TRUE())),SUMPRODUCT(--(LEN(TRIM($B$12:$B26))&gt;0),--(P$12:P26=TRUE())))&lt;=MOD(P$46,MAX(1,P$48)),1,0),0)</f>
        <v>0</v>
      </c>
    </row>
    <row r="67" customFormat="false" ht="15" hidden="true" customHeight="false" outlineLevel="0" collapsed="false">
      <c r="A67" s="13" t="s">
        <v>33</v>
      </c>
      <c r="D67" s="14" t="n">
        <f aca="false">IF(AND(D$47,D$48&gt;0,LEN(TRIM($B27))&gt;0,D27=TRUE(),IF(D$50,$C27&lt;&gt;TRUE(),TRUE())),QUOTIENT(D$46,MAX(1,D$48))+IF(IF(D$50,SUMPRODUCT(--(LEN(TRIM($B$12:$B27))&gt;0),--(D$12:D27=TRUE()),--($C$12:$C27&lt;&gt;TRUE())),SUMPRODUCT(--(LEN(TRIM($B$12:$B27))&gt;0),--(D$12:D27=TRUE())))&lt;=MOD(D$46,MAX(1,D$48)),1,0),0)</f>
        <v>0</v>
      </c>
      <c r="F67" s="14" t="n">
        <f aca="false">IF(AND(F$47,F$48&gt;0,LEN(TRIM($B27))&gt;0,F27=TRUE(),IF(F$50,$C27&lt;&gt;TRUE(),TRUE())),QUOTIENT(F$46,MAX(1,F$48))+IF(IF(F$50,SUMPRODUCT(--(LEN(TRIM($B$12:$B27))&gt;0),--(F$12:F27=TRUE()),--($C$12:$C27&lt;&gt;TRUE())),SUMPRODUCT(--(LEN(TRIM($B$12:$B27))&gt;0),--(F$12:F27=TRUE())))&lt;=MOD(F$46,MAX(1,F$48)),1,0),0)</f>
        <v>0</v>
      </c>
      <c r="H67" s="14" t="n">
        <f aca="false">IF(AND(H$47,H$48&gt;0,LEN(TRIM($B27))&gt;0,H27=TRUE(),IF(H$50,$C27&lt;&gt;TRUE(),TRUE())),QUOTIENT(H$46,MAX(1,H$48))+IF(IF(H$50,SUMPRODUCT(--(LEN(TRIM($B$12:$B27))&gt;0),--(H$12:H27=TRUE()),--($C$12:$C27&lt;&gt;TRUE())),SUMPRODUCT(--(LEN(TRIM($B$12:$B27))&gt;0),--(H$12:H27=TRUE())))&lt;=MOD(H$46,MAX(1,H$48)),1,0),0)</f>
        <v>0</v>
      </c>
      <c r="J67" s="14" t="n">
        <f aca="false">IF(AND(J$47,J$48&gt;0,LEN(TRIM($B27))&gt;0,J27=TRUE(),IF(J$50,$C27&lt;&gt;TRUE(),TRUE())),QUOTIENT(J$46,MAX(1,J$48))+IF(IF(J$50,SUMPRODUCT(--(LEN(TRIM($B$12:$B27))&gt;0),--(J$12:J27=TRUE()),--($C$12:$C27&lt;&gt;TRUE())),SUMPRODUCT(--(LEN(TRIM($B$12:$B27))&gt;0),--(J$12:J27=TRUE())))&lt;=MOD(J$46,MAX(1,J$48)),1,0),0)</f>
        <v>0</v>
      </c>
      <c r="L67" s="14" t="n">
        <f aca="false">IF(AND(L$47,L$48&gt;0,LEN(TRIM($B27))&gt;0,L27=TRUE(),IF(L$50,$C27&lt;&gt;TRUE(),TRUE())),QUOTIENT(L$46,MAX(1,L$48))+IF(IF(L$50,SUMPRODUCT(--(LEN(TRIM($B$12:$B27))&gt;0),--(L$12:L27=TRUE()),--($C$12:$C27&lt;&gt;TRUE())),SUMPRODUCT(--(LEN(TRIM($B$12:$B27))&gt;0),--(L$12:L27=TRUE())))&lt;=MOD(L$46,MAX(1,L$48)),1,0),0)</f>
        <v>0</v>
      </c>
      <c r="N67" s="14" t="n">
        <f aca="false">IF(AND(N$47,N$48&gt;0,LEN(TRIM($B27))&gt;0,N27=TRUE(),IF(N$50,$C27&lt;&gt;TRUE(),TRUE())),QUOTIENT(N$46,MAX(1,N$48))+IF(IF(N$50,SUMPRODUCT(--(LEN(TRIM($B$12:$B27))&gt;0),--(N$12:N27=TRUE()),--($C$12:$C27&lt;&gt;TRUE())),SUMPRODUCT(--(LEN(TRIM($B$12:$B27))&gt;0),--(N$12:N27=TRUE())))&lt;=MOD(N$46,MAX(1,N$48)),1,0),0)</f>
        <v>0</v>
      </c>
      <c r="P67" s="14" t="n">
        <f aca="false">IF(AND(P$47,P$48&gt;0,LEN(TRIM($B27))&gt;0,P27=TRUE(),IF(P$50,$C27&lt;&gt;TRUE(),TRUE())),QUOTIENT(P$46,MAX(1,P$48))+IF(IF(P$50,SUMPRODUCT(--(LEN(TRIM($B$12:$B27))&gt;0),--(P$12:P27=TRUE()),--($C$12:$C27&lt;&gt;TRUE())),SUMPRODUCT(--(LEN(TRIM($B$12:$B27))&gt;0),--(P$12:P27=TRUE())))&lt;=MOD(P$46,MAX(1,P$48)),1,0),0)</f>
        <v>0</v>
      </c>
    </row>
    <row r="68" customFormat="false" ht="15" hidden="true" customHeight="false" outlineLevel="0" collapsed="false">
      <c r="A68" s="13" t="s">
        <v>34</v>
      </c>
      <c r="D68" s="14" t="n">
        <f aca="false">IF(AND(D$47,D$48&gt;0,LEN(TRIM($B28))&gt;0,D28=TRUE(),IF(D$50,$C28&lt;&gt;TRUE(),TRUE())),QUOTIENT(D$46,MAX(1,D$48))+IF(IF(D$50,SUMPRODUCT(--(LEN(TRIM($B$12:$B28))&gt;0),--(D$12:D28=TRUE()),--($C$12:$C28&lt;&gt;TRUE())),SUMPRODUCT(--(LEN(TRIM($B$12:$B28))&gt;0),--(D$12:D28=TRUE())))&lt;=MOD(D$46,MAX(1,D$48)),1,0),0)</f>
        <v>0</v>
      </c>
      <c r="F68" s="14" t="n">
        <f aca="false">IF(AND(F$47,F$48&gt;0,LEN(TRIM($B28))&gt;0,F28=TRUE(),IF(F$50,$C28&lt;&gt;TRUE(),TRUE())),QUOTIENT(F$46,MAX(1,F$48))+IF(IF(F$50,SUMPRODUCT(--(LEN(TRIM($B$12:$B28))&gt;0),--(F$12:F28=TRUE()),--($C$12:$C28&lt;&gt;TRUE())),SUMPRODUCT(--(LEN(TRIM($B$12:$B28))&gt;0),--(F$12:F28=TRUE())))&lt;=MOD(F$46,MAX(1,F$48)),1,0),0)</f>
        <v>0</v>
      </c>
      <c r="H68" s="14" t="n">
        <f aca="false">IF(AND(H$47,H$48&gt;0,LEN(TRIM($B28))&gt;0,H28=TRUE(),IF(H$50,$C28&lt;&gt;TRUE(),TRUE())),QUOTIENT(H$46,MAX(1,H$48))+IF(IF(H$50,SUMPRODUCT(--(LEN(TRIM($B$12:$B28))&gt;0),--(H$12:H28=TRUE()),--($C$12:$C28&lt;&gt;TRUE())),SUMPRODUCT(--(LEN(TRIM($B$12:$B28))&gt;0),--(H$12:H28=TRUE())))&lt;=MOD(H$46,MAX(1,H$48)),1,0),0)</f>
        <v>0</v>
      </c>
      <c r="J68" s="14" t="n">
        <f aca="false">IF(AND(J$47,J$48&gt;0,LEN(TRIM($B28))&gt;0,J28=TRUE(),IF(J$50,$C28&lt;&gt;TRUE(),TRUE())),QUOTIENT(J$46,MAX(1,J$48))+IF(IF(J$50,SUMPRODUCT(--(LEN(TRIM($B$12:$B28))&gt;0),--(J$12:J28=TRUE()),--($C$12:$C28&lt;&gt;TRUE())),SUMPRODUCT(--(LEN(TRIM($B$12:$B28))&gt;0),--(J$12:J28=TRUE())))&lt;=MOD(J$46,MAX(1,J$48)),1,0),0)</f>
        <v>0</v>
      </c>
      <c r="L68" s="14" t="n">
        <f aca="false">IF(AND(L$47,L$48&gt;0,LEN(TRIM($B28))&gt;0,L28=TRUE(),IF(L$50,$C28&lt;&gt;TRUE(),TRUE())),QUOTIENT(L$46,MAX(1,L$48))+IF(IF(L$50,SUMPRODUCT(--(LEN(TRIM($B$12:$B28))&gt;0),--(L$12:L28=TRUE()),--($C$12:$C28&lt;&gt;TRUE())),SUMPRODUCT(--(LEN(TRIM($B$12:$B28))&gt;0),--(L$12:L28=TRUE())))&lt;=MOD(L$46,MAX(1,L$48)),1,0),0)</f>
        <v>0</v>
      </c>
      <c r="N68" s="14" t="n">
        <f aca="false">IF(AND(N$47,N$48&gt;0,LEN(TRIM($B28))&gt;0,N28=TRUE(),IF(N$50,$C28&lt;&gt;TRUE(),TRUE())),QUOTIENT(N$46,MAX(1,N$48))+IF(IF(N$50,SUMPRODUCT(--(LEN(TRIM($B$12:$B28))&gt;0),--(N$12:N28=TRUE()),--($C$12:$C28&lt;&gt;TRUE())),SUMPRODUCT(--(LEN(TRIM($B$12:$B28))&gt;0),--(N$12:N28=TRUE())))&lt;=MOD(N$46,MAX(1,N$48)),1,0),0)</f>
        <v>0</v>
      </c>
      <c r="P68" s="14" t="n">
        <f aca="false">IF(AND(P$47,P$48&gt;0,LEN(TRIM($B28))&gt;0,P28=TRUE(),IF(P$50,$C28&lt;&gt;TRUE(),TRUE())),QUOTIENT(P$46,MAX(1,P$48))+IF(IF(P$50,SUMPRODUCT(--(LEN(TRIM($B$12:$B28))&gt;0),--(P$12:P28=TRUE()),--($C$12:$C28&lt;&gt;TRUE())),SUMPRODUCT(--(LEN(TRIM($B$12:$B28))&gt;0),--(P$12:P28=TRUE())))&lt;=MOD(P$46,MAX(1,P$48)),1,0),0)</f>
        <v>0</v>
      </c>
    </row>
    <row r="69" customFormat="false" ht="15" hidden="true" customHeight="false" outlineLevel="0" collapsed="false">
      <c r="A69" s="13" t="s">
        <v>35</v>
      </c>
      <c r="D69" s="14" t="n">
        <f aca="false">IF(AND(D$47,D$48&gt;0,LEN(TRIM($B29))&gt;0,D29=TRUE(),IF(D$50,$C29&lt;&gt;TRUE(),TRUE())),QUOTIENT(D$46,MAX(1,D$48))+IF(IF(D$50,SUMPRODUCT(--(LEN(TRIM($B$12:$B29))&gt;0),--(D$12:D29=TRUE()),--($C$12:$C29&lt;&gt;TRUE())),SUMPRODUCT(--(LEN(TRIM($B$12:$B29))&gt;0),--(D$12:D29=TRUE())))&lt;=MOD(D$46,MAX(1,D$48)),1,0),0)</f>
        <v>0</v>
      </c>
      <c r="F69" s="14" t="n">
        <f aca="false">IF(AND(F$47,F$48&gt;0,LEN(TRIM($B29))&gt;0,F29=TRUE(),IF(F$50,$C29&lt;&gt;TRUE(),TRUE())),QUOTIENT(F$46,MAX(1,F$48))+IF(IF(F$50,SUMPRODUCT(--(LEN(TRIM($B$12:$B29))&gt;0),--(F$12:F29=TRUE()),--($C$12:$C29&lt;&gt;TRUE())),SUMPRODUCT(--(LEN(TRIM($B$12:$B29))&gt;0),--(F$12:F29=TRUE())))&lt;=MOD(F$46,MAX(1,F$48)),1,0),0)</f>
        <v>0</v>
      </c>
      <c r="H69" s="14" t="n">
        <f aca="false">IF(AND(H$47,H$48&gt;0,LEN(TRIM($B29))&gt;0,H29=TRUE(),IF(H$50,$C29&lt;&gt;TRUE(),TRUE())),QUOTIENT(H$46,MAX(1,H$48))+IF(IF(H$50,SUMPRODUCT(--(LEN(TRIM($B$12:$B29))&gt;0),--(H$12:H29=TRUE()),--($C$12:$C29&lt;&gt;TRUE())),SUMPRODUCT(--(LEN(TRIM($B$12:$B29))&gt;0),--(H$12:H29=TRUE())))&lt;=MOD(H$46,MAX(1,H$48)),1,0),0)</f>
        <v>0</v>
      </c>
      <c r="J69" s="14" t="n">
        <f aca="false">IF(AND(J$47,J$48&gt;0,LEN(TRIM($B29))&gt;0,J29=TRUE(),IF(J$50,$C29&lt;&gt;TRUE(),TRUE())),QUOTIENT(J$46,MAX(1,J$48))+IF(IF(J$50,SUMPRODUCT(--(LEN(TRIM($B$12:$B29))&gt;0),--(J$12:J29=TRUE()),--($C$12:$C29&lt;&gt;TRUE())),SUMPRODUCT(--(LEN(TRIM($B$12:$B29))&gt;0),--(J$12:J29=TRUE())))&lt;=MOD(J$46,MAX(1,J$48)),1,0),0)</f>
        <v>0</v>
      </c>
      <c r="L69" s="14" t="n">
        <f aca="false">IF(AND(L$47,L$48&gt;0,LEN(TRIM($B29))&gt;0,L29=TRUE(),IF(L$50,$C29&lt;&gt;TRUE(),TRUE())),QUOTIENT(L$46,MAX(1,L$48))+IF(IF(L$50,SUMPRODUCT(--(LEN(TRIM($B$12:$B29))&gt;0),--(L$12:L29=TRUE()),--($C$12:$C29&lt;&gt;TRUE())),SUMPRODUCT(--(LEN(TRIM($B$12:$B29))&gt;0),--(L$12:L29=TRUE())))&lt;=MOD(L$46,MAX(1,L$48)),1,0),0)</f>
        <v>0</v>
      </c>
      <c r="N69" s="14" t="n">
        <f aca="false">IF(AND(N$47,N$48&gt;0,LEN(TRIM($B29))&gt;0,N29=TRUE(),IF(N$50,$C29&lt;&gt;TRUE(),TRUE())),QUOTIENT(N$46,MAX(1,N$48))+IF(IF(N$50,SUMPRODUCT(--(LEN(TRIM($B$12:$B29))&gt;0),--(N$12:N29=TRUE()),--($C$12:$C29&lt;&gt;TRUE())),SUMPRODUCT(--(LEN(TRIM($B$12:$B29))&gt;0),--(N$12:N29=TRUE())))&lt;=MOD(N$46,MAX(1,N$48)),1,0),0)</f>
        <v>0</v>
      </c>
      <c r="P69" s="14" t="n">
        <f aca="false">IF(AND(P$47,P$48&gt;0,LEN(TRIM($B29))&gt;0,P29=TRUE(),IF(P$50,$C29&lt;&gt;TRUE(),TRUE())),QUOTIENT(P$46,MAX(1,P$48))+IF(IF(P$50,SUMPRODUCT(--(LEN(TRIM($B$12:$B29))&gt;0),--(P$12:P29=TRUE()),--($C$12:$C29&lt;&gt;TRUE())),SUMPRODUCT(--(LEN(TRIM($B$12:$B29))&gt;0),--(P$12:P29=TRUE())))&lt;=MOD(P$46,MAX(1,P$48)),1,0),0)</f>
        <v>0</v>
      </c>
    </row>
    <row r="70" customFormat="false" ht="15" hidden="true" customHeight="false" outlineLevel="0" collapsed="false">
      <c r="A70" s="13" t="s">
        <v>36</v>
      </c>
      <c r="D70" s="14" t="n">
        <f aca="false">IF(AND(D$47,D$48&gt;0,LEN(TRIM($B30))&gt;0,D30=TRUE(),IF(D$50,$C30&lt;&gt;TRUE(),TRUE())),QUOTIENT(D$46,MAX(1,D$48))+IF(IF(D$50,SUMPRODUCT(--(LEN(TRIM($B$12:$B30))&gt;0),--(D$12:D30=TRUE()),--($C$12:$C30&lt;&gt;TRUE())),SUMPRODUCT(--(LEN(TRIM($B$12:$B30))&gt;0),--(D$12:D30=TRUE())))&lt;=MOD(D$46,MAX(1,D$48)),1,0),0)</f>
        <v>0</v>
      </c>
      <c r="F70" s="14" t="n">
        <f aca="false">IF(AND(F$47,F$48&gt;0,LEN(TRIM($B30))&gt;0,F30=TRUE(),IF(F$50,$C30&lt;&gt;TRUE(),TRUE())),QUOTIENT(F$46,MAX(1,F$48))+IF(IF(F$50,SUMPRODUCT(--(LEN(TRIM($B$12:$B30))&gt;0),--(F$12:F30=TRUE()),--($C$12:$C30&lt;&gt;TRUE())),SUMPRODUCT(--(LEN(TRIM($B$12:$B30))&gt;0),--(F$12:F30=TRUE())))&lt;=MOD(F$46,MAX(1,F$48)),1,0),0)</f>
        <v>0</v>
      </c>
      <c r="H70" s="14" t="n">
        <f aca="false">IF(AND(H$47,H$48&gt;0,LEN(TRIM($B30))&gt;0,H30=TRUE(),IF(H$50,$C30&lt;&gt;TRUE(),TRUE())),QUOTIENT(H$46,MAX(1,H$48))+IF(IF(H$50,SUMPRODUCT(--(LEN(TRIM($B$12:$B30))&gt;0),--(H$12:H30=TRUE()),--($C$12:$C30&lt;&gt;TRUE())),SUMPRODUCT(--(LEN(TRIM($B$12:$B30))&gt;0),--(H$12:H30=TRUE())))&lt;=MOD(H$46,MAX(1,H$48)),1,0),0)</f>
        <v>0</v>
      </c>
      <c r="J70" s="14" t="n">
        <f aca="false">IF(AND(J$47,J$48&gt;0,LEN(TRIM($B30))&gt;0,J30=TRUE(),IF(J$50,$C30&lt;&gt;TRUE(),TRUE())),QUOTIENT(J$46,MAX(1,J$48))+IF(IF(J$50,SUMPRODUCT(--(LEN(TRIM($B$12:$B30))&gt;0),--(J$12:J30=TRUE()),--($C$12:$C30&lt;&gt;TRUE())),SUMPRODUCT(--(LEN(TRIM($B$12:$B30))&gt;0),--(J$12:J30=TRUE())))&lt;=MOD(J$46,MAX(1,J$48)),1,0),0)</f>
        <v>0</v>
      </c>
      <c r="L70" s="14" t="n">
        <f aca="false">IF(AND(L$47,L$48&gt;0,LEN(TRIM($B30))&gt;0,L30=TRUE(),IF(L$50,$C30&lt;&gt;TRUE(),TRUE())),QUOTIENT(L$46,MAX(1,L$48))+IF(IF(L$50,SUMPRODUCT(--(LEN(TRIM($B$12:$B30))&gt;0),--(L$12:L30=TRUE()),--($C$12:$C30&lt;&gt;TRUE())),SUMPRODUCT(--(LEN(TRIM($B$12:$B30))&gt;0),--(L$12:L30=TRUE())))&lt;=MOD(L$46,MAX(1,L$48)),1,0),0)</f>
        <v>0</v>
      </c>
      <c r="N70" s="14" t="n">
        <f aca="false">IF(AND(N$47,N$48&gt;0,LEN(TRIM($B30))&gt;0,N30=TRUE(),IF(N$50,$C30&lt;&gt;TRUE(),TRUE())),QUOTIENT(N$46,MAX(1,N$48))+IF(IF(N$50,SUMPRODUCT(--(LEN(TRIM($B$12:$B30))&gt;0),--(N$12:N30=TRUE()),--($C$12:$C30&lt;&gt;TRUE())),SUMPRODUCT(--(LEN(TRIM($B$12:$B30))&gt;0),--(N$12:N30=TRUE())))&lt;=MOD(N$46,MAX(1,N$48)),1,0),0)</f>
        <v>0</v>
      </c>
      <c r="P70" s="14" t="n">
        <f aca="false">IF(AND(P$47,P$48&gt;0,LEN(TRIM($B30))&gt;0,P30=TRUE(),IF(P$50,$C30&lt;&gt;TRUE(),TRUE())),QUOTIENT(P$46,MAX(1,P$48))+IF(IF(P$50,SUMPRODUCT(--(LEN(TRIM($B$12:$B30))&gt;0),--(P$12:P30=TRUE()),--($C$12:$C30&lt;&gt;TRUE())),SUMPRODUCT(--(LEN(TRIM($B$12:$B30))&gt;0),--(P$12:P30=TRUE())))&lt;=MOD(P$46,MAX(1,P$48)),1,0),0)</f>
        <v>0</v>
      </c>
    </row>
    <row r="71" customFormat="false" ht="15" hidden="true" customHeight="false" outlineLevel="0" collapsed="false">
      <c r="A71" s="13" t="s">
        <v>37</v>
      </c>
      <c r="D71" s="14" t="n">
        <f aca="false">IF(AND(D$47,D$48&gt;0,LEN(TRIM($B31))&gt;0,D31=TRUE(),IF(D$50,$C31&lt;&gt;TRUE(),TRUE())),QUOTIENT(D$46,MAX(1,D$48))+IF(IF(D$50,SUMPRODUCT(--(LEN(TRIM($B$12:$B31))&gt;0),--(D$12:D31=TRUE()),--($C$12:$C31&lt;&gt;TRUE())),SUMPRODUCT(--(LEN(TRIM($B$12:$B31))&gt;0),--(D$12:D31=TRUE())))&lt;=MOD(D$46,MAX(1,D$48)),1,0),0)</f>
        <v>0</v>
      </c>
      <c r="F71" s="14" t="n">
        <f aca="false">IF(AND(F$47,F$48&gt;0,LEN(TRIM($B31))&gt;0,F31=TRUE(),IF(F$50,$C31&lt;&gt;TRUE(),TRUE())),QUOTIENT(F$46,MAX(1,F$48))+IF(IF(F$50,SUMPRODUCT(--(LEN(TRIM($B$12:$B31))&gt;0),--(F$12:F31=TRUE()),--($C$12:$C31&lt;&gt;TRUE())),SUMPRODUCT(--(LEN(TRIM($B$12:$B31))&gt;0),--(F$12:F31=TRUE())))&lt;=MOD(F$46,MAX(1,F$48)),1,0),0)</f>
        <v>0</v>
      </c>
      <c r="H71" s="14" t="n">
        <f aca="false">IF(AND(H$47,H$48&gt;0,LEN(TRIM($B31))&gt;0,H31=TRUE(),IF(H$50,$C31&lt;&gt;TRUE(),TRUE())),QUOTIENT(H$46,MAX(1,H$48))+IF(IF(H$50,SUMPRODUCT(--(LEN(TRIM($B$12:$B31))&gt;0),--(H$12:H31=TRUE()),--($C$12:$C31&lt;&gt;TRUE())),SUMPRODUCT(--(LEN(TRIM($B$12:$B31))&gt;0),--(H$12:H31=TRUE())))&lt;=MOD(H$46,MAX(1,H$48)),1,0),0)</f>
        <v>0</v>
      </c>
      <c r="J71" s="14" t="n">
        <f aca="false">IF(AND(J$47,J$48&gt;0,LEN(TRIM($B31))&gt;0,J31=TRUE(),IF(J$50,$C31&lt;&gt;TRUE(),TRUE())),QUOTIENT(J$46,MAX(1,J$48))+IF(IF(J$50,SUMPRODUCT(--(LEN(TRIM($B$12:$B31))&gt;0),--(J$12:J31=TRUE()),--($C$12:$C31&lt;&gt;TRUE())),SUMPRODUCT(--(LEN(TRIM($B$12:$B31))&gt;0),--(J$12:J31=TRUE())))&lt;=MOD(J$46,MAX(1,J$48)),1,0),0)</f>
        <v>0</v>
      </c>
      <c r="L71" s="14" t="n">
        <f aca="false">IF(AND(L$47,L$48&gt;0,LEN(TRIM($B31))&gt;0,L31=TRUE(),IF(L$50,$C31&lt;&gt;TRUE(),TRUE())),QUOTIENT(L$46,MAX(1,L$48))+IF(IF(L$50,SUMPRODUCT(--(LEN(TRIM($B$12:$B31))&gt;0),--(L$12:L31=TRUE()),--($C$12:$C31&lt;&gt;TRUE())),SUMPRODUCT(--(LEN(TRIM($B$12:$B31))&gt;0),--(L$12:L31=TRUE())))&lt;=MOD(L$46,MAX(1,L$48)),1,0),0)</f>
        <v>0</v>
      </c>
      <c r="N71" s="14" t="n">
        <f aca="false">IF(AND(N$47,N$48&gt;0,LEN(TRIM($B31))&gt;0,N31=TRUE(),IF(N$50,$C31&lt;&gt;TRUE(),TRUE())),QUOTIENT(N$46,MAX(1,N$48))+IF(IF(N$50,SUMPRODUCT(--(LEN(TRIM($B$12:$B31))&gt;0),--(N$12:N31=TRUE()),--($C$12:$C31&lt;&gt;TRUE())),SUMPRODUCT(--(LEN(TRIM($B$12:$B31))&gt;0),--(N$12:N31=TRUE())))&lt;=MOD(N$46,MAX(1,N$48)),1,0),0)</f>
        <v>0</v>
      </c>
      <c r="P71" s="14" t="n">
        <f aca="false">IF(AND(P$47,P$48&gt;0,LEN(TRIM($B31))&gt;0,P31=TRUE(),IF(P$50,$C31&lt;&gt;TRUE(),TRUE())),QUOTIENT(P$46,MAX(1,P$48))+IF(IF(P$50,SUMPRODUCT(--(LEN(TRIM($B$12:$B31))&gt;0),--(P$12:P31=TRUE()),--($C$12:$C31&lt;&gt;TRUE())),SUMPRODUCT(--(LEN(TRIM($B$12:$B31))&gt;0),--(P$12:P31=TRUE())))&lt;=MOD(P$46,MAX(1,P$48)),1,0),0)</f>
        <v>0</v>
      </c>
    </row>
    <row r="72" customFormat="false" ht="15" hidden="true" customHeight="false" outlineLevel="0" collapsed="false">
      <c r="A72" s="13" t="s">
        <v>38</v>
      </c>
      <c r="D72" s="14" t="n">
        <f aca="false">IF(AND(D$47,D$48&gt;0,LEN(TRIM($B32))&gt;0,D32=TRUE(),IF(D$50,$C32&lt;&gt;TRUE(),TRUE())),QUOTIENT(D$46,MAX(1,D$48))+IF(IF(D$50,SUMPRODUCT(--(LEN(TRIM($B$12:$B32))&gt;0),--(D$12:D32=TRUE()),--($C$12:$C32&lt;&gt;TRUE())),SUMPRODUCT(--(LEN(TRIM($B$12:$B32))&gt;0),--(D$12:D32=TRUE())))&lt;=MOD(D$46,MAX(1,D$48)),1,0),0)</f>
        <v>0</v>
      </c>
      <c r="F72" s="14" t="n">
        <f aca="false">IF(AND(F$47,F$48&gt;0,LEN(TRIM($B32))&gt;0,F32=TRUE(),IF(F$50,$C32&lt;&gt;TRUE(),TRUE())),QUOTIENT(F$46,MAX(1,F$48))+IF(IF(F$50,SUMPRODUCT(--(LEN(TRIM($B$12:$B32))&gt;0),--(F$12:F32=TRUE()),--($C$12:$C32&lt;&gt;TRUE())),SUMPRODUCT(--(LEN(TRIM($B$12:$B32))&gt;0),--(F$12:F32=TRUE())))&lt;=MOD(F$46,MAX(1,F$48)),1,0),0)</f>
        <v>0</v>
      </c>
      <c r="H72" s="14" t="n">
        <f aca="false">IF(AND(H$47,H$48&gt;0,LEN(TRIM($B32))&gt;0,H32=TRUE(),IF(H$50,$C32&lt;&gt;TRUE(),TRUE())),QUOTIENT(H$46,MAX(1,H$48))+IF(IF(H$50,SUMPRODUCT(--(LEN(TRIM($B$12:$B32))&gt;0),--(H$12:H32=TRUE()),--($C$12:$C32&lt;&gt;TRUE())),SUMPRODUCT(--(LEN(TRIM($B$12:$B32))&gt;0),--(H$12:H32=TRUE())))&lt;=MOD(H$46,MAX(1,H$48)),1,0),0)</f>
        <v>0</v>
      </c>
      <c r="J72" s="14" t="n">
        <f aca="false">IF(AND(J$47,J$48&gt;0,LEN(TRIM($B32))&gt;0,J32=TRUE(),IF(J$50,$C32&lt;&gt;TRUE(),TRUE())),QUOTIENT(J$46,MAX(1,J$48))+IF(IF(J$50,SUMPRODUCT(--(LEN(TRIM($B$12:$B32))&gt;0),--(J$12:J32=TRUE()),--($C$12:$C32&lt;&gt;TRUE())),SUMPRODUCT(--(LEN(TRIM($B$12:$B32))&gt;0),--(J$12:J32=TRUE())))&lt;=MOD(J$46,MAX(1,J$48)),1,0),0)</f>
        <v>0</v>
      </c>
      <c r="L72" s="14" t="n">
        <f aca="false">IF(AND(L$47,L$48&gt;0,LEN(TRIM($B32))&gt;0,L32=TRUE(),IF(L$50,$C32&lt;&gt;TRUE(),TRUE())),QUOTIENT(L$46,MAX(1,L$48))+IF(IF(L$50,SUMPRODUCT(--(LEN(TRIM($B$12:$B32))&gt;0),--(L$12:L32=TRUE()),--($C$12:$C32&lt;&gt;TRUE())),SUMPRODUCT(--(LEN(TRIM($B$12:$B32))&gt;0),--(L$12:L32=TRUE())))&lt;=MOD(L$46,MAX(1,L$48)),1,0),0)</f>
        <v>0</v>
      </c>
      <c r="N72" s="14" t="n">
        <f aca="false">IF(AND(N$47,N$48&gt;0,LEN(TRIM($B32))&gt;0,N32=TRUE(),IF(N$50,$C32&lt;&gt;TRUE(),TRUE())),QUOTIENT(N$46,MAX(1,N$48))+IF(IF(N$50,SUMPRODUCT(--(LEN(TRIM($B$12:$B32))&gt;0),--(N$12:N32=TRUE()),--($C$12:$C32&lt;&gt;TRUE())),SUMPRODUCT(--(LEN(TRIM($B$12:$B32))&gt;0),--(N$12:N32=TRUE())))&lt;=MOD(N$46,MAX(1,N$48)),1,0),0)</f>
        <v>0</v>
      </c>
      <c r="P72" s="14" t="n">
        <f aca="false">IF(AND(P$47,P$48&gt;0,LEN(TRIM($B32))&gt;0,P32=TRUE(),IF(P$50,$C32&lt;&gt;TRUE(),TRUE())),QUOTIENT(P$46,MAX(1,P$48))+IF(IF(P$50,SUMPRODUCT(--(LEN(TRIM($B$12:$B32))&gt;0),--(P$12:P32=TRUE()),--($C$12:$C32&lt;&gt;TRUE())),SUMPRODUCT(--(LEN(TRIM($B$12:$B32))&gt;0),--(P$12:P32=TRUE())))&lt;=MOD(P$46,MAX(1,P$48)),1,0),0)</f>
        <v>0</v>
      </c>
    </row>
    <row r="73" customFormat="false" ht="15" hidden="true" customHeight="false" outlineLevel="0" collapsed="false">
      <c r="A73" s="13" t="s">
        <v>39</v>
      </c>
      <c r="D73" s="14" t="n">
        <f aca="false">IF(AND(D$47,D$48&gt;0,LEN(TRIM($B33))&gt;0,D33=TRUE(),IF(D$50,$C33&lt;&gt;TRUE(),TRUE())),QUOTIENT(D$46,MAX(1,D$48))+IF(IF(D$50,SUMPRODUCT(--(LEN(TRIM($B$12:$B33))&gt;0),--(D$12:D33=TRUE()),--($C$12:$C33&lt;&gt;TRUE())),SUMPRODUCT(--(LEN(TRIM($B$12:$B33))&gt;0),--(D$12:D33=TRUE())))&lt;=MOD(D$46,MAX(1,D$48)),1,0),0)</f>
        <v>0</v>
      </c>
      <c r="F73" s="14" t="n">
        <f aca="false">IF(AND(F$47,F$48&gt;0,LEN(TRIM($B33))&gt;0,F33=TRUE(),IF(F$50,$C33&lt;&gt;TRUE(),TRUE())),QUOTIENT(F$46,MAX(1,F$48))+IF(IF(F$50,SUMPRODUCT(--(LEN(TRIM($B$12:$B33))&gt;0),--(F$12:F33=TRUE()),--($C$12:$C33&lt;&gt;TRUE())),SUMPRODUCT(--(LEN(TRIM($B$12:$B33))&gt;0),--(F$12:F33=TRUE())))&lt;=MOD(F$46,MAX(1,F$48)),1,0),0)</f>
        <v>0</v>
      </c>
      <c r="H73" s="14" t="n">
        <f aca="false">IF(AND(H$47,H$48&gt;0,LEN(TRIM($B33))&gt;0,H33=TRUE(),IF(H$50,$C33&lt;&gt;TRUE(),TRUE())),QUOTIENT(H$46,MAX(1,H$48))+IF(IF(H$50,SUMPRODUCT(--(LEN(TRIM($B$12:$B33))&gt;0),--(H$12:H33=TRUE()),--($C$12:$C33&lt;&gt;TRUE())),SUMPRODUCT(--(LEN(TRIM($B$12:$B33))&gt;0),--(H$12:H33=TRUE())))&lt;=MOD(H$46,MAX(1,H$48)),1,0),0)</f>
        <v>0</v>
      </c>
      <c r="J73" s="14" t="n">
        <f aca="false">IF(AND(J$47,J$48&gt;0,LEN(TRIM($B33))&gt;0,J33=TRUE(),IF(J$50,$C33&lt;&gt;TRUE(),TRUE())),QUOTIENT(J$46,MAX(1,J$48))+IF(IF(J$50,SUMPRODUCT(--(LEN(TRIM($B$12:$B33))&gt;0),--(J$12:J33=TRUE()),--($C$12:$C33&lt;&gt;TRUE())),SUMPRODUCT(--(LEN(TRIM($B$12:$B33))&gt;0),--(J$12:J33=TRUE())))&lt;=MOD(J$46,MAX(1,J$48)),1,0),0)</f>
        <v>0</v>
      </c>
      <c r="L73" s="14" t="n">
        <f aca="false">IF(AND(L$47,L$48&gt;0,LEN(TRIM($B33))&gt;0,L33=TRUE(),IF(L$50,$C33&lt;&gt;TRUE(),TRUE())),QUOTIENT(L$46,MAX(1,L$48))+IF(IF(L$50,SUMPRODUCT(--(LEN(TRIM($B$12:$B33))&gt;0),--(L$12:L33=TRUE()),--($C$12:$C33&lt;&gt;TRUE())),SUMPRODUCT(--(LEN(TRIM($B$12:$B33))&gt;0),--(L$12:L33=TRUE())))&lt;=MOD(L$46,MAX(1,L$48)),1,0),0)</f>
        <v>0</v>
      </c>
      <c r="N73" s="14" t="n">
        <f aca="false">IF(AND(N$47,N$48&gt;0,LEN(TRIM($B33))&gt;0,N33=TRUE(),IF(N$50,$C33&lt;&gt;TRUE(),TRUE())),QUOTIENT(N$46,MAX(1,N$48))+IF(IF(N$50,SUMPRODUCT(--(LEN(TRIM($B$12:$B33))&gt;0),--(N$12:N33=TRUE()),--($C$12:$C33&lt;&gt;TRUE())),SUMPRODUCT(--(LEN(TRIM($B$12:$B33))&gt;0),--(N$12:N33=TRUE())))&lt;=MOD(N$46,MAX(1,N$48)),1,0),0)</f>
        <v>0</v>
      </c>
      <c r="P73" s="14" t="n">
        <f aca="false">IF(AND(P$47,P$48&gt;0,LEN(TRIM($B33))&gt;0,P33=TRUE(),IF(P$50,$C33&lt;&gt;TRUE(),TRUE())),QUOTIENT(P$46,MAX(1,P$48))+IF(IF(P$50,SUMPRODUCT(--(LEN(TRIM($B$12:$B33))&gt;0),--(P$12:P33=TRUE()),--($C$12:$C33&lt;&gt;TRUE())),SUMPRODUCT(--(LEN(TRIM($B$12:$B33))&gt;0),--(P$12:P33=TRUE())))&lt;=MOD(P$46,MAX(1,P$48)),1,0),0)</f>
        <v>0</v>
      </c>
    </row>
    <row r="74" customFormat="false" ht="15" hidden="true" customHeight="false" outlineLevel="0" collapsed="false">
      <c r="A74" s="13" t="s">
        <v>40</v>
      </c>
      <c r="D74" s="14" t="n">
        <f aca="false">IF(AND(D$47,D$48&gt;0,LEN(TRIM($B34))&gt;0,D34=TRUE(),IF(D$50,$C34&lt;&gt;TRUE(),TRUE())),QUOTIENT(D$46,MAX(1,D$48))+IF(IF(D$50,SUMPRODUCT(--(LEN(TRIM($B$12:$B34))&gt;0),--(D$12:D34=TRUE()),--($C$12:$C34&lt;&gt;TRUE())),SUMPRODUCT(--(LEN(TRIM($B$12:$B34))&gt;0),--(D$12:D34=TRUE())))&lt;=MOD(D$46,MAX(1,D$48)),1,0),0)</f>
        <v>0</v>
      </c>
      <c r="F74" s="14" t="n">
        <f aca="false">IF(AND(F$47,F$48&gt;0,LEN(TRIM($B34))&gt;0,F34=TRUE(),IF(F$50,$C34&lt;&gt;TRUE(),TRUE())),QUOTIENT(F$46,MAX(1,F$48))+IF(IF(F$50,SUMPRODUCT(--(LEN(TRIM($B$12:$B34))&gt;0),--(F$12:F34=TRUE()),--($C$12:$C34&lt;&gt;TRUE())),SUMPRODUCT(--(LEN(TRIM($B$12:$B34))&gt;0),--(F$12:F34=TRUE())))&lt;=MOD(F$46,MAX(1,F$48)),1,0),0)</f>
        <v>0</v>
      </c>
      <c r="H74" s="14" t="n">
        <f aca="false">IF(AND(H$47,H$48&gt;0,LEN(TRIM($B34))&gt;0,H34=TRUE(),IF(H$50,$C34&lt;&gt;TRUE(),TRUE())),QUOTIENT(H$46,MAX(1,H$48))+IF(IF(H$50,SUMPRODUCT(--(LEN(TRIM($B$12:$B34))&gt;0),--(H$12:H34=TRUE()),--($C$12:$C34&lt;&gt;TRUE())),SUMPRODUCT(--(LEN(TRIM($B$12:$B34))&gt;0),--(H$12:H34=TRUE())))&lt;=MOD(H$46,MAX(1,H$48)),1,0),0)</f>
        <v>0</v>
      </c>
      <c r="J74" s="14" t="n">
        <f aca="false">IF(AND(J$47,J$48&gt;0,LEN(TRIM($B34))&gt;0,J34=TRUE(),IF(J$50,$C34&lt;&gt;TRUE(),TRUE())),QUOTIENT(J$46,MAX(1,J$48))+IF(IF(J$50,SUMPRODUCT(--(LEN(TRIM($B$12:$B34))&gt;0),--(J$12:J34=TRUE()),--($C$12:$C34&lt;&gt;TRUE())),SUMPRODUCT(--(LEN(TRIM($B$12:$B34))&gt;0),--(J$12:J34=TRUE())))&lt;=MOD(J$46,MAX(1,J$48)),1,0),0)</f>
        <v>0</v>
      </c>
      <c r="L74" s="14" t="n">
        <f aca="false">IF(AND(L$47,L$48&gt;0,LEN(TRIM($B34))&gt;0,L34=TRUE(),IF(L$50,$C34&lt;&gt;TRUE(),TRUE())),QUOTIENT(L$46,MAX(1,L$48))+IF(IF(L$50,SUMPRODUCT(--(LEN(TRIM($B$12:$B34))&gt;0),--(L$12:L34=TRUE()),--($C$12:$C34&lt;&gt;TRUE())),SUMPRODUCT(--(LEN(TRIM($B$12:$B34))&gt;0),--(L$12:L34=TRUE())))&lt;=MOD(L$46,MAX(1,L$48)),1,0),0)</f>
        <v>0</v>
      </c>
      <c r="N74" s="14" t="n">
        <f aca="false">IF(AND(N$47,N$48&gt;0,LEN(TRIM($B34))&gt;0,N34=TRUE(),IF(N$50,$C34&lt;&gt;TRUE(),TRUE())),QUOTIENT(N$46,MAX(1,N$48))+IF(IF(N$50,SUMPRODUCT(--(LEN(TRIM($B$12:$B34))&gt;0),--(N$12:N34=TRUE()),--($C$12:$C34&lt;&gt;TRUE())),SUMPRODUCT(--(LEN(TRIM($B$12:$B34))&gt;0),--(N$12:N34=TRUE())))&lt;=MOD(N$46,MAX(1,N$48)),1,0),0)</f>
        <v>0</v>
      </c>
      <c r="P74" s="14" t="n">
        <f aca="false">IF(AND(P$47,P$48&gt;0,LEN(TRIM($B34))&gt;0,P34=TRUE(),IF(P$50,$C34&lt;&gt;TRUE(),TRUE())),QUOTIENT(P$46,MAX(1,P$48))+IF(IF(P$50,SUMPRODUCT(--(LEN(TRIM($B$12:$B34))&gt;0),--(P$12:P34=TRUE()),--($C$12:$C34&lt;&gt;TRUE())),SUMPRODUCT(--(LEN(TRIM($B$12:$B34))&gt;0),--(P$12:P34=TRUE())))&lt;=MOD(P$46,MAX(1,P$48)),1,0),0)</f>
        <v>0</v>
      </c>
    </row>
    <row r="75" customFormat="false" ht="15" hidden="true" customHeight="false" outlineLevel="0" collapsed="false">
      <c r="A75" s="13" t="s">
        <v>41</v>
      </c>
      <c r="D75" s="14" t="n">
        <f aca="false">IF(AND(D$47,D$48&gt;0,LEN(TRIM($B35))&gt;0,D35=TRUE(),IF(D$50,$C35&lt;&gt;TRUE(),TRUE())),QUOTIENT(D$46,MAX(1,D$48))+IF(IF(D$50,SUMPRODUCT(--(LEN(TRIM($B$12:$B35))&gt;0),--(D$12:D35=TRUE()),--($C$12:$C35&lt;&gt;TRUE())),SUMPRODUCT(--(LEN(TRIM($B$12:$B35))&gt;0),--(D$12:D35=TRUE())))&lt;=MOD(D$46,MAX(1,D$48)),1,0),0)</f>
        <v>0</v>
      </c>
      <c r="F75" s="14" t="n">
        <f aca="false">IF(AND(F$47,F$48&gt;0,LEN(TRIM($B35))&gt;0,F35=TRUE(),IF(F$50,$C35&lt;&gt;TRUE(),TRUE())),QUOTIENT(F$46,MAX(1,F$48))+IF(IF(F$50,SUMPRODUCT(--(LEN(TRIM($B$12:$B35))&gt;0),--(F$12:F35=TRUE()),--($C$12:$C35&lt;&gt;TRUE())),SUMPRODUCT(--(LEN(TRIM($B$12:$B35))&gt;0),--(F$12:F35=TRUE())))&lt;=MOD(F$46,MAX(1,F$48)),1,0),0)</f>
        <v>0</v>
      </c>
      <c r="H75" s="14" t="n">
        <f aca="false">IF(AND(H$47,H$48&gt;0,LEN(TRIM($B35))&gt;0,H35=TRUE(),IF(H$50,$C35&lt;&gt;TRUE(),TRUE())),QUOTIENT(H$46,MAX(1,H$48))+IF(IF(H$50,SUMPRODUCT(--(LEN(TRIM($B$12:$B35))&gt;0),--(H$12:H35=TRUE()),--($C$12:$C35&lt;&gt;TRUE())),SUMPRODUCT(--(LEN(TRIM($B$12:$B35))&gt;0),--(H$12:H35=TRUE())))&lt;=MOD(H$46,MAX(1,H$48)),1,0),0)</f>
        <v>0</v>
      </c>
      <c r="J75" s="14" t="n">
        <f aca="false">IF(AND(J$47,J$48&gt;0,LEN(TRIM($B35))&gt;0,J35=TRUE(),IF(J$50,$C35&lt;&gt;TRUE(),TRUE())),QUOTIENT(J$46,MAX(1,J$48))+IF(IF(J$50,SUMPRODUCT(--(LEN(TRIM($B$12:$B35))&gt;0),--(J$12:J35=TRUE()),--($C$12:$C35&lt;&gt;TRUE())),SUMPRODUCT(--(LEN(TRIM($B$12:$B35))&gt;0),--(J$12:J35=TRUE())))&lt;=MOD(J$46,MAX(1,J$48)),1,0),0)</f>
        <v>0</v>
      </c>
      <c r="L75" s="14" t="n">
        <f aca="false">IF(AND(L$47,L$48&gt;0,LEN(TRIM($B35))&gt;0,L35=TRUE(),IF(L$50,$C35&lt;&gt;TRUE(),TRUE())),QUOTIENT(L$46,MAX(1,L$48))+IF(IF(L$50,SUMPRODUCT(--(LEN(TRIM($B$12:$B35))&gt;0),--(L$12:L35=TRUE()),--($C$12:$C35&lt;&gt;TRUE())),SUMPRODUCT(--(LEN(TRIM($B$12:$B35))&gt;0),--(L$12:L35=TRUE())))&lt;=MOD(L$46,MAX(1,L$48)),1,0),0)</f>
        <v>0</v>
      </c>
      <c r="N75" s="14" t="n">
        <f aca="false">IF(AND(N$47,N$48&gt;0,LEN(TRIM($B35))&gt;0,N35=TRUE(),IF(N$50,$C35&lt;&gt;TRUE(),TRUE())),QUOTIENT(N$46,MAX(1,N$48))+IF(IF(N$50,SUMPRODUCT(--(LEN(TRIM($B$12:$B35))&gt;0),--(N$12:N35=TRUE()),--($C$12:$C35&lt;&gt;TRUE())),SUMPRODUCT(--(LEN(TRIM($B$12:$B35))&gt;0),--(N$12:N35=TRUE())))&lt;=MOD(N$46,MAX(1,N$48)),1,0),0)</f>
        <v>0</v>
      </c>
      <c r="P75" s="14" t="n">
        <f aca="false">IF(AND(P$47,P$48&gt;0,LEN(TRIM($B35))&gt;0,P35=TRUE(),IF(P$50,$C35&lt;&gt;TRUE(),TRUE())),QUOTIENT(P$46,MAX(1,P$48))+IF(IF(P$50,SUMPRODUCT(--(LEN(TRIM($B$12:$B35))&gt;0),--(P$12:P35=TRUE()),--($C$12:$C35&lt;&gt;TRUE())),SUMPRODUCT(--(LEN(TRIM($B$12:$B35))&gt;0),--(P$12:P35=TRUE())))&lt;=MOD(P$46,MAX(1,P$48)),1,0),0)</f>
        <v>0</v>
      </c>
    </row>
    <row r="76" customFormat="false" ht="15" hidden="true" customHeight="false" outlineLevel="0" collapsed="false">
      <c r="A76" s="13" t="s">
        <v>42</v>
      </c>
      <c r="D76" s="14" t="n">
        <f aca="false">IF(AND(D$47,D$48&gt;0,LEN(TRIM($B36))&gt;0,D36=TRUE(),IF(D$50,$C36&lt;&gt;TRUE(),TRUE())),QUOTIENT(D$46,MAX(1,D$48))+IF(IF(D$50,SUMPRODUCT(--(LEN(TRIM($B$12:$B36))&gt;0),--(D$12:D36=TRUE()),--($C$12:$C36&lt;&gt;TRUE())),SUMPRODUCT(--(LEN(TRIM($B$12:$B36))&gt;0),--(D$12:D36=TRUE())))&lt;=MOD(D$46,MAX(1,D$48)),1,0),0)</f>
        <v>0</v>
      </c>
      <c r="F76" s="14" t="n">
        <f aca="false">IF(AND(F$47,F$48&gt;0,LEN(TRIM($B36))&gt;0,F36=TRUE(),IF(F$50,$C36&lt;&gt;TRUE(),TRUE())),QUOTIENT(F$46,MAX(1,F$48))+IF(IF(F$50,SUMPRODUCT(--(LEN(TRIM($B$12:$B36))&gt;0),--(F$12:F36=TRUE()),--($C$12:$C36&lt;&gt;TRUE())),SUMPRODUCT(--(LEN(TRIM($B$12:$B36))&gt;0),--(F$12:F36=TRUE())))&lt;=MOD(F$46,MAX(1,F$48)),1,0),0)</f>
        <v>0</v>
      </c>
      <c r="H76" s="14" t="n">
        <f aca="false">IF(AND(H$47,H$48&gt;0,LEN(TRIM($B36))&gt;0,H36=TRUE(),IF(H$50,$C36&lt;&gt;TRUE(),TRUE())),QUOTIENT(H$46,MAX(1,H$48))+IF(IF(H$50,SUMPRODUCT(--(LEN(TRIM($B$12:$B36))&gt;0),--(H$12:H36=TRUE()),--($C$12:$C36&lt;&gt;TRUE())),SUMPRODUCT(--(LEN(TRIM($B$12:$B36))&gt;0),--(H$12:H36=TRUE())))&lt;=MOD(H$46,MAX(1,H$48)),1,0),0)</f>
        <v>0</v>
      </c>
      <c r="J76" s="14" t="n">
        <f aca="false">IF(AND(J$47,J$48&gt;0,LEN(TRIM($B36))&gt;0,J36=TRUE(),IF(J$50,$C36&lt;&gt;TRUE(),TRUE())),QUOTIENT(J$46,MAX(1,J$48))+IF(IF(J$50,SUMPRODUCT(--(LEN(TRIM($B$12:$B36))&gt;0),--(J$12:J36=TRUE()),--($C$12:$C36&lt;&gt;TRUE())),SUMPRODUCT(--(LEN(TRIM($B$12:$B36))&gt;0),--(J$12:J36=TRUE())))&lt;=MOD(J$46,MAX(1,J$48)),1,0),0)</f>
        <v>0</v>
      </c>
      <c r="L76" s="14" t="n">
        <f aca="false">IF(AND(L$47,L$48&gt;0,LEN(TRIM($B36))&gt;0,L36=TRUE(),IF(L$50,$C36&lt;&gt;TRUE(),TRUE())),QUOTIENT(L$46,MAX(1,L$48))+IF(IF(L$50,SUMPRODUCT(--(LEN(TRIM($B$12:$B36))&gt;0),--(L$12:L36=TRUE()),--($C$12:$C36&lt;&gt;TRUE())),SUMPRODUCT(--(LEN(TRIM($B$12:$B36))&gt;0),--(L$12:L36=TRUE())))&lt;=MOD(L$46,MAX(1,L$48)),1,0),0)</f>
        <v>0</v>
      </c>
      <c r="N76" s="14" t="n">
        <f aca="false">IF(AND(N$47,N$48&gt;0,LEN(TRIM($B36))&gt;0,N36=TRUE(),IF(N$50,$C36&lt;&gt;TRUE(),TRUE())),QUOTIENT(N$46,MAX(1,N$48))+IF(IF(N$50,SUMPRODUCT(--(LEN(TRIM($B$12:$B36))&gt;0),--(N$12:N36=TRUE()),--($C$12:$C36&lt;&gt;TRUE())),SUMPRODUCT(--(LEN(TRIM($B$12:$B36))&gt;0),--(N$12:N36=TRUE())))&lt;=MOD(N$46,MAX(1,N$48)),1,0),0)</f>
        <v>0</v>
      </c>
      <c r="P76" s="14" t="n">
        <f aca="false">IF(AND(P$47,P$48&gt;0,LEN(TRIM($B36))&gt;0,P36=TRUE(),IF(P$50,$C36&lt;&gt;TRUE(),TRUE())),QUOTIENT(P$46,MAX(1,P$48))+IF(IF(P$50,SUMPRODUCT(--(LEN(TRIM($B$12:$B36))&gt;0),--(P$12:P36=TRUE()),--($C$12:$C36&lt;&gt;TRUE())),SUMPRODUCT(--(LEN(TRIM($B$12:$B36))&gt;0),--(P$12:P36=TRUE())))&lt;=MOD(P$46,MAX(1,P$48)),1,0),0)</f>
        <v>0</v>
      </c>
    </row>
    <row r="77" customFormat="false" ht="15" hidden="true" customHeight="false" outlineLevel="0" collapsed="false">
      <c r="A77" s="13" t="s">
        <v>43</v>
      </c>
      <c r="D77" s="14" t="n">
        <f aca="false">IF(AND(D$47,D$48&gt;0,LEN(TRIM($B37))&gt;0,D37=TRUE(),IF(D$50,$C37&lt;&gt;TRUE(),TRUE())),QUOTIENT(D$46,MAX(1,D$48))+IF(IF(D$50,SUMPRODUCT(--(LEN(TRIM($B$12:$B37))&gt;0),--(D$12:D37=TRUE()),--($C$12:$C37&lt;&gt;TRUE())),SUMPRODUCT(--(LEN(TRIM($B$12:$B37))&gt;0),--(D$12:D37=TRUE())))&lt;=MOD(D$46,MAX(1,D$48)),1,0),0)</f>
        <v>0</v>
      </c>
      <c r="F77" s="14" t="n">
        <f aca="false">IF(AND(F$47,F$48&gt;0,LEN(TRIM($B37))&gt;0,F37=TRUE(),IF(F$50,$C37&lt;&gt;TRUE(),TRUE())),QUOTIENT(F$46,MAX(1,F$48))+IF(IF(F$50,SUMPRODUCT(--(LEN(TRIM($B$12:$B37))&gt;0),--(F$12:F37=TRUE()),--($C$12:$C37&lt;&gt;TRUE())),SUMPRODUCT(--(LEN(TRIM($B$12:$B37))&gt;0),--(F$12:F37=TRUE())))&lt;=MOD(F$46,MAX(1,F$48)),1,0),0)</f>
        <v>0</v>
      </c>
      <c r="H77" s="14" t="n">
        <f aca="false">IF(AND(H$47,H$48&gt;0,LEN(TRIM($B37))&gt;0,H37=TRUE(),IF(H$50,$C37&lt;&gt;TRUE(),TRUE())),QUOTIENT(H$46,MAX(1,H$48))+IF(IF(H$50,SUMPRODUCT(--(LEN(TRIM($B$12:$B37))&gt;0),--(H$12:H37=TRUE()),--($C$12:$C37&lt;&gt;TRUE())),SUMPRODUCT(--(LEN(TRIM($B$12:$B37))&gt;0),--(H$12:H37=TRUE())))&lt;=MOD(H$46,MAX(1,H$48)),1,0),0)</f>
        <v>0</v>
      </c>
      <c r="J77" s="14" t="n">
        <f aca="false">IF(AND(J$47,J$48&gt;0,LEN(TRIM($B37))&gt;0,J37=TRUE(),IF(J$50,$C37&lt;&gt;TRUE(),TRUE())),QUOTIENT(J$46,MAX(1,J$48))+IF(IF(J$50,SUMPRODUCT(--(LEN(TRIM($B$12:$B37))&gt;0),--(J$12:J37=TRUE()),--($C$12:$C37&lt;&gt;TRUE())),SUMPRODUCT(--(LEN(TRIM($B$12:$B37))&gt;0),--(J$12:J37=TRUE())))&lt;=MOD(J$46,MAX(1,J$48)),1,0),0)</f>
        <v>0</v>
      </c>
      <c r="L77" s="14" t="n">
        <f aca="false">IF(AND(L$47,L$48&gt;0,LEN(TRIM($B37))&gt;0,L37=TRUE(),IF(L$50,$C37&lt;&gt;TRUE(),TRUE())),QUOTIENT(L$46,MAX(1,L$48))+IF(IF(L$50,SUMPRODUCT(--(LEN(TRIM($B$12:$B37))&gt;0),--(L$12:L37=TRUE()),--($C$12:$C37&lt;&gt;TRUE())),SUMPRODUCT(--(LEN(TRIM($B$12:$B37))&gt;0),--(L$12:L37=TRUE())))&lt;=MOD(L$46,MAX(1,L$48)),1,0),0)</f>
        <v>0</v>
      </c>
      <c r="N77" s="14" t="n">
        <f aca="false">IF(AND(N$47,N$48&gt;0,LEN(TRIM($B37))&gt;0,N37=TRUE(),IF(N$50,$C37&lt;&gt;TRUE(),TRUE())),QUOTIENT(N$46,MAX(1,N$48))+IF(IF(N$50,SUMPRODUCT(--(LEN(TRIM($B$12:$B37))&gt;0),--(N$12:N37=TRUE()),--($C$12:$C37&lt;&gt;TRUE())),SUMPRODUCT(--(LEN(TRIM($B$12:$B37))&gt;0),--(N$12:N37=TRUE())))&lt;=MOD(N$46,MAX(1,N$48)),1,0),0)</f>
        <v>0</v>
      </c>
      <c r="P77" s="14" t="n">
        <f aca="false">IF(AND(P$47,P$48&gt;0,LEN(TRIM($B37))&gt;0,P37=TRUE(),IF(P$50,$C37&lt;&gt;TRUE(),TRUE())),QUOTIENT(P$46,MAX(1,P$48))+IF(IF(P$50,SUMPRODUCT(--(LEN(TRIM($B$12:$B37))&gt;0),--(P$12:P37=TRUE()),--($C$12:$C37&lt;&gt;TRUE())),SUMPRODUCT(--(LEN(TRIM($B$12:$B37))&gt;0),--(P$12:P37=TRUE())))&lt;=MOD(P$46,MAX(1,P$48)),1,0),0)</f>
        <v>0</v>
      </c>
    </row>
    <row r="78" customFormat="false" ht="15" hidden="true" customHeight="false" outlineLevel="0" collapsed="false">
      <c r="A78" s="13" t="s">
        <v>44</v>
      </c>
      <c r="D78" s="14" t="n">
        <f aca="false">IF(AND(D$47,D$48&gt;0,LEN(TRIM($B38))&gt;0,D38=TRUE(),IF(D$50,$C38&lt;&gt;TRUE(),TRUE())),QUOTIENT(D$46,MAX(1,D$48))+IF(IF(D$50,SUMPRODUCT(--(LEN(TRIM($B$12:$B38))&gt;0),--(D$12:D38=TRUE()),--($C$12:$C38&lt;&gt;TRUE())),SUMPRODUCT(--(LEN(TRIM($B$12:$B38))&gt;0),--(D$12:D38=TRUE())))&lt;=MOD(D$46,MAX(1,D$48)),1,0),0)</f>
        <v>0</v>
      </c>
      <c r="F78" s="14" t="n">
        <f aca="false">IF(AND(F$47,F$48&gt;0,LEN(TRIM($B38))&gt;0,F38=TRUE(),IF(F$50,$C38&lt;&gt;TRUE(),TRUE())),QUOTIENT(F$46,MAX(1,F$48))+IF(IF(F$50,SUMPRODUCT(--(LEN(TRIM($B$12:$B38))&gt;0),--(F$12:F38=TRUE()),--($C$12:$C38&lt;&gt;TRUE())),SUMPRODUCT(--(LEN(TRIM($B$12:$B38))&gt;0),--(F$12:F38=TRUE())))&lt;=MOD(F$46,MAX(1,F$48)),1,0),0)</f>
        <v>0</v>
      </c>
      <c r="H78" s="14" t="n">
        <f aca="false">IF(AND(H$47,H$48&gt;0,LEN(TRIM($B38))&gt;0,H38=TRUE(),IF(H$50,$C38&lt;&gt;TRUE(),TRUE())),QUOTIENT(H$46,MAX(1,H$48))+IF(IF(H$50,SUMPRODUCT(--(LEN(TRIM($B$12:$B38))&gt;0),--(H$12:H38=TRUE()),--($C$12:$C38&lt;&gt;TRUE())),SUMPRODUCT(--(LEN(TRIM($B$12:$B38))&gt;0),--(H$12:H38=TRUE())))&lt;=MOD(H$46,MAX(1,H$48)),1,0),0)</f>
        <v>0</v>
      </c>
      <c r="J78" s="14" t="n">
        <f aca="false">IF(AND(J$47,J$48&gt;0,LEN(TRIM($B38))&gt;0,J38=TRUE(),IF(J$50,$C38&lt;&gt;TRUE(),TRUE())),QUOTIENT(J$46,MAX(1,J$48))+IF(IF(J$50,SUMPRODUCT(--(LEN(TRIM($B$12:$B38))&gt;0),--(J$12:J38=TRUE()),--($C$12:$C38&lt;&gt;TRUE())),SUMPRODUCT(--(LEN(TRIM($B$12:$B38))&gt;0),--(J$12:J38=TRUE())))&lt;=MOD(J$46,MAX(1,J$48)),1,0),0)</f>
        <v>0</v>
      </c>
      <c r="L78" s="14" t="n">
        <f aca="false">IF(AND(L$47,L$48&gt;0,LEN(TRIM($B38))&gt;0,L38=TRUE(),IF(L$50,$C38&lt;&gt;TRUE(),TRUE())),QUOTIENT(L$46,MAX(1,L$48))+IF(IF(L$50,SUMPRODUCT(--(LEN(TRIM($B$12:$B38))&gt;0),--(L$12:L38=TRUE()),--($C$12:$C38&lt;&gt;TRUE())),SUMPRODUCT(--(LEN(TRIM($B$12:$B38))&gt;0),--(L$12:L38=TRUE())))&lt;=MOD(L$46,MAX(1,L$48)),1,0),0)</f>
        <v>0</v>
      </c>
      <c r="N78" s="14" t="n">
        <f aca="false">IF(AND(N$47,N$48&gt;0,LEN(TRIM($B38))&gt;0,N38=TRUE(),IF(N$50,$C38&lt;&gt;TRUE(),TRUE())),QUOTIENT(N$46,MAX(1,N$48))+IF(IF(N$50,SUMPRODUCT(--(LEN(TRIM($B$12:$B38))&gt;0),--(N$12:N38=TRUE()),--($C$12:$C38&lt;&gt;TRUE())),SUMPRODUCT(--(LEN(TRIM($B$12:$B38))&gt;0),--(N$12:N38=TRUE())))&lt;=MOD(N$46,MAX(1,N$48)),1,0),0)</f>
        <v>0</v>
      </c>
      <c r="P78" s="14" t="n">
        <f aca="false">IF(AND(P$47,P$48&gt;0,LEN(TRIM($B38))&gt;0,P38=TRUE(),IF(P$50,$C38&lt;&gt;TRUE(),TRUE())),QUOTIENT(P$46,MAX(1,P$48))+IF(IF(P$50,SUMPRODUCT(--(LEN(TRIM($B$12:$B38))&gt;0),--(P$12:P38=TRUE()),--($C$12:$C38&lt;&gt;TRUE())),SUMPRODUCT(--(LEN(TRIM($B$12:$B38))&gt;0),--(P$12:P38=TRUE())))&lt;=MOD(P$46,MAX(1,P$48)),1,0),0)</f>
        <v>0</v>
      </c>
    </row>
    <row r="79" customFormat="false" ht="15" hidden="true" customHeight="false" outlineLevel="0" collapsed="false">
      <c r="A79" s="13" t="s">
        <v>45</v>
      </c>
      <c r="D79" s="14" t="n">
        <f aca="false">IF(AND(D$47,D$48&gt;0,LEN(TRIM($B39))&gt;0,D39=TRUE(),IF(D$50,$C39&lt;&gt;TRUE(),TRUE())),QUOTIENT(D$46,MAX(1,D$48))+IF(IF(D$50,SUMPRODUCT(--(LEN(TRIM($B$12:$B39))&gt;0),--(D$12:D39=TRUE()),--($C$12:$C39&lt;&gt;TRUE())),SUMPRODUCT(--(LEN(TRIM($B$12:$B39))&gt;0),--(D$12:D39=TRUE())))&lt;=MOD(D$46,MAX(1,D$48)),1,0),0)</f>
        <v>0</v>
      </c>
      <c r="F79" s="14" t="n">
        <f aca="false">IF(AND(F$47,F$48&gt;0,LEN(TRIM($B39))&gt;0,F39=TRUE(),IF(F$50,$C39&lt;&gt;TRUE(),TRUE())),QUOTIENT(F$46,MAX(1,F$48))+IF(IF(F$50,SUMPRODUCT(--(LEN(TRIM($B$12:$B39))&gt;0),--(F$12:F39=TRUE()),--($C$12:$C39&lt;&gt;TRUE())),SUMPRODUCT(--(LEN(TRIM($B$12:$B39))&gt;0),--(F$12:F39=TRUE())))&lt;=MOD(F$46,MAX(1,F$48)),1,0),0)</f>
        <v>0</v>
      </c>
      <c r="H79" s="14" t="n">
        <f aca="false">IF(AND(H$47,H$48&gt;0,LEN(TRIM($B39))&gt;0,H39=TRUE(),IF(H$50,$C39&lt;&gt;TRUE(),TRUE())),QUOTIENT(H$46,MAX(1,H$48))+IF(IF(H$50,SUMPRODUCT(--(LEN(TRIM($B$12:$B39))&gt;0),--(H$12:H39=TRUE()),--($C$12:$C39&lt;&gt;TRUE())),SUMPRODUCT(--(LEN(TRIM($B$12:$B39))&gt;0),--(H$12:H39=TRUE())))&lt;=MOD(H$46,MAX(1,H$48)),1,0),0)</f>
        <v>0</v>
      </c>
      <c r="J79" s="14" t="n">
        <f aca="false">IF(AND(J$47,J$48&gt;0,LEN(TRIM($B39))&gt;0,J39=TRUE(),IF(J$50,$C39&lt;&gt;TRUE(),TRUE())),QUOTIENT(J$46,MAX(1,J$48))+IF(IF(J$50,SUMPRODUCT(--(LEN(TRIM($B$12:$B39))&gt;0),--(J$12:J39=TRUE()),--($C$12:$C39&lt;&gt;TRUE())),SUMPRODUCT(--(LEN(TRIM($B$12:$B39))&gt;0),--(J$12:J39=TRUE())))&lt;=MOD(J$46,MAX(1,J$48)),1,0),0)</f>
        <v>0</v>
      </c>
      <c r="L79" s="14" t="n">
        <f aca="false">IF(AND(L$47,L$48&gt;0,LEN(TRIM($B39))&gt;0,L39=TRUE(),IF(L$50,$C39&lt;&gt;TRUE(),TRUE())),QUOTIENT(L$46,MAX(1,L$48))+IF(IF(L$50,SUMPRODUCT(--(LEN(TRIM($B$12:$B39))&gt;0),--(L$12:L39=TRUE()),--($C$12:$C39&lt;&gt;TRUE())),SUMPRODUCT(--(LEN(TRIM($B$12:$B39))&gt;0),--(L$12:L39=TRUE())))&lt;=MOD(L$46,MAX(1,L$48)),1,0),0)</f>
        <v>0</v>
      </c>
      <c r="N79" s="14" t="n">
        <f aca="false">IF(AND(N$47,N$48&gt;0,LEN(TRIM($B39))&gt;0,N39=TRUE(),IF(N$50,$C39&lt;&gt;TRUE(),TRUE())),QUOTIENT(N$46,MAX(1,N$48))+IF(IF(N$50,SUMPRODUCT(--(LEN(TRIM($B$12:$B39))&gt;0),--(N$12:N39=TRUE()),--($C$12:$C39&lt;&gt;TRUE())),SUMPRODUCT(--(LEN(TRIM($B$12:$B39))&gt;0),--(N$12:N39=TRUE())))&lt;=MOD(N$46,MAX(1,N$48)),1,0),0)</f>
        <v>0</v>
      </c>
      <c r="P79" s="14" t="n">
        <f aca="false">IF(AND(P$47,P$48&gt;0,LEN(TRIM($B39))&gt;0,P39=TRUE(),IF(P$50,$C39&lt;&gt;TRUE(),TRUE())),QUOTIENT(P$46,MAX(1,P$48))+IF(IF(P$50,SUMPRODUCT(--(LEN(TRIM($B$12:$B39))&gt;0),--(P$12:P39=TRUE()),--($C$12:$C39&lt;&gt;TRUE())),SUMPRODUCT(--(LEN(TRIM($B$12:$B39))&gt;0),--(P$12:P39=TRUE())))&lt;=MOD(P$46,MAX(1,P$48)),1,0),0)</f>
        <v>0</v>
      </c>
    </row>
    <row r="80" customFormat="false" ht="15" hidden="true" customHeight="false" outlineLevel="0" collapsed="false">
      <c r="A80" s="13" t="s">
        <v>46</v>
      </c>
      <c r="D80" s="14" t="n">
        <f aca="false">IF(AND(D$47,D$48&gt;0,LEN(TRIM($B40))&gt;0,D40=TRUE(),IF(D$50,$C40&lt;&gt;TRUE(),TRUE())),QUOTIENT(D$46,MAX(1,D$48))+IF(IF(D$50,SUMPRODUCT(--(LEN(TRIM($B$12:$B40))&gt;0),--(D$12:D40=TRUE()),--($C$12:$C40&lt;&gt;TRUE())),SUMPRODUCT(--(LEN(TRIM($B$12:$B40))&gt;0),--(D$12:D40=TRUE())))&lt;=MOD(D$46,MAX(1,D$48)),1,0),0)</f>
        <v>0</v>
      </c>
      <c r="F80" s="14" t="n">
        <f aca="false">IF(AND(F$47,F$48&gt;0,LEN(TRIM($B40))&gt;0,F40=TRUE(),IF(F$50,$C40&lt;&gt;TRUE(),TRUE())),QUOTIENT(F$46,MAX(1,F$48))+IF(IF(F$50,SUMPRODUCT(--(LEN(TRIM($B$12:$B40))&gt;0),--(F$12:F40=TRUE()),--($C$12:$C40&lt;&gt;TRUE())),SUMPRODUCT(--(LEN(TRIM($B$12:$B40))&gt;0),--(F$12:F40=TRUE())))&lt;=MOD(F$46,MAX(1,F$48)),1,0),0)</f>
        <v>0</v>
      </c>
      <c r="H80" s="14" t="n">
        <f aca="false">IF(AND(H$47,H$48&gt;0,LEN(TRIM($B40))&gt;0,H40=TRUE(),IF(H$50,$C40&lt;&gt;TRUE(),TRUE())),QUOTIENT(H$46,MAX(1,H$48))+IF(IF(H$50,SUMPRODUCT(--(LEN(TRIM($B$12:$B40))&gt;0),--(H$12:H40=TRUE()),--($C$12:$C40&lt;&gt;TRUE())),SUMPRODUCT(--(LEN(TRIM($B$12:$B40))&gt;0),--(H$12:H40=TRUE())))&lt;=MOD(H$46,MAX(1,H$48)),1,0),0)</f>
        <v>0</v>
      </c>
      <c r="J80" s="14" t="n">
        <f aca="false">IF(AND(J$47,J$48&gt;0,LEN(TRIM($B40))&gt;0,J40=TRUE(),IF(J$50,$C40&lt;&gt;TRUE(),TRUE())),QUOTIENT(J$46,MAX(1,J$48))+IF(IF(J$50,SUMPRODUCT(--(LEN(TRIM($B$12:$B40))&gt;0),--(J$12:J40=TRUE()),--($C$12:$C40&lt;&gt;TRUE())),SUMPRODUCT(--(LEN(TRIM($B$12:$B40))&gt;0),--(J$12:J40=TRUE())))&lt;=MOD(J$46,MAX(1,J$48)),1,0),0)</f>
        <v>0</v>
      </c>
      <c r="L80" s="14" t="n">
        <f aca="false">IF(AND(L$47,L$48&gt;0,LEN(TRIM($B40))&gt;0,L40=TRUE(),IF(L$50,$C40&lt;&gt;TRUE(),TRUE())),QUOTIENT(L$46,MAX(1,L$48))+IF(IF(L$50,SUMPRODUCT(--(LEN(TRIM($B$12:$B40))&gt;0),--(L$12:L40=TRUE()),--($C$12:$C40&lt;&gt;TRUE())),SUMPRODUCT(--(LEN(TRIM($B$12:$B40))&gt;0),--(L$12:L40=TRUE())))&lt;=MOD(L$46,MAX(1,L$48)),1,0),0)</f>
        <v>0</v>
      </c>
      <c r="N80" s="14" t="n">
        <f aca="false">IF(AND(N$47,N$48&gt;0,LEN(TRIM($B40))&gt;0,N40=TRUE(),IF(N$50,$C40&lt;&gt;TRUE(),TRUE())),QUOTIENT(N$46,MAX(1,N$48))+IF(IF(N$50,SUMPRODUCT(--(LEN(TRIM($B$12:$B40))&gt;0),--(N$12:N40=TRUE()),--($C$12:$C40&lt;&gt;TRUE())),SUMPRODUCT(--(LEN(TRIM($B$12:$B40))&gt;0),--(N$12:N40=TRUE())))&lt;=MOD(N$46,MAX(1,N$48)),1,0),0)</f>
        <v>0</v>
      </c>
      <c r="P80" s="14" t="n">
        <f aca="false">IF(AND(P$47,P$48&gt;0,LEN(TRIM($B40))&gt;0,P40=TRUE(),IF(P$50,$C40&lt;&gt;TRUE(),TRUE())),QUOTIENT(P$46,MAX(1,P$48))+IF(IF(P$50,SUMPRODUCT(--(LEN(TRIM($B$12:$B40))&gt;0),--(P$12:P40=TRUE()),--($C$12:$C40&lt;&gt;TRUE())),SUMPRODUCT(--(LEN(TRIM($B$12:$B40))&gt;0),--(P$12:P40=TRUE())))&lt;=MOD(P$46,MAX(1,P$48)),1,0),0)</f>
        <v>0</v>
      </c>
    </row>
    <row r="81" customFormat="false" ht="15" hidden="true" customHeight="false" outlineLevel="0" collapsed="false">
      <c r="A81" s="13" t="s">
        <v>47</v>
      </c>
      <c r="D81" s="14" t="n">
        <f aca="false">IF(AND(D$47,D$48&gt;0,LEN(TRIM($B41))&gt;0,D41=TRUE(),IF(D$50,$C41&lt;&gt;TRUE(),TRUE())),QUOTIENT(D$46,MAX(1,D$48))+IF(IF(D$50,SUMPRODUCT(--(LEN(TRIM($B$12:$B41))&gt;0),--(D$12:D41=TRUE()),--($C$12:$C41&lt;&gt;TRUE())),SUMPRODUCT(--(LEN(TRIM($B$12:$B41))&gt;0),--(D$12:D41=TRUE())))&lt;=MOD(D$46,MAX(1,D$48)),1,0),0)</f>
        <v>0</v>
      </c>
      <c r="F81" s="14" t="n">
        <f aca="false">IF(AND(F$47,F$48&gt;0,LEN(TRIM($B41))&gt;0,F41=TRUE(),IF(F$50,$C41&lt;&gt;TRUE(),TRUE())),QUOTIENT(F$46,MAX(1,F$48))+IF(IF(F$50,SUMPRODUCT(--(LEN(TRIM($B$12:$B41))&gt;0),--(F$12:F41=TRUE()),--($C$12:$C41&lt;&gt;TRUE())),SUMPRODUCT(--(LEN(TRIM($B$12:$B41))&gt;0),--(F$12:F41=TRUE())))&lt;=MOD(F$46,MAX(1,F$48)),1,0),0)</f>
        <v>0</v>
      </c>
      <c r="H81" s="14" t="n">
        <f aca="false">IF(AND(H$47,H$48&gt;0,LEN(TRIM($B41))&gt;0,H41=TRUE(),IF(H$50,$C41&lt;&gt;TRUE(),TRUE())),QUOTIENT(H$46,MAX(1,H$48))+IF(IF(H$50,SUMPRODUCT(--(LEN(TRIM($B$12:$B41))&gt;0),--(H$12:H41=TRUE()),--($C$12:$C41&lt;&gt;TRUE())),SUMPRODUCT(--(LEN(TRIM($B$12:$B41))&gt;0),--(H$12:H41=TRUE())))&lt;=MOD(H$46,MAX(1,H$48)),1,0),0)</f>
        <v>0</v>
      </c>
      <c r="J81" s="14" t="n">
        <f aca="false">IF(AND(J$47,J$48&gt;0,LEN(TRIM($B41))&gt;0,J41=TRUE(),IF(J$50,$C41&lt;&gt;TRUE(),TRUE())),QUOTIENT(J$46,MAX(1,J$48))+IF(IF(J$50,SUMPRODUCT(--(LEN(TRIM($B$12:$B41))&gt;0),--(J$12:J41=TRUE()),--($C$12:$C41&lt;&gt;TRUE())),SUMPRODUCT(--(LEN(TRIM($B$12:$B41))&gt;0),--(J$12:J41=TRUE())))&lt;=MOD(J$46,MAX(1,J$48)),1,0),0)</f>
        <v>0</v>
      </c>
      <c r="L81" s="14" t="n">
        <f aca="false">IF(AND(L$47,L$48&gt;0,LEN(TRIM($B41))&gt;0,L41=TRUE(),IF(L$50,$C41&lt;&gt;TRUE(),TRUE())),QUOTIENT(L$46,MAX(1,L$48))+IF(IF(L$50,SUMPRODUCT(--(LEN(TRIM($B$12:$B41))&gt;0),--(L$12:L41=TRUE()),--($C$12:$C41&lt;&gt;TRUE())),SUMPRODUCT(--(LEN(TRIM($B$12:$B41))&gt;0),--(L$12:L41=TRUE())))&lt;=MOD(L$46,MAX(1,L$48)),1,0),0)</f>
        <v>0</v>
      </c>
      <c r="N81" s="14" t="n">
        <f aca="false">IF(AND(N$47,N$48&gt;0,LEN(TRIM($B41))&gt;0,N41=TRUE(),IF(N$50,$C41&lt;&gt;TRUE(),TRUE())),QUOTIENT(N$46,MAX(1,N$48))+IF(IF(N$50,SUMPRODUCT(--(LEN(TRIM($B$12:$B41))&gt;0),--(N$12:N41=TRUE()),--($C$12:$C41&lt;&gt;TRUE())),SUMPRODUCT(--(LEN(TRIM($B$12:$B41))&gt;0),--(N$12:N41=TRUE())))&lt;=MOD(N$46,MAX(1,N$48)),1,0),0)</f>
        <v>0</v>
      </c>
      <c r="P81" s="14" t="n">
        <f aca="false">IF(AND(P$47,P$48&gt;0,LEN(TRIM($B41))&gt;0,P41=TRUE(),IF(P$50,$C41&lt;&gt;TRUE(),TRUE())),QUOTIENT(P$46,MAX(1,P$48))+IF(IF(P$50,SUMPRODUCT(--(LEN(TRIM($B$12:$B41))&gt;0),--(P$12:P41=TRUE()),--($C$12:$C41&lt;&gt;TRUE())),SUMPRODUCT(--(LEN(TRIM($B$12:$B41))&gt;0),--(P$12:P41=TRUE())))&lt;=MOD(P$46,MAX(1,P$48)),1,0),0)</f>
        <v>0</v>
      </c>
    </row>
  </sheetData>
  <mergeCells count="28">
    <mergeCell ref="D4:E4"/>
    <mergeCell ref="F4:G4"/>
    <mergeCell ref="H4:I4"/>
    <mergeCell ref="J4:K4"/>
    <mergeCell ref="L4:M4"/>
    <mergeCell ref="N4:O4"/>
    <mergeCell ref="P4:Q4"/>
    <mergeCell ref="D5:E5"/>
    <mergeCell ref="F5:G5"/>
    <mergeCell ref="H5:I5"/>
    <mergeCell ref="J5:K5"/>
    <mergeCell ref="L5:M5"/>
    <mergeCell ref="N5:O5"/>
    <mergeCell ref="P5:Q5"/>
    <mergeCell ref="D9:E9"/>
    <mergeCell ref="F9:G9"/>
    <mergeCell ref="H9:I9"/>
    <mergeCell ref="J9:K9"/>
    <mergeCell ref="L9:M9"/>
    <mergeCell ref="N9:O9"/>
    <mergeCell ref="P9:Q9"/>
    <mergeCell ref="D10:E10"/>
    <mergeCell ref="F10:G10"/>
    <mergeCell ref="H10:I10"/>
    <mergeCell ref="J10:K10"/>
    <mergeCell ref="L10:M10"/>
    <mergeCell ref="N10:O10"/>
    <mergeCell ref="P10:Q10"/>
  </mergeCells>
  <dataValidations count="30"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3" type="custom">
      <formula1>OR(C3=1,C3=0)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12:C41" type="custom">
      <formula1>OR(C12=1,C12=0)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D12:D41" type="custom">
      <formula1>OR(D12=1,D12=0)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F12:F41" type="custom">
      <formula1>OR(F12=1,F12=0)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H12:H41" type="custom">
      <formula1>OR(H12=1,H12=0)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J12:J41" type="custom">
      <formula1>OR(J12=1,J12=0)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L12:L41" type="custom">
      <formula1>OR(L12=1,L12=0)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N12:N41" type="custom">
      <formula1>OR(N12=1,N12=0)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P12:P41" type="custom">
      <formula1>OR(P12=1,P12=0)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D5:E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6" type="custom">
      <formula1>OR(LEN(TRIM(D6&amp;""))=0,IFERROR(AND(ISNUMBER(D6),D6&gt;=0,D6&lt;=100000000,ROUND(D6,1)=D6),0))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F5:G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6" type="custom">
      <formula1>OR(LEN(TRIM(F6&amp;""))=0,IFERROR(AND(ISNUMBER(F6),F6&gt;=0,F6&lt;=100000000,ROUND(F6,1)=F6),0))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H5:I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6" type="custom">
      <formula1>OR(LEN(TRIM(H6&amp;""))=0,IFERROR(AND(ISNUMBER(H6),H6&gt;=0,H6&lt;=100000000,ROUND(H6,1)=H6),0))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J5:K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6" type="custom">
      <formula1>OR(LEN(TRIM(J6&amp;""))=0,IFERROR(AND(ISNUMBER(J6),J6&gt;=0,J6&lt;=100000000,ROUND(J6,1)=J6),0))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L5:M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6" type="custom">
      <formula1>OR(LEN(TRIM(L6&amp;""))=0,IFERROR(AND(ISNUMBER(L6),L6&gt;=0,L6&lt;=100000000,ROUND(L6,1)=L6),0))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N5:O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6" type="custom">
      <formula1>OR(LEN(TRIM(N6&amp;""))=0,IFERROR(AND(ISNUMBER(N6),N6&gt;=0,N6&lt;=100000000,ROUND(N6,1)=N6),0))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P5:Q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6" type="custom">
      <formula1>OR(LEN(TRIM(P6&amp;""))=0,IFERROR(AND(ISNUMBER(P6),P6&gt;=0,P6&lt;=100000000,ROUND(P6,1)=P6),0))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40"/>
    <col collapsed="false" customWidth="true" hidden="false" outlineLevel="0" max="2" min="2" style="0" width="22.86"/>
    <col collapsed="false" customWidth="true" hidden="false" outlineLevel="0" max="3" min="3" style="0" width="13.15"/>
    <col collapsed="false" customWidth="true" hidden="false" outlineLevel="0" max="17" min="4" style="0" width="21.14"/>
  </cols>
  <sheetData>
    <row r="1" customFormat="false" ht="32.8" hidden="true" customHeight="false" outlineLevel="0" collapsed="false">
      <c r="A1" s="1" t="s">
        <v>116</v>
      </c>
      <c r="D1" s="1" t="s">
        <v>117</v>
      </c>
      <c r="F1" s="1" t="s">
        <v>118</v>
      </c>
      <c r="H1" s="1" t="s">
        <v>119</v>
      </c>
      <c r="J1" s="1" t="s">
        <v>120</v>
      </c>
      <c r="L1" s="1" t="s">
        <v>121</v>
      </c>
      <c r="N1" s="1" t="s">
        <v>122</v>
      </c>
      <c r="P1" s="1" t="s">
        <v>123</v>
      </c>
    </row>
    <row r="2" customFormat="false" ht="48.5" hidden="false" customHeight="false" outlineLevel="0" collapsed="false">
      <c r="B2" s="16" t="s">
        <v>124</v>
      </c>
      <c r="D2" s="1" t="s">
        <v>67</v>
      </c>
    </row>
    <row r="3" customFormat="false" ht="48.5" hidden="false" customHeight="false" outlineLevel="0" collapsed="false">
      <c r="B3" s="1" t="s">
        <v>68</v>
      </c>
      <c r="C3" s="18" t="b">
        <f aca="false">FALSE()</f>
        <v>0</v>
      </c>
      <c r="D3" s="1" t="s">
        <v>69</v>
      </c>
    </row>
    <row r="4" customFormat="false" ht="27.75" hidden="false" customHeight="true" outlineLevel="0" collapsed="false">
      <c r="B4" s="1" t="s">
        <v>70</v>
      </c>
      <c r="D4" s="19" t="s">
        <v>71</v>
      </c>
      <c r="E4" s="19"/>
      <c r="F4" s="19" t="s">
        <v>72</v>
      </c>
      <c r="G4" s="19"/>
      <c r="H4" s="19" t="s">
        <v>73</v>
      </c>
      <c r="I4" s="19"/>
      <c r="J4" s="19" t="s">
        <v>74</v>
      </c>
      <c r="K4" s="19"/>
      <c r="L4" s="19" t="s">
        <v>75</v>
      </c>
      <c r="M4" s="19"/>
      <c r="N4" s="19" t="s">
        <v>76</v>
      </c>
      <c r="O4" s="19"/>
      <c r="P4" s="19" t="s">
        <v>77</v>
      </c>
      <c r="Q4" s="19"/>
    </row>
    <row r="5" customFormat="false" ht="27.75" hidden="false" customHeight="true" outlineLevel="0" collapsed="false">
      <c r="B5" s="1" t="s">
        <v>78</v>
      </c>
      <c r="D5" s="19" t="s">
        <v>71</v>
      </c>
      <c r="E5" s="19"/>
      <c r="F5" s="19" t="s">
        <v>72</v>
      </c>
      <c r="G5" s="19"/>
      <c r="H5" s="19" t="s">
        <v>73</v>
      </c>
      <c r="I5" s="19"/>
      <c r="J5" s="19" t="s">
        <v>74</v>
      </c>
      <c r="K5" s="19"/>
      <c r="L5" s="19" t="s">
        <v>75</v>
      </c>
      <c r="M5" s="19"/>
      <c r="N5" s="19" t="s">
        <v>76</v>
      </c>
      <c r="O5" s="19"/>
      <c r="P5" s="19" t="s">
        <v>77</v>
      </c>
      <c r="Q5" s="19"/>
    </row>
    <row r="6" customFormat="false" ht="27.75" hidden="false" customHeight="true" outlineLevel="0" collapsed="false">
      <c r="B6" s="1" t="s">
        <v>79</v>
      </c>
      <c r="D6" s="16"/>
      <c r="E6" s="1" t="s">
        <v>80</v>
      </c>
      <c r="F6" s="16"/>
      <c r="G6" s="1" t="s">
        <v>80</v>
      </c>
      <c r="H6" s="16"/>
      <c r="I6" s="1" t="s">
        <v>80</v>
      </c>
      <c r="J6" s="16"/>
      <c r="K6" s="1" t="s">
        <v>80</v>
      </c>
      <c r="L6" s="16"/>
      <c r="M6" s="1" t="s">
        <v>80</v>
      </c>
      <c r="N6" s="16"/>
      <c r="O6" s="1" t="s">
        <v>80</v>
      </c>
      <c r="P6" s="16"/>
      <c r="Q6" s="1" t="s">
        <v>80</v>
      </c>
    </row>
    <row r="7" customFormat="false" ht="27.75" hidden="false" customHeight="true" outlineLevel="0" collapsed="false">
      <c r="B7" s="1" t="s">
        <v>81</v>
      </c>
      <c r="D7" s="16"/>
      <c r="E7" s="20" t="str">
        <f aca="false">IFERROR(INDEX(成員名單!$B$5:$B$34,MATCH(D7,成員名單!$A$5:$A$34,0))&amp;"","")</f>
        <v/>
      </c>
      <c r="F7" s="16"/>
      <c r="G7" s="20" t="str">
        <f aca="false">IFERROR(INDEX(成員名單!$B$5:$B$34,MATCH(F7,成員名單!$A$5:$A$34,0))&amp;"","")</f>
        <v/>
      </c>
      <c r="H7" s="16"/>
      <c r="I7" s="20" t="str">
        <f aca="false">IFERROR(INDEX(成員名單!$B$5:$B$34,MATCH(H7,成員名單!$A$5:$A$34,0))&amp;"","")</f>
        <v/>
      </c>
      <c r="J7" s="16"/>
      <c r="K7" s="20" t="str">
        <f aca="false">IFERROR(INDEX(成員名單!$B$5:$B$34,MATCH(J7,成員名單!$A$5:$A$34,0))&amp;"","")</f>
        <v/>
      </c>
      <c r="L7" s="16"/>
      <c r="M7" s="20" t="str">
        <f aca="false">IFERROR(INDEX(成員名單!$B$5:$B$34,MATCH(L7,成員名單!$A$5:$A$34,0))&amp;"","")</f>
        <v/>
      </c>
      <c r="N7" s="16"/>
      <c r="O7" s="20" t="str">
        <f aca="false">IFERROR(INDEX(成員名單!$B$5:$B$34,MATCH(N7,成員名單!$A$5:$A$34,0))&amp;"","")</f>
        <v/>
      </c>
      <c r="P7" s="16"/>
      <c r="Q7" s="20" t="str">
        <f aca="false">IFERROR(INDEX(成員名單!$B$5:$B$34,MATCH(P7,成員名單!$A$5:$A$34,0))&amp;"","")</f>
        <v/>
      </c>
    </row>
    <row r="8" customFormat="false" ht="27.75" hidden="false" customHeight="true" outlineLevel="0" collapsed="false">
      <c r="B8" s="1" t="s">
        <v>82</v>
      </c>
      <c r="D8" s="20" t="n">
        <f aca="false">IF(D$47,D$48,0)</f>
        <v>0</v>
      </c>
      <c r="E8" s="1" t="s">
        <v>83</v>
      </c>
      <c r="F8" s="20" t="n">
        <f aca="false">IF(F$47,F$48,0)</f>
        <v>0</v>
      </c>
      <c r="G8" s="1" t="s">
        <v>83</v>
      </c>
      <c r="H8" s="20" t="n">
        <f aca="false">IF(H$47,H$48,0)</f>
        <v>0</v>
      </c>
      <c r="I8" s="1" t="s">
        <v>83</v>
      </c>
      <c r="J8" s="20" t="n">
        <f aca="false">IF(J$47,J$48,0)</f>
        <v>0</v>
      </c>
      <c r="K8" s="1" t="s">
        <v>83</v>
      </c>
      <c r="L8" s="20" t="n">
        <f aca="false">IF(L$47,L$48,0)</f>
        <v>0</v>
      </c>
      <c r="M8" s="1" t="s">
        <v>83</v>
      </c>
      <c r="N8" s="20" t="n">
        <f aca="false">IF(N$47,N$48,0)</f>
        <v>0</v>
      </c>
      <c r="O8" s="1" t="s">
        <v>83</v>
      </c>
      <c r="P8" s="20" t="n">
        <f aca="false">IF(P$47,P$48,0)</f>
        <v>0</v>
      </c>
      <c r="Q8" s="1" t="s">
        <v>83</v>
      </c>
    </row>
    <row r="9" customFormat="false" ht="27.75" hidden="false" customHeight="true" outlineLevel="0" collapsed="false">
      <c r="B9" s="1" t="s">
        <v>84</v>
      </c>
      <c r="D9" s="21" t="str">
        <f aca="false">IF(OR(NOT(D$47),D$48=0),"暫不分攤",TEXT(QUOTIENT(D$46,MAX(1,D$48))/10,"0.0")&amp;IF(MOD(D$46,MAX(1,D$48))&gt;0,"–"&amp;TEXT((QUOTIENT(D$46,MAX(1,D$48))+1)/10,"0.0"),"")&amp;" 元／人")</f>
        <v>暫不分攤</v>
      </c>
      <c r="E9" s="21"/>
      <c r="F9" s="21" t="str">
        <f aca="false">IF(OR(NOT(F$47),F$48=0),"暫不分攤",TEXT(QUOTIENT(F$46,MAX(1,F$48))/10,"0.0")&amp;IF(MOD(F$46,MAX(1,F$48))&gt;0,"–"&amp;TEXT((QUOTIENT(F$46,MAX(1,F$48))+1)/10,"0.0"),"")&amp;" 元／人")</f>
        <v>暫不分攤</v>
      </c>
      <c r="G9" s="21"/>
      <c r="H9" s="21" t="str">
        <f aca="false">IF(OR(NOT(H$47),H$48=0),"暫不分攤",TEXT(QUOTIENT(H$46,MAX(1,H$48))/10,"0.0")&amp;IF(MOD(H$46,MAX(1,H$48))&gt;0,"–"&amp;TEXT((QUOTIENT(H$46,MAX(1,H$48))+1)/10,"0.0"),"")&amp;" 元／人")</f>
        <v>暫不分攤</v>
      </c>
      <c r="I9" s="21"/>
      <c r="J9" s="21" t="str">
        <f aca="false">IF(OR(NOT(J$47),J$48=0),"暫不分攤",TEXT(QUOTIENT(J$46,MAX(1,J$48))/10,"0.0")&amp;IF(MOD(J$46,MAX(1,J$48))&gt;0,"–"&amp;TEXT((QUOTIENT(J$46,MAX(1,J$48))+1)/10,"0.0"),"")&amp;" 元／人")</f>
        <v>暫不分攤</v>
      </c>
      <c r="K9" s="21"/>
      <c r="L9" s="21" t="str">
        <f aca="false">IF(OR(NOT(L$47),L$48=0),"暫不分攤",TEXT(QUOTIENT(L$46,MAX(1,L$48))/10,"0.0")&amp;IF(MOD(L$46,MAX(1,L$48))&gt;0,"–"&amp;TEXT((QUOTIENT(L$46,MAX(1,L$48))+1)/10,"0.0"),"")&amp;" 元／人")</f>
        <v>暫不分攤</v>
      </c>
      <c r="M9" s="21"/>
      <c r="N9" s="21" t="str">
        <f aca="false">IF(OR(NOT(N$47),N$48=0),"暫不分攤",TEXT(QUOTIENT(N$46,MAX(1,N$48))/10,"0.0")&amp;IF(MOD(N$46,MAX(1,N$48))&gt;0,"–"&amp;TEXT((QUOTIENT(N$46,MAX(1,N$48))+1)/10,"0.0"),"")&amp;" 元／人")</f>
        <v>暫不分攤</v>
      </c>
      <c r="O9" s="21"/>
      <c r="P9" s="21" t="str">
        <f aca="false">IF(OR(NOT(P$47),P$48=0),"暫不分攤",TEXT(QUOTIENT(P$46,MAX(1,P$48))/10,"0.0")&amp;IF(MOD(P$46,MAX(1,P$48))&gt;0,"–"&amp;TEXT((QUOTIENT(P$46,MAX(1,P$48))+1)/10,"0.0"),"")&amp;" 元／人")</f>
        <v>暫不分攤</v>
      </c>
      <c r="Q9" s="21"/>
    </row>
    <row r="10" customFormat="false" ht="81.75" hidden="false" customHeight="true" outlineLevel="0" collapsed="false">
      <c r="B10" s="1" t="s">
        <v>53</v>
      </c>
      <c r="D10" s="22" t="str">
        <f aca="false">IF(NOT(D$47),"金額須為非負數且最多一位小數。 ","")&amp;IF(AND(D$46&gt;0,D$50,$C$3&lt;&gt;TRUE()),"未用車但有車資：保留金額，暫不分攤。 ","")&amp;IF(AND(D$46&gt;0,D$50,$C$3=TRUE(),$C$49=0),"請設定具名司機；車資暫不分攤。 ","")&amp;IF(AND(D$46&gt;0,D$48=0,NOT(AND(D$46&gt;0,D$50,$C$3&lt;&gt;TRUE())),NOT(AND(D$46&gt;0,D$50,$C$3=TRUE(),$C$49=0))),"沒有可分攤者。 ","")&amp;IF(AND(D$46&gt;0,LEN(TRIM(E7))=0),"請指定具名代墊者。","")</f>
        <v/>
      </c>
      <c r="E10" s="22"/>
      <c r="F10" s="22" t="str">
        <f aca="false">IF(NOT(F$47),"金額須為非負數且最多一位小數。 ","")&amp;IF(AND(F$46&gt;0,F$50,$C$3&lt;&gt;TRUE()),"未用車但有車資：保留金額，暫不分攤。 ","")&amp;IF(AND(F$46&gt;0,F$50,$C$3=TRUE(),$C$49=0),"請設定具名司機；車資暫不分攤。 ","")&amp;IF(AND(F$46&gt;0,F$48=0,NOT(AND(F$46&gt;0,F$50,$C$3&lt;&gt;TRUE())),NOT(AND(F$46&gt;0,F$50,$C$3=TRUE(),$C$49=0))),"沒有可分攤者。 ","")&amp;IF(AND(F$46&gt;0,LEN(TRIM(G7))=0),"請指定具名代墊者。","")</f>
        <v/>
      </c>
      <c r="G10" s="22"/>
      <c r="H10" s="22" t="str">
        <f aca="false">IF(NOT(H$47),"金額須為非負數且最多一位小數。 ","")&amp;IF(AND(H$46&gt;0,H$50,$C$3&lt;&gt;TRUE()),"未用車但有車資：保留金額，暫不分攤。 ","")&amp;IF(AND(H$46&gt;0,H$50,$C$3=TRUE(),$C$49=0),"請設定具名司機；車資暫不分攤。 ","")&amp;IF(AND(H$46&gt;0,H$48=0,NOT(AND(H$46&gt;0,H$50,$C$3&lt;&gt;TRUE())),NOT(AND(H$46&gt;0,H$50,$C$3=TRUE(),$C$49=0))),"沒有可分攤者。 ","")&amp;IF(AND(H$46&gt;0,LEN(TRIM(I7))=0),"請指定具名代墊者。","")</f>
        <v/>
      </c>
      <c r="I10" s="22"/>
      <c r="J10" s="22" t="str">
        <f aca="false">IF(NOT(J$47),"金額須為非負數且最多一位小數。 ","")&amp;IF(AND(J$46&gt;0,J$50,$C$3&lt;&gt;TRUE()),"未用車但有車資：保留金額，暫不分攤。 ","")&amp;IF(AND(J$46&gt;0,J$50,$C$3=TRUE(),$C$49=0),"請設定具名司機；車資暫不分攤。 ","")&amp;IF(AND(J$46&gt;0,J$48=0,NOT(AND(J$46&gt;0,J$50,$C$3&lt;&gt;TRUE())),NOT(AND(J$46&gt;0,J$50,$C$3=TRUE(),$C$49=0))),"沒有可分攤者。 ","")&amp;IF(AND(J$46&gt;0,LEN(TRIM(K7))=0),"請指定具名代墊者。","")</f>
        <v/>
      </c>
      <c r="K10" s="22"/>
      <c r="L10" s="22" t="str">
        <f aca="false">IF(NOT(L$47),"金額須為非負數且最多一位小數。 ","")&amp;IF(AND(L$46&gt;0,L$50,$C$3&lt;&gt;TRUE()),"未用車但有車資：保留金額，暫不分攤。 ","")&amp;IF(AND(L$46&gt;0,L$50,$C$3=TRUE(),$C$49=0),"請設定具名司機；車資暫不分攤。 ","")&amp;IF(AND(L$46&gt;0,L$48=0,NOT(AND(L$46&gt;0,L$50,$C$3&lt;&gt;TRUE())),NOT(AND(L$46&gt;0,L$50,$C$3=TRUE(),$C$49=0))),"沒有可分攤者。 ","")&amp;IF(AND(L$46&gt;0,LEN(TRIM(M7))=0),"請指定具名代墊者。","")</f>
        <v/>
      </c>
      <c r="M10" s="22"/>
      <c r="N10" s="22" t="str">
        <f aca="false">IF(NOT(N$47),"金額須為非負數且最多一位小數。 ","")&amp;IF(AND(N$46&gt;0,N$50,$C$3&lt;&gt;TRUE()),"未用車但有車資：保留金額，暫不分攤。 ","")&amp;IF(AND(N$46&gt;0,N$50,$C$3=TRUE(),$C$49=0),"請設定具名司機；車資暫不分攤。 ","")&amp;IF(AND(N$46&gt;0,N$48=0,NOT(AND(N$46&gt;0,N$50,$C$3&lt;&gt;TRUE())),NOT(AND(N$46&gt;0,N$50,$C$3=TRUE(),$C$49=0))),"沒有可分攤者。 ","")&amp;IF(AND(N$46&gt;0,LEN(TRIM(O7))=0),"請指定具名代墊者。","")</f>
        <v/>
      </c>
      <c r="O10" s="22"/>
      <c r="P10" s="22" t="str">
        <f aca="false">IF(NOT(P$47),"金額須為非負數且最多一位小數。 ","")&amp;IF(AND(P$46&gt;0,P$50,$C$3&lt;&gt;TRUE()),"未用車但有車資：保留金額，暫不分攤。 ","")&amp;IF(AND(P$46&gt;0,P$50,$C$3=TRUE(),$C$49=0),"請設定具名司機；車資暫不分攤。 ","")&amp;IF(AND(P$46&gt;0,P$48=0,NOT(AND(P$46&gt;0,P$50,$C$3&lt;&gt;TRUE())),NOT(AND(P$46&gt;0,P$50,$C$3=TRUE(),$C$49=0))),"沒有可分攤者。 ","")&amp;IF(AND(P$46&gt;0,LEN(TRIM(Q7))=0),"請指定具名代墊者。","")</f>
        <v/>
      </c>
      <c r="Q10" s="22"/>
    </row>
    <row r="11" customFormat="false" ht="30" hidden="false" customHeight="true" outlineLevel="0" collapsed="false">
      <c r="A11" s="3" t="s">
        <v>8</v>
      </c>
      <c r="B11" s="3" t="s">
        <v>9</v>
      </c>
      <c r="C11" s="3" t="s">
        <v>85</v>
      </c>
      <c r="D11" s="3" t="s">
        <v>86</v>
      </c>
      <c r="E11" s="3" t="s">
        <v>87</v>
      </c>
      <c r="F11" s="3" t="s">
        <v>86</v>
      </c>
      <c r="G11" s="3" t="s">
        <v>87</v>
      </c>
      <c r="H11" s="3" t="s">
        <v>86</v>
      </c>
      <c r="I11" s="3" t="s">
        <v>87</v>
      </c>
      <c r="J11" s="3" t="s">
        <v>86</v>
      </c>
      <c r="K11" s="3" t="s">
        <v>87</v>
      </c>
      <c r="L11" s="3" t="s">
        <v>86</v>
      </c>
      <c r="M11" s="3" t="s">
        <v>87</v>
      </c>
      <c r="N11" s="3" t="s">
        <v>86</v>
      </c>
      <c r="O11" s="3" t="s">
        <v>87</v>
      </c>
      <c r="P11" s="3" t="s">
        <v>86</v>
      </c>
      <c r="Q11" s="3" t="s">
        <v>87</v>
      </c>
    </row>
    <row r="12" customFormat="false" ht="27" hidden="false" customHeight="true" outlineLevel="0" collapsed="false">
      <c r="A12" s="8" t="s">
        <v>18</v>
      </c>
      <c r="B12" s="9" t="str">
        <f aca="false">IFERROR(INDEX(成員名單!$B$5:$B$34,MATCH($A12,成員名單!$A$5:$A$34,0))&amp;"","")</f>
        <v/>
      </c>
      <c r="C12" s="23" t="b">
        <f aca="false">FALSE()</f>
        <v>0</v>
      </c>
      <c r="D12" s="23" t="b">
        <f aca="false">FALSE()</f>
        <v>0</v>
      </c>
      <c r="E12" s="9" t="n">
        <f aca="false">D52/10</f>
        <v>0</v>
      </c>
      <c r="F12" s="23" t="b">
        <f aca="false">FALSE()</f>
        <v>0</v>
      </c>
      <c r="G12" s="9" t="n">
        <f aca="false">F52/10</f>
        <v>0</v>
      </c>
      <c r="H12" s="23" t="b">
        <f aca="false">FALSE()</f>
        <v>0</v>
      </c>
      <c r="I12" s="9" t="n">
        <f aca="false">H52/10</f>
        <v>0</v>
      </c>
      <c r="J12" s="23" t="b">
        <f aca="false">FALSE()</f>
        <v>0</v>
      </c>
      <c r="K12" s="9" t="n">
        <f aca="false">J52/10</f>
        <v>0</v>
      </c>
      <c r="L12" s="23" t="b">
        <f aca="false">FALSE()</f>
        <v>0</v>
      </c>
      <c r="M12" s="9" t="n">
        <f aca="false">L52/10</f>
        <v>0</v>
      </c>
      <c r="N12" s="23" t="b">
        <f aca="false">FALSE()</f>
        <v>0</v>
      </c>
      <c r="O12" s="9" t="n">
        <f aca="false">N52/10</f>
        <v>0</v>
      </c>
      <c r="P12" s="23" t="b">
        <f aca="false">FALSE()</f>
        <v>0</v>
      </c>
      <c r="Q12" s="9" t="n">
        <f aca="false">P52/10</f>
        <v>0</v>
      </c>
    </row>
    <row r="13" customFormat="false" ht="27" hidden="false" customHeight="true" outlineLevel="0" collapsed="false">
      <c r="A13" s="10" t="s">
        <v>19</v>
      </c>
      <c r="B13" s="11" t="str">
        <f aca="false">IFERROR(INDEX(成員名單!$B$5:$B$34,MATCH($A13,成員名單!$A$5:$A$34,0))&amp;"","")</f>
        <v/>
      </c>
      <c r="C13" s="23" t="b">
        <f aca="false">FALSE()</f>
        <v>0</v>
      </c>
      <c r="D13" s="23" t="b">
        <f aca="false">FALSE()</f>
        <v>0</v>
      </c>
      <c r="E13" s="11" t="n">
        <f aca="false">D53/10</f>
        <v>0</v>
      </c>
      <c r="F13" s="23" t="b">
        <f aca="false">FALSE()</f>
        <v>0</v>
      </c>
      <c r="G13" s="11" t="n">
        <f aca="false">F53/10</f>
        <v>0</v>
      </c>
      <c r="H13" s="23" t="b">
        <f aca="false">FALSE()</f>
        <v>0</v>
      </c>
      <c r="I13" s="11" t="n">
        <f aca="false">H53/10</f>
        <v>0</v>
      </c>
      <c r="J13" s="23" t="b">
        <f aca="false">FALSE()</f>
        <v>0</v>
      </c>
      <c r="K13" s="11" t="n">
        <f aca="false">J53/10</f>
        <v>0</v>
      </c>
      <c r="L13" s="23" t="b">
        <f aca="false">FALSE()</f>
        <v>0</v>
      </c>
      <c r="M13" s="11" t="n">
        <f aca="false">L53/10</f>
        <v>0</v>
      </c>
      <c r="N13" s="23" t="b">
        <f aca="false">FALSE()</f>
        <v>0</v>
      </c>
      <c r="O13" s="11" t="n">
        <f aca="false">N53/10</f>
        <v>0</v>
      </c>
      <c r="P13" s="23" t="b">
        <f aca="false">FALSE()</f>
        <v>0</v>
      </c>
      <c r="Q13" s="11" t="n">
        <f aca="false">P53/10</f>
        <v>0</v>
      </c>
    </row>
    <row r="14" customFormat="false" ht="27" hidden="false" customHeight="true" outlineLevel="0" collapsed="false">
      <c r="A14" s="8" t="s">
        <v>20</v>
      </c>
      <c r="B14" s="9" t="str">
        <f aca="false">IFERROR(INDEX(成員名單!$B$5:$B$34,MATCH($A14,成員名單!$A$5:$A$34,0))&amp;"","")</f>
        <v/>
      </c>
      <c r="C14" s="23" t="b">
        <f aca="false">FALSE()</f>
        <v>0</v>
      </c>
      <c r="D14" s="23" t="b">
        <f aca="false">FALSE()</f>
        <v>0</v>
      </c>
      <c r="E14" s="9" t="n">
        <f aca="false">D54/10</f>
        <v>0</v>
      </c>
      <c r="F14" s="23" t="b">
        <f aca="false">FALSE()</f>
        <v>0</v>
      </c>
      <c r="G14" s="9" t="n">
        <f aca="false">F54/10</f>
        <v>0</v>
      </c>
      <c r="H14" s="23" t="b">
        <f aca="false">FALSE()</f>
        <v>0</v>
      </c>
      <c r="I14" s="9" t="n">
        <f aca="false">H54/10</f>
        <v>0</v>
      </c>
      <c r="J14" s="23" t="b">
        <f aca="false">FALSE()</f>
        <v>0</v>
      </c>
      <c r="K14" s="9" t="n">
        <f aca="false">J54/10</f>
        <v>0</v>
      </c>
      <c r="L14" s="23" t="b">
        <f aca="false">FALSE()</f>
        <v>0</v>
      </c>
      <c r="M14" s="9" t="n">
        <f aca="false">L54/10</f>
        <v>0</v>
      </c>
      <c r="N14" s="23" t="b">
        <f aca="false">FALSE()</f>
        <v>0</v>
      </c>
      <c r="O14" s="9" t="n">
        <f aca="false">N54/10</f>
        <v>0</v>
      </c>
      <c r="P14" s="23" t="b">
        <f aca="false">FALSE()</f>
        <v>0</v>
      </c>
      <c r="Q14" s="9" t="n">
        <f aca="false">P54/10</f>
        <v>0</v>
      </c>
    </row>
    <row r="15" customFormat="false" ht="27" hidden="false" customHeight="true" outlineLevel="0" collapsed="false">
      <c r="A15" s="10" t="s">
        <v>21</v>
      </c>
      <c r="B15" s="11" t="str">
        <f aca="false">IFERROR(INDEX(成員名單!$B$5:$B$34,MATCH($A15,成員名單!$A$5:$A$34,0))&amp;"","")</f>
        <v/>
      </c>
      <c r="C15" s="23" t="b">
        <f aca="false">FALSE()</f>
        <v>0</v>
      </c>
      <c r="D15" s="23" t="b">
        <f aca="false">FALSE()</f>
        <v>0</v>
      </c>
      <c r="E15" s="11" t="n">
        <f aca="false">D55/10</f>
        <v>0</v>
      </c>
      <c r="F15" s="23" t="b">
        <f aca="false">FALSE()</f>
        <v>0</v>
      </c>
      <c r="G15" s="11" t="n">
        <f aca="false">F55/10</f>
        <v>0</v>
      </c>
      <c r="H15" s="23" t="b">
        <f aca="false">FALSE()</f>
        <v>0</v>
      </c>
      <c r="I15" s="11" t="n">
        <f aca="false">H55/10</f>
        <v>0</v>
      </c>
      <c r="J15" s="23" t="b">
        <f aca="false">FALSE()</f>
        <v>0</v>
      </c>
      <c r="K15" s="11" t="n">
        <f aca="false">J55/10</f>
        <v>0</v>
      </c>
      <c r="L15" s="23" t="b">
        <f aca="false">FALSE()</f>
        <v>0</v>
      </c>
      <c r="M15" s="11" t="n">
        <f aca="false">L55/10</f>
        <v>0</v>
      </c>
      <c r="N15" s="23" t="b">
        <f aca="false">FALSE()</f>
        <v>0</v>
      </c>
      <c r="O15" s="11" t="n">
        <f aca="false">N55/10</f>
        <v>0</v>
      </c>
      <c r="P15" s="23" t="b">
        <f aca="false">FALSE()</f>
        <v>0</v>
      </c>
      <c r="Q15" s="11" t="n">
        <f aca="false">P55/10</f>
        <v>0</v>
      </c>
    </row>
    <row r="16" customFormat="false" ht="27" hidden="false" customHeight="true" outlineLevel="0" collapsed="false">
      <c r="A16" s="8" t="s">
        <v>22</v>
      </c>
      <c r="B16" s="9" t="str">
        <f aca="false">IFERROR(INDEX(成員名單!$B$5:$B$34,MATCH($A16,成員名單!$A$5:$A$34,0))&amp;"","")</f>
        <v/>
      </c>
      <c r="C16" s="23" t="b">
        <f aca="false">FALSE()</f>
        <v>0</v>
      </c>
      <c r="D16" s="23" t="b">
        <f aca="false">FALSE()</f>
        <v>0</v>
      </c>
      <c r="E16" s="9" t="n">
        <f aca="false">D56/10</f>
        <v>0</v>
      </c>
      <c r="F16" s="23" t="b">
        <f aca="false">FALSE()</f>
        <v>0</v>
      </c>
      <c r="G16" s="9" t="n">
        <f aca="false">F56/10</f>
        <v>0</v>
      </c>
      <c r="H16" s="23" t="b">
        <f aca="false">FALSE()</f>
        <v>0</v>
      </c>
      <c r="I16" s="9" t="n">
        <f aca="false">H56/10</f>
        <v>0</v>
      </c>
      <c r="J16" s="23" t="b">
        <f aca="false">FALSE()</f>
        <v>0</v>
      </c>
      <c r="K16" s="9" t="n">
        <f aca="false">J56/10</f>
        <v>0</v>
      </c>
      <c r="L16" s="23" t="b">
        <f aca="false">FALSE()</f>
        <v>0</v>
      </c>
      <c r="M16" s="9" t="n">
        <f aca="false">L56/10</f>
        <v>0</v>
      </c>
      <c r="N16" s="23" t="b">
        <f aca="false">FALSE()</f>
        <v>0</v>
      </c>
      <c r="O16" s="9" t="n">
        <f aca="false">N56/10</f>
        <v>0</v>
      </c>
      <c r="P16" s="23" t="b">
        <f aca="false">FALSE()</f>
        <v>0</v>
      </c>
      <c r="Q16" s="9" t="n">
        <f aca="false">P56/10</f>
        <v>0</v>
      </c>
    </row>
    <row r="17" customFormat="false" ht="27" hidden="false" customHeight="true" outlineLevel="0" collapsed="false">
      <c r="A17" s="10" t="s">
        <v>23</v>
      </c>
      <c r="B17" s="11" t="str">
        <f aca="false">IFERROR(INDEX(成員名單!$B$5:$B$34,MATCH($A17,成員名單!$A$5:$A$34,0))&amp;"","")</f>
        <v/>
      </c>
      <c r="C17" s="23" t="b">
        <f aca="false">FALSE()</f>
        <v>0</v>
      </c>
      <c r="D17" s="23" t="b">
        <f aca="false">FALSE()</f>
        <v>0</v>
      </c>
      <c r="E17" s="11" t="n">
        <f aca="false">D57/10</f>
        <v>0</v>
      </c>
      <c r="F17" s="23" t="b">
        <f aca="false">FALSE()</f>
        <v>0</v>
      </c>
      <c r="G17" s="11" t="n">
        <f aca="false">F57/10</f>
        <v>0</v>
      </c>
      <c r="H17" s="23" t="b">
        <f aca="false">FALSE()</f>
        <v>0</v>
      </c>
      <c r="I17" s="11" t="n">
        <f aca="false">H57/10</f>
        <v>0</v>
      </c>
      <c r="J17" s="23" t="b">
        <f aca="false">FALSE()</f>
        <v>0</v>
      </c>
      <c r="K17" s="11" t="n">
        <f aca="false">J57/10</f>
        <v>0</v>
      </c>
      <c r="L17" s="23" t="b">
        <f aca="false">FALSE()</f>
        <v>0</v>
      </c>
      <c r="M17" s="11" t="n">
        <f aca="false">L57/10</f>
        <v>0</v>
      </c>
      <c r="N17" s="23" t="b">
        <f aca="false">FALSE()</f>
        <v>0</v>
      </c>
      <c r="O17" s="11" t="n">
        <f aca="false">N57/10</f>
        <v>0</v>
      </c>
      <c r="P17" s="23" t="b">
        <f aca="false">FALSE()</f>
        <v>0</v>
      </c>
      <c r="Q17" s="11" t="n">
        <f aca="false">P57/10</f>
        <v>0</v>
      </c>
    </row>
    <row r="18" customFormat="false" ht="27" hidden="false" customHeight="true" outlineLevel="0" collapsed="false">
      <c r="A18" s="8" t="s">
        <v>24</v>
      </c>
      <c r="B18" s="9" t="str">
        <f aca="false">IFERROR(INDEX(成員名單!$B$5:$B$34,MATCH($A18,成員名單!$A$5:$A$34,0))&amp;"","")</f>
        <v/>
      </c>
      <c r="C18" s="23" t="b">
        <f aca="false">FALSE()</f>
        <v>0</v>
      </c>
      <c r="D18" s="23" t="b">
        <f aca="false">FALSE()</f>
        <v>0</v>
      </c>
      <c r="E18" s="9" t="n">
        <f aca="false">D58/10</f>
        <v>0</v>
      </c>
      <c r="F18" s="23" t="b">
        <f aca="false">FALSE()</f>
        <v>0</v>
      </c>
      <c r="G18" s="9" t="n">
        <f aca="false">F58/10</f>
        <v>0</v>
      </c>
      <c r="H18" s="23" t="b">
        <f aca="false">FALSE()</f>
        <v>0</v>
      </c>
      <c r="I18" s="9" t="n">
        <f aca="false">H58/10</f>
        <v>0</v>
      </c>
      <c r="J18" s="23" t="b">
        <f aca="false">FALSE()</f>
        <v>0</v>
      </c>
      <c r="K18" s="9" t="n">
        <f aca="false">J58/10</f>
        <v>0</v>
      </c>
      <c r="L18" s="23" t="b">
        <f aca="false">FALSE()</f>
        <v>0</v>
      </c>
      <c r="M18" s="9" t="n">
        <f aca="false">L58/10</f>
        <v>0</v>
      </c>
      <c r="N18" s="23" t="b">
        <f aca="false">FALSE()</f>
        <v>0</v>
      </c>
      <c r="O18" s="9" t="n">
        <f aca="false">N58/10</f>
        <v>0</v>
      </c>
      <c r="P18" s="23" t="b">
        <f aca="false">FALSE()</f>
        <v>0</v>
      </c>
      <c r="Q18" s="9" t="n">
        <f aca="false">P58/10</f>
        <v>0</v>
      </c>
    </row>
    <row r="19" customFormat="false" ht="27" hidden="false" customHeight="true" outlineLevel="0" collapsed="false">
      <c r="A19" s="10" t="s">
        <v>25</v>
      </c>
      <c r="B19" s="11" t="str">
        <f aca="false">IFERROR(INDEX(成員名單!$B$5:$B$34,MATCH($A19,成員名單!$A$5:$A$34,0))&amp;"","")</f>
        <v/>
      </c>
      <c r="C19" s="23" t="b">
        <f aca="false">FALSE()</f>
        <v>0</v>
      </c>
      <c r="D19" s="23" t="b">
        <f aca="false">FALSE()</f>
        <v>0</v>
      </c>
      <c r="E19" s="11" t="n">
        <f aca="false">D59/10</f>
        <v>0</v>
      </c>
      <c r="F19" s="23" t="b">
        <f aca="false">FALSE()</f>
        <v>0</v>
      </c>
      <c r="G19" s="11" t="n">
        <f aca="false">F59/10</f>
        <v>0</v>
      </c>
      <c r="H19" s="23" t="b">
        <f aca="false">FALSE()</f>
        <v>0</v>
      </c>
      <c r="I19" s="11" t="n">
        <f aca="false">H59/10</f>
        <v>0</v>
      </c>
      <c r="J19" s="23" t="b">
        <f aca="false">FALSE()</f>
        <v>0</v>
      </c>
      <c r="K19" s="11" t="n">
        <f aca="false">J59/10</f>
        <v>0</v>
      </c>
      <c r="L19" s="23" t="b">
        <f aca="false">FALSE()</f>
        <v>0</v>
      </c>
      <c r="M19" s="11" t="n">
        <f aca="false">L59/10</f>
        <v>0</v>
      </c>
      <c r="N19" s="23" t="b">
        <f aca="false">FALSE()</f>
        <v>0</v>
      </c>
      <c r="O19" s="11" t="n">
        <f aca="false">N59/10</f>
        <v>0</v>
      </c>
      <c r="P19" s="23" t="b">
        <f aca="false">FALSE()</f>
        <v>0</v>
      </c>
      <c r="Q19" s="11" t="n">
        <f aca="false">P59/10</f>
        <v>0</v>
      </c>
    </row>
    <row r="20" customFormat="false" ht="27" hidden="false" customHeight="true" outlineLevel="0" collapsed="false">
      <c r="A20" s="8" t="s">
        <v>26</v>
      </c>
      <c r="B20" s="9" t="str">
        <f aca="false">IFERROR(INDEX(成員名單!$B$5:$B$34,MATCH($A20,成員名單!$A$5:$A$34,0))&amp;"","")</f>
        <v/>
      </c>
      <c r="C20" s="23" t="b">
        <f aca="false">FALSE()</f>
        <v>0</v>
      </c>
      <c r="D20" s="23" t="b">
        <f aca="false">FALSE()</f>
        <v>0</v>
      </c>
      <c r="E20" s="9" t="n">
        <f aca="false">D60/10</f>
        <v>0</v>
      </c>
      <c r="F20" s="23" t="b">
        <f aca="false">FALSE()</f>
        <v>0</v>
      </c>
      <c r="G20" s="9" t="n">
        <f aca="false">F60/10</f>
        <v>0</v>
      </c>
      <c r="H20" s="23" t="b">
        <f aca="false">FALSE()</f>
        <v>0</v>
      </c>
      <c r="I20" s="9" t="n">
        <f aca="false">H60/10</f>
        <v>0</v>
      </c>
      <c r="J20" s="23" t="b">
        <f aca="false">FALSE()</f>
        <v>0</v>
      </c>
      <c r="K20" s="9" t="n">
        <f aca="false">J60/10</f>
        <v>0</v>
      </c>
      <c r="L20" s="23" t="b">
        <f aca="false">FALSE()</f>
        <v>0</v>
      </c>
      <c r="M20" s="9" t="n">
        <f aca="false">L60/10</f>
        <v>0</v>
      </c>
      <c r="N20" s="23" t="b">
        <f aca="false">FALSE()</f>
        <v>0</v>
      </c>
      <c r="O20" s="9" t="n">
        <f aca="false">N60/10</f>
        <v>0</v>
      </c>
      <c r="P20" s="23" t="b">
        <f aca="false">FALSE()</f>
        <v>0</v>
      </c>
      <c r="Q20" s="9" t="n">
        <f aca="false">P60/10</f>
        <v>0</v>
      </c>
    </row>
    <row r="21" customFormat="false" ht="27" hidden="false" customHeight="true" outlineLevel="0" collapsed="false">
      <c r="A21" s="10" t="s">
        <v>27</v>
      </c>
      <c r="B21" s="11" t="str">
        <f aca="false">IFERROR(INDEX(成員名單!$B$5:$B$34,MATCH($A21,成員名單!$A$5:$A$34,0))&amp;"","")</f>
        <v/>
      </c>
      <c r="C21" s="23" t="b">
        <f aca="false">FALSE()</f>
        <v>0</v>
      </c>
      <c r="D21" s="23" t="b">
        <f aca="false">FALSE()</f>
        <v>0</v>
      </c>
      <c r="E21" s="11" t="n">
        <f aca="false">D61/10</f>
        <v>0</v>
      </c>
      <c r="F21" s="23" t="b">
        <f aca="false">FALSE()</f>
        <v>0</v>
      </c>
      <c r="G21" s="11" t="n">
        <f aca="false">F61/10</f>
        <v>0</v>
      </c>
      <c r="H21" s="23" t="b">
        <f aca="false">FALSE()</f>
        <v>0</v>
      </c>
      <c r="I21" s="11" t="n">
        <f aca="false">H61/10</f>
        <v>0</v>
      </c>
      <c r="J21" s="23" t="b">
        <f aca="false">FALSE()</f>
        <v>0</v>
      </c>
      <c r="K21" s="11" t="n">
        <f aca="false">J61/10</f>
        <v>0</v>
      </c>
      <c r="L21" s="23" t="b">
        <f aca="false">FALSE()</f>
        <v>0</v>
      </c>
      <c r="M21" s="11" t="n">
        <f aca="false">L61/10</f>
        <v>0</v>
      </c>
      <c r="N21" s="23" t="b">
        <f aca="false">FALSE()</f>
        <v>0</v>
      </c>
      <c r="O21" s="11" t="n">
        <f aca="false">N61/10</f>
        <v>0</v>
      </c>
      <c r="P21" s="23" t="b">
        <f aca="false">FALSE()</f>
        <v>0</v>
      </c>
      <c r="Q21" s="11" t="n">
        <f aca="false">P61/10</f>
        <v>0</v>
      </c>
    </row>
    <row r="22" customFormat="false" ht="27" hidden="false" customHeight="true" outlineLevel="0" collapsed="false">
      <c r="A22" s="8" t="s">
        <v>28</v>
      </c>
      <c r="B22" s="9" t="str">
        <f aca="false">IFERROR(INDEX(成員名單!$B$5:$B$34,MATCH($A22,成員名單!$A$5:$A$34,0))&amp;"","")</f>
        <v/>
      </c>
      <c r="C22" s="23" t="b">
        <f aca="false">FALSE()</f>
        <v>0</v>
      </c>
      <c r="D22" s="23" t="b">
        <f aca="false">FALSE()</f>
        <v>0</v>
      </c>
      <c r="E22" s="9" t="n">
        <f aca="false">D62/10</f>
        <v>0</v>
      </c>
      <c r="F22" s="23" t="b">
        <f aca="false">FALSE()</f>
        <v>0</v>
      </c>
      <c r="G22" s="9" t="n">
        <f aca="false">F62/10</f>
        <v>0</v>
      </c>
      <c r="H22" s="23" t="b">
        <f aca="false">FALSE()</f>
        <v>0</v>
      </c>
      <c r="I22" s="9" t="n">
        <f aca="false">H62/10</f>
        <v>0</v>
      </c>
      <c r="J22" s="23" t="b">
        <f aca="false">FALSE()</f>
        <v>0</v>
      </c>
      <c r="K22" s="9" t="n">
        <f aca="false">J62/10</f>
        <v>0</v>
      </c>
      <c r="L22" s="23" t="b">
        <f aca="false">FALSE()</f>
        <v>0</v>
      </c>
      <c r="M22" s="9" t="n">
        <f aca="false">L62/10</f>
        <v>0</v>
      </c>
      <c r="N22" s="23" t="b">
        <f aca="false">FALSE()</f>
        <v>0</v>
      </c>
      <c r="O22" s="9" t="n">
        <f aca="false">N62/10</f>
        <v>0</v>
      </c>
      <c r="P22" s="23" t="b">
        <f aca="false">FALSE()</f>
        <v>0</v>
      </c>
      <c r="Q22" s="9" t="n">
        <f aca="false">P62/10</f>
        <v>0</v>
      </c>
    </row>
    <row r="23" customFormat="false" ht="27" hidden="false" customHeight="true" outlineLevel="0" collapsed="false">
      <c r="A23" s="10" t="s">
        <v>29</v>
      </c>
      <c r="B23" s="11" t="str">
        <f aca="false">IFERROR(INDEX(成員名單!$B$5:$B$34,MATCH($A23,成員名單!$A$5:$A$34,0))&amp;"","")</f>
        <v/>
      </c>
      <c r="C23" s="23" t="b">
        <f aca="false">FALSE()</f>
        <v>0</v>
      </c>
      <c r="D23" s="23" t="b">
        <f aca="false">FALSE()</f>
        <v>0</v>
      </c>
      <c r="E23" s="11" t="n">
        <f aca="false">D63/10</f>
        <v>0</v>
      </c>
      <c r="F23" s="23" t="b">
        <f aca="false">FALSE()</f>
        <v>0</v>
      </c>
      <c r="G23" s="11" t="n">
        <f aca="false">F63/10</f>
        <v>0</v>
      </c>
      <c r="H23" s="23" t="b">
        <f aca="false">FALSE()</f>
        <v>0</v>
      </c>
      <c r="I23" s="11" t="n">
        <f aca="false">H63/10</f>
        <v>0</v>
      </c>
      <c r="J23" s="23" t="b">
        <f aca="false">FALSE()</f>
        <v>0</v>
      </c>
      <c r="K23" s="11" t="n">
        <f aca="false">J63/10</f>
        <v>0</v>
      </c>
      <c r="L23" s="23" t="b">
        <f aca="false">FALSE()</f>
        <v>0</v>
      </c>
      <c r="M23" s="11" t="n">
        <f aca="false">L63/10</f>
        <v>0</v>
      </c>
      <c r="N23" s="23" t="b">
        <f aca="false">FALSE()</f>
        <v>0</v>
      </c>
      <c r="O23" s="11" t="n">
        <f aca="false">N63/10</f>
        <v>0</v>
      </c>
      <c r="P23" s="23" t="b">
        <f aca="false">FALSE()</f>
        <v>0</v>
      </c>
      <c r="Q23" s="11" t="n">
        <f aca="false">P63/10</f>
        <v>0</v>
      </c>
    </row>
    <row r="24" customFormat="false" ht="27" hidden="false" customHeight="true" outlineLevel="0" collapsed="false">
      <c r="A24" s="8" t="s">
        <v>30</v>
      </c>
      <c r="B24" s="9" t="str">
        <f aca="false">IFERROR(INDEX(成員名單!$B$5:$B$34,MATCH($A24,成員名單!$A$5:$A$34,0))&amp;"","")</f>
        <v/>
      </c>
      <c r="C24" s="23" t="b">
        <f aca="false">FALSE()</f>
        <v>0</v>
      </c>
      <c r="D24" s="23" t="b">
        <f aca="false">FALSE()</f>
        <v>0</v>
      </c>
      <c r="E24" s="9" t="n">
        <f aca="false">D64/10</f>
        <v>0</v>
      </c>
      <c r="F24" s="23" t="b">
        <f aca="false">FALSE()</f>
        <v>0</v>
      </c>
      <c r="G24" s="9" t="n">
        <f aca="false">F64/10</f>
        <v>0</v>
      </c>
      <c r="H24" s="23" t="b">
        <f aca="false">FALSE()</f>
        <v>0</v>
      </c>
      <c r="I24" s="9" t="n">
        <f aca="false">H64/10</f>
        <v>0</v>
      </c>
      <c r="J24" s="23" t="b">
        <f aca="false">FALSE()</f>
        <v>0</v>
      </c>
      <c r="K24" s="9" t="n">
        <f aca="false">J64/10</f>
        <v>0</v>
      </c>
      <c r="L24" s="23" t="b">
        <f aca="false">FALSE()</f>
        <v>0</v>
      </c>
      <c r="M24" s="9" t="n">
        <f aca="false">L64/10</f>
        <v>0</v>
      </c>
      <c r="N24" s="23" t="b">
        <f aca="false">FALSE()</f>
        <v>0</v>
      </c>
      <c r="O24" s="9" t="n">
        <f aca="false">N64/10</f>
        <v>0</v>
      </c>
      <c r="P24" s="23" t="b">
        <f aca="false">FALSE()</f>
        <v>0</v>
      </c>
      <c r="Q24" s="9" t="n">
        <f aca="false">P64/10</f>
        <v>0</v>
      </c>
    </row>
    <row r="25" customFormat="false" ht="27" hidden="false" customHeight="true" outlineLevel="0" collapsed="false">
      <c r="A25" s="10" t="s">
        <v>31</v>
      </c>
      <c r="B25" s="11" t="str">
        <f aca="false">IFERROR(INDEX(成員名單!$B$5:$B$34,MATCH($A25,成員名單!$A$5:$A$34,0))&amp;"","")</f>
        <v/>
      </c>
      <c r="C25" s="23" t="b">
        <f aca="false">FALSE()</f>
        <v>0</v>
      </c>
      <c r="D25" s="23" t="b">
        <f aca="false">FALSE()</f>
        <v>0</v>
      </c>
      <c r="E25" s="11" t="n">
        <f aca="false">D65/10</f>
        <v>0</v>
      </c>
      <c r="F25" s="23" t="b">
        <f aca="false">FALSE()</f>
        <v>0</v>
      </c>
      <c r="G25" s="11" t="n">
        <f aca="false">F65/10</f>
        <v>0</v>
      </c>
      <c r="H25" s="23" t="b">
        <f aca="false">FALSE()</f>
        <v>0</v>
      </c>
      <c r="I25" s="11" t="n">
        <f aca="false">H65/10</f>
        <v>0</v>
      </c>
      <c r="J25" s="23" t="b">
        <f aca="false">FALSE()</f>
        <v>0</v>
      </c>
      <c r="K25" s="11" t="n">
        <f aca="false">J65/10</f>
        <v>0</v>
      </c>
      <c r="L25" s="23" t="b">
        <f aca="false">FALSE()</f>
        <v>0</v>
      </c>
      <c r="M25" s="11" t="n">
        <f aca="false">L65/10</f>
        <v>0</v>
      </c>
      <c r="N25" s="23" t="b">
        <f aca="false">FALSE()</f>
        <v>0</v>
      </c>
      <c r="O25" s="11" t="n">
        <f aca="false">N65/10</f>
        <v>0</v>
      </c>
      <c r="P25" s="23" t="b">
        <f aca="false">FALSE()</f>
        <v>0</v>
      </c>
      <c r="Q25" s="11" t="n">
        <f aca="false">P65/10</f>
        <v>0</v>
      </c>
    </row>
    <row r="26" customFormat="false" ht="27" hidden="false" customHeight="true" outlineLevel="0" collapsed="false">
      <c r="A26" s="8" t="s">
        <v>32</v>
      </c>
      <c r="B26" s="9" t="str">
        <f aca="false">IFERROR(INDEX(成員名單!$B$5:$B$34,MATCH($A26,成員名單!$A$5:$A$34,0))&amp;"","")</f>
        <v/>
      </c>
      <c r="C26" s="23" t="b">
        <f aca="false">FALSE()</f>
        <v>0</v>
      </c>
      <c r="D26" s="23" t="b">
        <f aca="false">FALSE()</f>
        <v>0</v>
      </c>
      <c r="E26" s="9" t="n">
        <f aca="false">D66/10</f>
        <v>0</v>
      </c>
      <c r="F26" s="23" t="b">
        <f aca="false">FALSE()</f>
        <v>0</v>
      </c>
      <c r="G26" s="9" t="n">
        <f aca="false">F66/10</f>
        <v>0</v>
      </c>
      <c r="H26" s="23" t="b">
        <f aca="false">FALSE()</f>
        <v>0</v>
      </c>
      <c r="I26" s="9" t="n">
        <f aca="false">H66/10</f>
        <v>0</v>
      </c>
      <c r="J26" s="23" t="b">
        <f aca="false">FALSE()</f>
        <v>0</v>
      </c>
      <c r="K26" s="9" t="n">
        <f aca="false">J66/10</f>
        <v>0</v>
      </c>
      <c r="L26" s="23" t="b">
        <f aca="false">FALSE()</f>
        <v>0</v>
      </c>
      <c r="M26" s="9" t="n">
        <f aca="false">L66/10</f>
        <v>0</v>
      </c>
      <c r="N26" s="23" t="b">
        <f aca="false">FALSE()</f>
        <v>0</v>
      </c>
      <c r="O26" s="9" t="n">
        <f aca="false">N66/10</f>
        <v>0</v>
      </c>
      <c r="P26" s="23" t="b">
        <f aca="false">FALSE()</f>
        <v>0</v>
      </c>
      <c r="Q26" s="9" t="n">
        <f aca="false">P66/10</f>
        <v>0</v>
      </c>
    </row>
    <row r="27" customFormat="false" ht="27" hidden="false" customHeight="true" outlineLevel="0" collapsed="false">
      <c r="A27" s="10" t="s">
        <v>33</v>
      </c>
      <c r="B27" s="11" t="str">
        <f aca="false">IFERROR(INDEX(成員名單!$B$5:$B$34,MATCH($A27,成員名單!$A$5:$A$34,0))&amp;"","")</f>
        <v/>
      </c>
      <c r="C27" s="23" t="b">
        <f aca="false">FALSE()</f>
        <v>0</v>
      </c>
      <c r="D27" s="23" t="b">
        <f aca="false">FALSE()</f>
        <v>0</v>
      </c>
      <c r="E27" s="11" t="n">
        <f aca="false">D67/10</f>
        <v>0</v>
      </c>
      <c r="F27" s="23" t="b">
        <f aca="false">FALSE()</f>
        <v>0</v>
      </c>
      <c r="G27" s="11" t="n">
        <f aca="false">F67/10</f>
        <v>0</v>
      </c>
      <c r="H27" s="23" t="b">
        <f aca="false">FALSE()</f>
        <v>0</v>
      </c>
      <c r="I27" s="11" t="n">
        <f aca="false">H67/10</f>
        <v>0</v>
      </c>
      <c r="J27" s="23" t="b">
        <f aca="false">FALSE()</f>
        <v>0</v>
      </c>
      <c r="K27" s="11" t="n">
        <f aca="false">J67/10</f>
        <v>0</v>
      </c>
      <c r="L27" s="23" t="b">
        <f aca="false">FALSE()</f>
        <v>0</v>
      </c>
      <c r="M27" s="11" t="n">
        <f aca="false">L67/10</f>
        <v>0</v>
      </c>
      <c r="N27" s="23" t="b">
        <f aca="false">FALSE()</f>
        <v>0</v>
      </c>
      <c r="O27" s="11" t="n">
        <f aca="false">N67/10</f>
        <v>0</v>
      </c>
      <c r="P27" s="23" t="b">
        <f aca="false">FALSE()</f>
        <v>0</v>
      </c>
      <c r="Q27" s="11" t="n">
        <f aca="false">P67/10</f>
        <v>0</v>
      </c>
    </row>
    <row r="28" customFormat="false" ht="27" hidden="false" customHeight="true" outlineLevel="0" collapsed="false">
      <c r="A28" s="8" t="s">
        <v>34</v>
      </c>
      <c r="B28" s="9" t="str">
        <f aca="false">IFERROR(INDEX(成員名單!$B$5:$B$34,MATCH($A28,成員名單!$A$5:$A$34,0))&amp;"","")</f>
        <v/>
      </c>
      <c r="C28" s="23" t="b">
        <f aca="false">FALSE()</f>
        <v>0</v>
      </c>
      <c r="D28" s="23" t="b">
        <f aca="false">FALSE()</f>
        <v>0</v>
      </c>
      <c r="E28" s="9" t="n">
        <f aca="false">D68/10</f>
        <v>0</v>
      </c>
      <c r="F28" s="23" t="b">
        <f aca="false">FALSE()</f>
        <v>0</v>
      </c>
      <c r="G28" s="9" t="n">
        <f aca="false">F68/10</f>
        <v>0</v>
      </c>
      <c r="H28" s="23" t="b">
        <f aca="false">FALSE()</f>
        <v>0</v>
      </c>
      <c r="I28" s="9" t="n">
        <f aca="false">H68/10</f>
        <v>0</v>
      </c>
      <c r="J28" s="23" t="b">
        <f aca="false">FALSE()</f>
        <v>0</v>
      </c>
      <c r="K28" s="9" t="n">
        <f aca="false">J68/10</f>
        <v>0</v>
      </c>
      <c r="L28" s="23" t="b">
        <f aca="false">FALSE()</f>
        <v>0</v>
      </c>
      <c r="M28" s="9" t="n">
        <f aca="false">L68/10</f>
        <v>0</v>
      </c>
      <c r="N28" s="23" t="b">
        <f aca="false">FALSE()</f>
        <v>0</v>
      </c>
      <c r="O28" s="9" t="n">
        <f aca="false">N68/10</f>
        <v>0</v>
      </c>
      <c r="P28" s="23" t="b">
        <f aca="false">FALSE()</f>
        <v>0</v>
      </c>
      <c r="Q28" s="9" t="n">
        <f aca="false">P68/10</f>
        <v>0</v>
      </c>
    </row>
    <row r="29" customFormat="false" ht="27" hidden="false" customHeight="true" outlineLevel="0" collapsed="false">
      <c r="A29" s="10" t="s">
        <v>35</v>
      </c>
      <c r="B29" s="11" t="str">
        <f aca="false">IFERROR(INDEX(成員名單!$B$5:$B$34,MATCH($A29,成員名單!$A$5:$A$34,0))&amp;"","")</f>
        <v/>
      </c>
      <c r="C29" s="23" t="b">
        <f aca="false">FALSE()</f>
        <v>0</v>
      </c>
      <c r="D29" s="23" t="b">
        <f aca="false">FALSE()</f>
        <v>0</v>
      </c>
      <c r="E29" s="11" t="n">
        <f aca="false">D69/10</f>
        <v>0</v>
      </c>
      <c r="F29" s="23" t="b">
        <f aca="false">FALSE()</f>
        <v>0</v>
      </c>
      <c r="G29" s="11" t="n">
        <f aca="false">F69/10</f>
        <v>0</v>
      </c>
      <c r="H29" s="23" t="b">
        <f aca="false">FALSE()</f>
        <v>0</v>
      </c>
      <c r="I29" s="11" t="n">
        <f aca="false">H69/10</f>
        <v>0</v>
      </c>
      <c r="J29" s="23" t="b">
        <f aca="false">FALSE()</f>
        <v>0</v>
      </c>
      <c r="K29" s="11" t="n">
        <f aca="false">J69/10</f>
        <v>0</v>
      </c>
      <c r="L29" s="23" t="b">
        <f aca="false">FALSE()</f>
        <v>0</v>
      </c>
      <c r="M29" s="11" t="n">
        <f aca="false">L69/10</f>
        <v>0</v>
      </c>
      <c r="N29" s="23" t="b">
        <f aca="false">FALSE()</f>
        <v>0</v>
      </c>
      <c r="O29" s="11" t="n">
        <f aca="false">N69/10</f>
        <v>0</v>
      </c>
      <c r="P29" s="23" t="b">
        <f aca="false">FALSE()</f>
        <v>0</v>
      </c>
      <c r="Q29" s="11" t="n">
        <f aca="false">P69/10</f>
        <v>0</v>
      </c>
    </row>
    <row r="30" customFormat="false" ht="27" hidden="false" customHeight="true" outlineLevel="0" collapsed="false">
      <c r="A30" s="8" t="s">
        <v>36</v>
      </c>
      <c r="B30" s="9" t="str">
        <f aca="false">IFERROR(INDEX(成員名單!$B$5:$B$34,MATCH($A30,成員名單!$A$5:$A$34,0))&amp;"","")</f>
        <v/>
      </c>
      <c r="C30" s="23" t="b">
        <f aca="false">FALSE()</f>
        <v>0</v>
      </c>
      <c r="D30" s="23" t="b">
        <f aca="false">FALSE()</f>
        <v>0</v>
      </c>
      <c r="E30" s="9" t="n">
        <f aca="false">D70/10</f>
        <v>0</v>
      </c>
      <c r="F30" s="23" t="b">
        <f aca="false">FALSE()</f>
        <v>0</v>
      </c>
      <c r="G30" s="9" t="n">
        <f aca="false">F70/10</f>
        <v>0</v>
      </c>
      <c r="H30" s="23" t="b">
        <f aca="false">FALSE()</f>
        <v>0</v>
      </c>
      <c r="I30" s="9" t="n">
        <f aca="false">H70/10</f>
        <v>0</v>
      </c>
      <c r="J30" s="23" t="b">
        <f aca="false">FALSE()</f>
        <v>0</v>
      </c>
      <c r="K30" s="9" t="n">
        <f aca="false">J70/10</f>
        <v>0</v>
      </c>
      <c r="L30" s="23" t="b">
        <f aca="false">FALSE()</f>
        <v>0</v>
      </c>
      <c r="M30" s="9" t="n">
        <f aca="false">L70/10</f>
        <v>0</v>
      </c>
      <c r="N30" s="23" t="b">
        <f aca="false">FALSE()</f>
        <v>0</v>
      </c>
      <c r="O30" s="9" t="n">
        <f aca="false">N70/10</f>
        <v>0</v>
      </c>
      <c r="P30" s="23" t="b">
        <f aca="false">FALSE()</f>
        <v>0</v>
      </c>
      <c r="Q30" s="9" t="n">
        <f aca="false">P70/10</f>
        <v>0</v>
      </c>
    </row>
    <row r="31" customFormat="false" ht="27" hidden="false" customHeight="true" outlineLevel="0" collapsed="false">
      <c r="A31" s="10" t="s">
        <v>37</v>
      </c>
      <c r="B31" s="11" t="str">
        <f aca="false">IFERROR(INDEX(成員名單!$B$5:$B$34,MATCH($A31,成員名單!$A$5:$A$34,0))&amp;"","")</f>
        <v/>
      </c>
      <c r="C31" s="23" t="b">
        <f aca="false">FALSE()</f>
        <v>0</v>
      </c>
      <c r="D31" s="23" t="b">
        <f aca="false">FALSE()</f>
        <v>0</v>
      </c>
      <c r="E31" s="11" t="n">
        <f aca="false">D71/10</f>
        <v>0</v>
      </c>
      <c r="F31" s="23" t="b">
        <f aca="false">FALSE()</f>
        <v>0</v>
      </c>
      <c r="G31" s="11" t="n">
        <f aca="false">F71/10</f>
        <v>0</v>
      </c>
      <c r="H31" s="23" t="b">
        <f aca="false">FALSE()</f>
        <v>0</v>
      </c>
      <c r="I31" s="11" t="n">
        <f aca="false">H71/10</f>
        <v>0</v>
      </c>
      <c r="J31" s="23" t="b">
        <f aca="false">FALSE()</f>
        <v>0</v>
      </c>
      <c r="K31" s="11" t="n">
        <f aca="false">J71/10</f>
        <v>0</v>
      </c>
      <c r="L31" s="23" t="b">
        <f aca="false">FALSE()</f>
        <v>0</v>
      </c>
      <c r="M31" s="11" t="n">
        <f aca="false">L71/10</f>
        <v>0</v>
      </c>
      <c r="N31" s="23" t="b">
        <f aca="false">FALSE()</f>
        <v>0</v>
      </c>
      <c r="O31" s="11" t="n">
        <f aca="false">N71/10</f>
        <v>0</v>
      </c>
      <c r="P31" s="23" t="b">
        <f aca="false">FALSE()</f>
        <v>0</v>
      </c>
      <c r="Q31" s="11" t="n">
        <f aca="false">P71/10</f>
        <v>0</v>
      </c>
    </row>
    <row r="32" customFormat="false" ht="27" hidden="false" customHeight="true" outlineLevel="0" collapsed="false">
      <c r="A32" s="8" t="s">
        <v>38</v>
      </c>
      <c r="B32" s="9" t="str">
        <f aca="false">IFERROR(INDEX(成員名單!$B$5:$B$34,MATCH($A32,成員名單!$A$5:$A$34,0))&amp;"","")</f>
        <v/>
      </c>
      <c r="C32" s="23" t="b">
        <f aca="false">FALSE()</f>
        <v>0</v>
      </c>
      <c r="D32" s="23" t="b">
        <f aca="false">FALSE()</f>
        <v>0</v>
      </c>
      <c r="E32" s="9" t="n">
        <f aca="false">D72/10</f>
        <v>0</v>
      </c>
      <c r="F32" s="23" t="b">
        <f aca="false">FALSE()</f>
        <v>0</v>
      </c>
      <c r="G32" s="9" t="n">
        <f aca="false">F72/10</f>
        <v>0</v>
      </c>
      <c r="H32" s="23" t="b">
        <f aca="false">FALSE()</f>
        <v>0</v>
      </c>
      <c r="I32" s="9" t="n">
        <f aca="false">H72/10</f>
        <v>0</v>
      </c>
      <c r="J32" s="23" t="b">
        <f aca="false">FALSE()</f>
        <v>0</v>
      </c>
      <c r="K32" s="9" t="n">
        <f aca="false">J72/10</f>
        <v>0</v>
      </c>
      <c r="L32" s="23" t="b">
        <f aca="false">FALSE()</f>
        <v>0</v>
      </c>
      <c r="M32" s="9" t="n">
        <f aca="false">L72/10</f>
        <v>0</v>
      </c>
      <c r="N32" s="23" t="b">
        <f aca="false">FALSE()</f>
        <v>0</v>
      </c>
      <c r="O32" s="9" t="n">
        <f aca="false">N72/10</f>
        <v>0</v>
      </c>
      <c r="P32" s="23" t="b">
        <f aca="false">FALSE()</f>
        <v>0</v>
      </c>
      <c r="Q32" s="9" t="n">
        <f aca="false">P72/10</f>
        <v>0</v>
      </c>
    </row>
    <row r="33" customFormat="false" ht="27" hidden="false" customHeight="true" outlineLevel="0" collapsed="false">
      <c r="A33" s="10" t="s">
        <v>39</v>
      </c>
      <c r="B33" s="11" t="str">
        <f aca="false">IFERROR(INDEX(成員名單!$B$5:$B$34,MATCH($A33,成員名單!$A$5:$A$34,0))&amp;"","")</f>
        <v/>
      </c>
      <c r="C33" s="23" t="b">
        <f aca="false">FALSE()</f>
        <v>0</v>
      </c>
      <c r="D33" s="23" t="b">
        <f aca="false">FALSE()</f>
        <v>0</v>
      </c>
      <c r="E33" s="11" t="n">
        <f aca="false">D73/10</f>
        <v>0</v>
      </c>
      <c r="F33" s="23" t="b">
        <f aca="false">FALSE()</f>
        <v>0</v>
      </c>
      <c r="G33" s="11" t="n">
        <f aca="false">F73/10</f>
        <v>0</v>
      </c>
      <c r="H33" s="23" t="b">
        <f aca="false">FALSE()</f>
        <v>0</v>
      </c>
      <c r="I33" s="11" t="n">
        <f aca="false">H73/10</f>
        <v>0</v>
      </c>
      <c r="J33" s="23" t="b">
        <f aca="false">FALSE()</f>
        <v>0</v>
      </c>
      <c r="K33" s="11" t="n">
        <f aca="false">J73/10</f>
        <v>0</v>
      </c>
      <c r="L33" s="23" t="b">
        <f aca="false">FALSE()</f>
        <v>0</v>
      </c>
      <c r="M33" s="11" t="n">
        <f aca="false">L73/10</f>
        <v>0</v>
      </c>
      <c r="N33" s="23" t="b">
        <f aca="false">FALSE()</f>
        <v>0</v>
      </c>
      <c r="O33" s="11" t="n">
        <f aca="false">N73/10</f>
        <v>0</v>
      </c>
      <c r="P33" s="23" t="b">
        <f aca="false">FALSE()</f>
        <v>0</v>
      </c>
      <c r="Q33" s="11" t="n">
        <f aca="false">P73/10</f>
        <v>0</v>
      </c>
    </row>
    <row r="34" customFormat="false" ht="27" hidden="false" customHeight="true" outlineLevel="0" collapsed="false">
      <c r="A34" s="8" t="s">
        <v>40</v>
      </c>
      <c r="B34" s="9" t="str">
        <f aca="false">IFERROR(INDEX(成員名單!$B$5:$B$34,MATCH($A34,成員名單!$A$5:$A$34,0))&amp;"","")</f>
        <v/>
      </c>
      <c r="C34" s="23" t="b">
        <f aca="false">FALSE()</f>
        <v>0</v>
      </c>
      <c r="D34" s="23" t="b">
        <f aca="false">FALSE()</f>
        <v>0</v>
      </c>
      <c r="E34" s="9" t="n">
        <f aca="false">D74/10</f>
        <v>0</v>
      </c>
      <c r="F34" s="23" t="b">
        <f aca="false">FALSE()</f>
        <v>0</v>
      </c>
      <c r="G34" s="9" t="n">
        <f aca="false">F74/10</f>
        <v>0</v>
      </c>
      <c r="H34" s="23" t="b">
        <f aca="false">FALSE()</f>
        <v>0</v>
      </c>
      <c r="I34" s="9" t="n">
        <f aca="false">H74/10</f>
        <v>0</v>
      </c>
      <c r="J34" s="23" t="b">
        <f aca="false">FALSE()</f>
        <v>0</v>
      </c>
      <c r="K34" s="9" t="n">
        <f aca="false">J74/10</f>
        <v>0</v>
      </c>
      <c r="L34" s="23" t="b">
        <f aca="false">FALSE()</f>
        <v>0</v>
      </c>
      <c r="M34" s="9" t="n">
        <f aca="false">L74/10</f>
        <v>0</v>
      </c>
      <c r="N34" s="23" t="b">
        <f aca="false">FALSE()</f>
        <v>0</v>
      </c>
      <c r="O34" s="9" t="n">
        <f aca="false">N74/10</f>
        <v>0</v>
      </c>
      <c r="P34" s="23" t="b">
        <f aca="false">FALSE()</f>
        <v>0</v>
      </c>
      <c r="Q34" s="9" t="n">
        <f aca="false">P74/10</f>
        <v>0</v>
      </c>
    </row>
    <row r="35" customFormat="false" ht="27" hidden="false" customHeight="true" outlineLevel="0" collapsed="false">
      <c r="A35" s="10" t="s">
        <v>41</v>
      </c>
      <c r="B35" s="11" t="str">
        <f aca="false">IFERROR(INDEX(成員名單!$B$5:$B$34,MATCH($A35,成員名單!$A$5:$A$34,0))&amp;"","")</f>
        <v/>
      </c>
      <c r="C35" s="23" t="b">
        <f aca="false">FALSE()</f>
        <v>0</v>
      </c>
      <c r="D35" s="23" t="b">
        <f aca="false">FALSE()</f>
        <v>0</v>
      </c>
      <c r="E35" s="11" t="n">
        <f aca="false">D75/10</f>
        <v>0</v>
      </c>
      <c r="F35" s="23" t="b">
        <f aca="false">FALSE()</f>
        <v>0</v>
      </c>
      <c r="G35" s="11" t="n">
        <f aca="false">F75/10</f>
        <v>0</v>
      </c>
      <c r="H35" s="23" t="b">
        <f aca="false">FALSE()</f>
        <v>0</v>
      </c>
      <c r="I35" s="11" t="n">
        <f aca="false">H75/10</f>
        <v>0</v>
      </c>
      <c r="J35" s="23" t="b">
        <f aca="false">FALSE()</f>
        <v>0</v>
      </c>
      <c r="K35" s="11" t="n">
        <f aca="false">J75/10</f>
        <v>0</v>
      </c>
      <c r="L35" s="23" t="b">
        <f aca="false">FALSE()</f>
        <v>0</v>
      </c>
      <c r="M35" s="11" t="n">
        <f aca="false">L75/10</f>
        <v>0</v>
      </c>
      <c r="N35" s="23" t="b">
        <f aca="false">FALSE()</f>
        <v>0</v>
      </c>
      <c r="O35" s="11" t="n">
        <f aca="false">N75/10</f>
        <v>0</v>
      </c>
      <c r="P35" s="23" t="b">
        <f aca="false">FALSE()</f>
        <v>0</v>
      </c>
      <c r="Q35" s="11" t="n">
        <f aca="false">P75/10</f>
        <v>0</v>
      </c>
    </row>
    <row r="36" customFormat="false" ht="27" hidden="false" customHeight="true" outlineLevel="0" collapsed="false">
      <c r="A36" s="8" t="s">
        <v>42</v>
      </c>
      <c r="B36" s="9" t="str">
        <f aca="false">IFERROR(INDEX(成員名單!$B$5:$B$34,MATCH($A36,成員名單!$A$5:$A$34,0))&amp;"","")</f>
        <v/>
      </c>
      <c r="C36" s="23" t="b">
        <f aca="false">FALSE()</f>
        <v>0</v>
      </c>
      <c r="D36" s="23" t="b">
        <f aca="false">FALSE()</f>
        <v>0</v>
      </c>
      <c r="E36" s="9" t="n">
        <f aca="false">D76/10</f>
        <v>0</v>
      </c>
      <c r="F36" s="23" t="b">
        <f aca="false">FALSE()</f>
        <v>0</v>
      </c>
      <c r="G36" s="9" t="n">
        <f aca="false">F76/10</f>
        <v>0</v>
      </c>
      <c r="H36" s="23" t="b">
        <f aca="false">FALSE()</f>
        <v>0</v>
      </c>
      <c r="I36" s="9" t="n">
        <f aca="false">H76/10</f>
        <v>0</v>
      </c>
      <c r="J36" s="23" t="b">
        <f aca="false">FALSE()</f>
        <v>0</v>
      </c>
      <c r="K36" s="9" t="n">
        <f aca="false">J76/10</f>
        <v>0</v>
      </c>
      <c r="L36" s="23" t="b">
        <f aca="false">FALSE()</f>
        <v>0</v>
      </c>
      <c r="M36" s="9" t="n">
        <f aca="false">L76/10</f>
        <v>0</v>
      </c>
      <c r="N36" s="23" t="b">
        <f aca="false">FALSE()</f>
        <v>0</v>
      </c>
      <c r="O36" s="9" t="n">
        <f aca="false">N76/10</f>
        <v>0</v>
      </c>
      <c r="P36" s="23" t="b">
        <f aca="false">FALSE()</f>
        <v>0</v>
      </c>
      <c r="Q36" s="9" t="n">
        <f aca="false">P76/10</f>
        <v>0</v>
      </c>
    </row>
    <row r="37" customFormat="false" ht="27" hidden="false" customHeight="true" outlineLevel="0" collapsed="false">
      <c r="A37" s="10" t="s">
        <v>43</v>
      </c>
      <c r="B37" s="11" t="str">
        <f aca="false">IFERROR(INDEX(成員名單!$B$5:$B$34,MATCH($A37,成員名單!$A$5:$A$34,0))&amp;"","")</f>
        <v/>
      </c>
      <c r="C37" s="23" t="b">
        <f aca="false">FALSE()</f>
        <v>0</v>
      </c>
      <c r="D37" s="23" t="b">
        <f aca="false">FALSE()</f>
        <v>0</v>
      </c>
      <c r="E37" s="11" t="n">
        <f aca="false">D77/10</f>
        <v>0</v>
      </c>
      <c r="F37" s="23" t="b">
        <f aca="false">FALSE()</f>
        <v>0</v>
      </c>
      <c r="G37" s="11" t="n">
        <f aca="false">F77/10</f>
        <v>0</v>
      </c>
      <c r="H37" s="23" t="b">
        <f aca="false">FALSE()</f>
        <v>0</v>
      </c>
      <c r="I37" s="11" t="n">
        <f aca="false">H77/10</f>
        <v>0</v>
      </c>
      <c r="J37" s="23" t="b">
        <f aca="false">FALSE()</f>
        <v>0</v>
      </c>
      <c r="K37" s="11" t="n">
        <f aca="false">J77/10</f>
        <v>0</v>
      </c>
      <c r="L37" s="23" t="b">
        <f aca="false">FALSE()</f>
        <v>0</v>
      </c>
      <c r="M37" s="11" t="n">
        <f aca="false">L77/10</f>
        <v>0</v>
      </c>
      <c r="N37" s="23" t="b">
        <f aca="false">FALSE()</f>
        <v>0</v>
      </c>
      <c r="O37" s="11" t="n">
        <f aca="false">N77/10</f>
        <v>0</v>
      </c>
      <c r="P37" s="23" t="b">
        <f aca="false">FALSE()</f>
        <v>0</v>
      </c>
      <c r="Q37" s="11" t="n">
        <f aca="false">P77/10</f>
        <v>0</v>
      </c>
    </row>
    <row r="38" customFormat="false" ht="27" hidden="false" customHeight="true" outlineLevel="0" collapsed="false">
      <c r="A38" s="8" t="s">
        <v>44</v>
      </c>
      <c r="B38" s="9" t="str">
        <f aca="false">IFERROR(INDEX(成員名單!$B$5:$B$34,MATCH($A38,成員名單!$A$5:$A$34,0))&amp;"","")</f>
        <v/>
      </c>
      <c r="C38" s="23" t="b">
        <f aca="false">FALSE()</f>
        <v>0</v>
      </c>
      <c r="D38" s="23" t="b">
        <f aca="false">FALSE()</f>
        <v>0</v>
      </c>
      <c r="E38" s="9" t="n">
        <f aca="false">D78/10</f>
        <v>0</v>
      </c>
      <c r="F38" s="23" t="b">
        <f aca="false">FALSE()</f>
        <v>0</v>
      </c>
      <c r="G38" s="9" t="n">
        <f aca="false">F78/10</f>
        <v>0</v>
      </c>
      <c r="H38" s="23" t="b">
        <f aca="false">FALSE()</f>
        <v>0</v>
      </c>
      <c r="I38" s="9" t="n">
        <f aca="false">H78/10</f>
        <v>0</v>
      </c>
      <c r="J38" s="23" t="b">
        <f aca="false">FALSE()</f>
        <v>0</v>
      </c>
      <c r="K38" s="9" t="n">
        <f aca="false">J78/10</f>
        <v>0</v>
      </c>
      <c r="L38" s="23" t="b">
        <f aca="false">FALSE()</f>
        <v>0</v>
      </c>
      <c r="M38" s="9" t="n">
        <f aca="false">L78/10</f>
        <v>0</v>
      </c>
      <c r="N38" s="23" t="b">
        <f aca="false">FALSE()</f>
        <v>0</v>
      </c>
      <c r="O38" s="9" t="n">
        <f aca="false">N78/10</f>
        <v>0</v>
      </c>
      <c r="P38" s="23" t="b">
        <f aca="false">FALSE()</f>
        <v>0</v>
      </c>
      <c r="Q38" s="9" t="n">
        <f aca="false">P78/10</f>
        <v>0</v>
      </c>
    </row>
    <row r="39" customFormat="false" ht="27" hidden="false" customHeight="true" outlineLevel="0" collapsed="false">
      <c r="A39" s="10" t="s">
        <v>45</v>
      </c>
      <c r="B39" s="11" t="str">
        <f aca="false">IFERROR(INDEX(成員名單!$B$5:$B$34,MATCH($A39,成員名單!$A$5:$A$34,0))&amp;"","")</f>
        <v/>
      </c>
      <c r="C39" s="23" t="b">
        <f aca="false">FALSE()</f>
        <v>0</v>
      </c>
      <c r="D39" s="23" t="b">
        <f aca="false">FALSE()</f>
        <v>0</v>
      </c>
      <c r="E39" s="11" t="n">
        <f aca="false">D79/10</f>
        <v>0</v>
      </c>
      <c r="F39" s="23" t="b">
        <f aca="false">FALSE()</f>
        <v>0</v>
      </c>
      <c r="G39" s="11" t="n">
        <f aca="false">F79/10</f>
        <v>0</v>
      </c>
      <c r="H39" s="23" t="b">
        <f aca="false">FALSE()</f>
        <v>0</v>
      </c>
      <c r="I39" s="11" t="n">
        <f aca="false">H79/10</f>
        <v>0</v>
      </c>
      <c r="J39" s="23" t="b">
        <f aca="false">FALSE()</f>
        <v>0</v>
      </c>
      <c r="K39" s="11" t="n">
        <f aca="false">J79/10</f>
        <v>0</v>
      </c>
      <c r="L39" s="23" t="b">
        <f aca="false">FALSE()</f>
        <v>0</v>
      </c>
      <c r="M39" s="11" t="n">
        <f aca="false">L79/10</f>
        <v>0</v>
      </c>
      <c r="N39" s="23" t="b">
        <f aca="false">FALSE()</f>
        <v>0</v>
      </c>
      <c r="O39" s="11" t="n">
        <f aca="false">N79/10</f>
        <v>0</v>
      </c>
      <c r="P39" s="23" t="b">
        <f aca="false">FALSE()</f>
        <v>0</v>
      </c>
      <c r="Q39" s="11" t="n">
        <f aca="false">P79/10</f>
        <v>0</v>
      </c>
    </row>
    <row r="40" customFormat="false" ht="27" hidden="false" customHeight="true" outlineLevel="0" collapsed="false">
      <c r="A40" s="8" t="s">
        <v>46</v>
      </c>
      <c r="B40" s="9" t="str">
        <f aca="false">IFERROR(INDEX(成員名單!$B$5:$B$34,MATCH($A40,成員名單!$A$5:$A$34,0))&amp;"","")</f>
        <v/>
      </c>
      <c r="C40" s="23" t="b">
        <f aca="false">FALSE()</f>
        <v>0</v>
      </c>
      <c r="D40" s="23" t="b">
        <f aca="false">FALSE()</f>
        <v>0</v>
      </c>
      <c r="E40" s="9" t="n">
        <f aca="false">D80/10</f>
        <v>0</v>
      </c>
      <c r="F40" s="23" t="b">
        <f aca="false">FALSE()</f>
        <v>0</v>
      </c>
      <c r="G40" s="9" t="n">
        <f aca="false">F80/10</f>
        <v>0</v>
      </c>
      <c r="H40" s="23" t="b">
        <f aca="false">FALSE()</f>
        <v>0</v>
      </c>
      <c r="I40" s="9" t="n">
        <f aca="false">H80/10</f>
        <v>0</v>
      </c>
      <c r="J40" s="23" t="b">
        <f aca="false">FALSE()</f>
        <v>0</v>
      </c>
      <c r="K40" s="9" t="n">
        <f aca="false">J80/10</f>
        <v>0</v>
      </c>
      <c r="L40" s="23" t="b">
        <f aca="false">FALSE()</f>
        <v>0</v>
      </c>
      <c r="M40" s="9" t="n">
        <f aca="false">L80/10</f>
        <v>0</v>
      </c>
      <c r="N40" s="23" t="b">
        <f aca="false">FALSE()</f>
        <v>0</v>
      </c>
      <c r="O40" s="9" t="n">
        <f aca="false">N80/10</f>
        <v>0</v>
      </c>
      <c r="P40" s="23" t="b">
        <f aca="false">FALSE()</f>
        <v>0</v>
      </c>
      <c r="Q40" s="9" t="n">
        <f aca="false">P80/10</f>
        <v>0</v>
      </c>
    </row>
    <row r="41" customFormat="false" ht="27" hidden="false" customHeight="true" outlineLevel="0" collapsed="false">
      <c r="A41" s="10" t="s">
        <v>47</v>
      </c>
      <c r="B41" s="11" t="str">
        <f aca="false">IFERROR(INDEX(成員名單!$B$5:$B$34,MATCH($A41,成員名單!$A$5:$A$34,0))&amp;"","")</f>
        <v/>
      </c>
      <c r="C41" s="23" t="b">
        <f aca="false">FALSE()</f>
        <v>0</v>
      </c>
      <c r="D41" s="23" t="b">
        <f aca="false">FALSE()</f>
        <v>0</v>
      </c>
      <c r="E41" s="11" t="n">
        <f aca="false">D81/10</f>
        <v>0</v>
      </c>
      <c r="F41" s="23" t="b">
        <f aca="false">FALSE()</f>
        <v>0</v>
      </c>
      <c r="G41" s="11" t="n">
        <f aca="false">F81/10</f>
        <v>0</v>
      </c>
      <c r="H41" s="23" t="b">
        <f aca="false">FALSE()</f>
        <v>0</v>
      </c>
      <c r="I41" s="11" t="n">
        <f aca="false">H81/10</f>
        <v>0</v>
      </c>
      <c r="J41" s="23" t="b">
        <f aca="false">FALSE()</f>
        <v>0</v>
      </c>
      <c r="K41" s="11" t="n">
        <f aca="false">J81/10</f>
        <v>0</v>
      </c>
      <c r="L41" s="23" t="b">
        <f aca="false">FALSE()</f>
        <v>0</v>
      </c>
      <c r="M41" s="11" t="n">
        <f aca="false">L81/10</f>
        <v>0</v>
      </c>
      <c r="N41" s="23" t="b">
        <f aca="false">FALSE()</f>
        <v>0</v>
      </c>
      <c r="O41" s="11" t="n">
        <f aca="false">N81/10</f>
        <v>0</v>
      </c>
      <c r="P41" s="23" t="b">
        <f aca="false">FALSE()</f>
        <v>0</v>
      </c>
      <c r="Q41" s="11" t="n">
        <f aca="false">P81/10</f>
        <v>0</v>
      </c>
    </row>
    <row r="42" customFormat="false" ht="27" hidden="false" customHeight="true" outlineLevel="0" collapsed="false">
      <c r="A42" s="12"/>
      <c r="B42" s="8" t="s">
        <v>88</v>
      </c>
      <c r="C42" s="12"/>
      <c r="D42" s="12"/>
      <c r="E42" s="9" t="n">
        <f aca="false">D51/10</f>
        <v>0</v>
      </c>
      <c r="F42" s="12"/>
      <c r="G42" s="9" t="n">
        <f aca="false">F51/10</f>
        <v>0</v>
      </c>
      <c r="H42" s="12"/>
      <c r="I42" s="9" t="n">
        <f aca="false">H51/10</f>
        <v>0</v>
      </c>
      <c r="J42" s="12"/>
      <c r="K42" s="9" t="n">
        <f aca="false">J51/10</f>
        <v>0</v>
      </c>
      <c r="L42" s="12"/>
      <c r="M42" s="9" t="n">
        <f aca="false">L51/10</f>
        <v>0</v>
      </c>
      <c r="N42" s="12"/>
      <c r="O42" s="9" t="n">
        <f aca="false">N51/10</f>
        <v>0</v>
      </c>
      <c r="P42" s="12"/>
      <c r="Q42" s="9" t="n">
        <f aca="false">P51/10</f>
        <v>0</v>
      </c>
    </row>
    <row r="46" customFormat="false" ht="15" hidden="true" customHeight="false" outlineLevel="0" collapsed="false">
      <c r="D46" s="14" t="n">
        <f aca="false">IFERROR(IF(D$47,ROUND(D$6*10,0),0),0)</f>
        <v>0</v>
      </c>
      <c r="F46" s="14" t="n">
        <f aca="false">IFERROR(IF(F$47,ROUND(F$6*10,0),0),0)</f>
        <v>0</v>
      </c>
      <c r="H46" s="14" t="n">
        <f aca="false">IFERROR(IF(H$47,ROUND(H$6*10,0),0),0)</f>
        <v>0</v>
      </c>
      <c r="J46" s="14" t="n">
        <f aca="false">IFERROR(IF(J$47,ROUND(J$6*10,0),0),0)</f>
        <v>0</v>
      </c>
      <c r="L46" s="14" t="n">
        <f aca="false">IFERROR(IF(L$47,ROUND(L$6*10,0),0),0)</f>
        <v>0</v>
      </c>
      <c r="N46" s="14" t="n">
        <f aca="false">IFERROR(IF(N$47,ROUND(N$6*10,0),0),0)</f>
        <v>0</v>
      </c>
      <c r="P46" s="14" t="n">
        <f aca="false">IFERROR(IF(P$47,ROUND(P$6*10,0),0),0)</f>
        <v>0</v>
      </c>
    </row>
    <row r="47" customFormat="false" ht="15" hidden="true" customHeight="false" outlineLevel="0" collapsed="false">
      <c r="D47" s="14" t="n">
        <f aca="false">IF(LEN(TRIM(D$6&amp;""))=0,TRUE(),IFERROR(AND(ISNUMBER(D$6),D$6&gt;=0,D$6&lt;=100000000,ROUND(D$6,1)=D$6),FALSE()))</f>
        <v>1</v>
      </c>
      <c r="F47" s="14" t="n">
        <f aca="false">IF(LEN(TRIM(F$6&amp;""))=0,TRUE(),IFERROR(AND(ISNUMBER(F$6),F$6&gt;=0,F$6&lt;=100000000,ROUND(F$6,1)=F$6),FALSE()))</f>
        <v>1</v>
      </c>
      <c r="H47" s="14" t="n">
        <f aca="false">IF(LEN(TRIM(H$6&amp;""))=0,TRUE(),IFERROR(AND(ISNUMBER(H$6),H$6&gt;=0,H$6&lt;=100000000,ROUND(H$6,1)=H$6),FALSE()))</f>
        <v>1</v>
      </c>
      <c r="J47" s="14" t="n">
        <f aca="false">IF(LEN(TRIM(J$6&amp;""))=0,TRUE(),IFERROR(AND(ISNUMBER(J$6),J$6&gt;=0,J$6&lt;=100000000,ROUND(J$6,1)=J$6),FALSE()))</f>
        <v>1</v>
      </c>
      <c r="L47" s="14" t="n">
        <f aca="false">IF(LEN(TRIM(L$6&amp;""))=0,TRUE(),IFERROR(AND(ISNUMBER(L$6),L$6&gt;=0,L$6&lt;=100000000,ROUND(L$6,1)=L$6),FALSE()))</f>
        <v>1</v>
      </c>
      <c r="N47" s="14" t="n">
        <f aca="false">IF(LEN(TRIM(N$6&amp;""))=0,TRUE(),IFERROR(AND(ISNUMBER(N$6),N$6&gt;=0,N$6&lt;=100000000,ROUND(N$6,1)=N$6),FALSE()))</f>
        <v>1</v>
      </c>
      <c r="P47" s="14" t="n">
        <f aca="false">IF(LEN(TRIM(P$6&amp;""))=0,TRUE(),IFERROR(AND(ISNUMBER(P$6),P$6&gt;=0,P$6&lt;=100000000,ROUND(P$6,1)=P$6),FALSE()))</f>
        <v>1</v>
      </c>
    </row>
    <row r="48" customFormat="false" ht="15" hidden="true" customHeight="false" outlineLevel="0" collapsed="false">
      <c r="D48" s="14" t="n">
        <f aca="false">IF(D$50,IF(AND($C$3=TRUE(),$C$49&gt;0),SUMPRODUCT(--(LEN(TRIM($B$12:$B$41))&gt;0),--(D$12:D$41=TRUE()),--($C$12:$C$41&lt;&gt;TRUE())),0),SUMPRODUCT(--(LEN(TRIM($B$12:$B$41))&gt;0),--(D$12:D$41=TRUE())))</f>
        <v>0</v>
      </c>
      <c r="F48" s="14" t="n">
        <f aca="false">IF(F$50,IF(AND($C$3=TRUE(),$C$49&gt;0),SUMPRODUCT(--(LEN(TRIM($B$12:$B$41))&gt;0),--(F$12:F$41=TRUE()),--($C$12:$C$41&lt;&gt;TRUE())),0),SUMPRODUCT(--(LEN(TRIM($B$12:$B$41))&gt;0),--(F$12:F$41=TRUE())))</f>
        <v>0</v>
      </c>
      <c r="H48" s="14" t="n">
        <f aca="false">IF(H$50,IF(AND($C$3=TRUE(),$C$49&gt;0),SUMPRODUCT(--(LEN(TRIM($B$12:$B$41))&gt;0),--(H$12:H$41=TRUE()),--($C$12:$C$41&lt;&gt;TRUE())),0),SUMPRODUCT(--(LEN(TRIM($B$12:$B$41))&gt;0),--(H$12:H$41=TRUE())))</f>
        <v>0</v>
      </c>
      <c r="J48" s="14" t="n">
        <f aca="false">IF(J$50,IF(AND($C$3=TRUE(),$C$49&gt;0),SUMPRODUCT(--(LEN(TRIM($B$12:$B$41))&gt;0),--(J$12:J$41=TRUE()),--($C$12:$C$41&lt;&gt;TRUE())),0),SUMPRODUCT(--(LEN(TRIM($B$12:$B$41))&gt;0),--(J$12:J$41=TRUE())))</f>
        <v>0</v>
      </c>
      <c r="L48" s="14" t="n">
        <f aca="false">IF(L$50,IF(AND($C$3=TRUE(),$C$49&gt;0),SUMPRODUCT(--(LEN(TRIM($B$12:$B$41))&gt;0),--(L$12:L$41=TRUE()),--($C$12:$C$41&lt;&gt;TRUE())),0),SUMPRODUCT(--(LEN(TRIM($B$12:$B$41))&gt;0),--(L$12:L$41=TRUE())))</f>
        <v>0</v>
      </c>
      <c r="N48" s="14" t="n">
        <f aca="false">IF(N$50,IF(AND($C$3=TRUE(),$C$49&gt;0),SUMPRODUCT(--(LEN(TRIM($B$12:$B$41))&gt;0),--(N$12:N$41=TRUE()),--($C$12:$C$41&lt;&gt;TRUE())),0),SUMPRODUCT(--(LEN(TRIM($B$12:$B$41))&gt;0),--(N$12:N$41=TRUE())))</f>
        <v>0</v>
      </c>
      <c r="P48" s="14" t="n">
        <f aca="false">IF(P$50,IF(AND($C$3=TRUE(),$C$49&gt;0),SUMPRODUCT(--(LEN(TRIM($B$12:$B$41))&gt;0),--(P$12:P$41=TRUE()),--($C$12:$C$41&lt;&gt;TRUE())),0),SUMPRODUCT(--(LEN(TRIM($B$12:$B$41))&gt;0),--(P$12:P$41=TRUE())))</f>
        <v>0</v>
      </c>
    </row>
    <row r="49" customFormat="false" ht="15" hidden="true" customHeight="false" outlineLevel="0" collapsed="false">
      <c r="C49" s="14" t="n">
        <f aca="false">SUMPRODUCT(--(LEN(TRIM($B$12:$B$41))&gt;0),--($C$12:$C$41=TRUE()))</f>
        <v>0</v>
      </c>
    </row>
    <row r="50" customFormat="false" ht="15" hidden="true" customHeight="false" outlineLevel="0" collapsed="false">
      <c r="D50" s="14" t="n">
        <f aca="false">OR(D$5="油錢",D$5="租車費")</f>
        <v>0</v>
      </c>
      <c r="F50" s="14" t="n">
        <f aca="false">OR(F$5="油錢",F$5="租車費")</f>
        <v>0</v>
      </c>
      <c r="H50" s="14" t="n">
        <f aca="false">OR(H$5="油錢",H$5="租車費")</f>
        <v>0</v>
      </c>
      <c r="J50" s="14" t="n">
        <f aca="false">OR(J$5="油錢",J$5="租車費")</f>
        <v>1</v>
      </c>
      <c r="L50" s="14" t="n">
        <f aca="false">OR(L$5="油錢",L$5="租車費")</f>
        <v>1</v>
      </c>
      <c r="N50" s="14" t="n">
        <f aca="false">OR(N$5="油錢",N$5="租車費")</f>
        <v>0</v>
      </c>
      <c r="P50" s="14" t="n">
        <f aca="false">OR(P$5="油錢",P$5="租車費")</f>
        <v>0</v>
      </c>
    </row>
    <row r="51" customFormat="false" ht="15" hidden="true" customHeight="false" outlineLevel="0" collapsed="false">
      <c r="D51" s="14" t="n">
        <f aca="false">SUM(D52:D81)</f>
        <v>0</v>
      </c>
      <c r="F51" s="14" t="n">
        <f aca="false">SUM(F52:F81)</f>
        <v>0</v>
      </c>
      <c r="H51" s="14" t="n">
        <f aca="false">SUM(H52:H81)</f>
        <v>0</v>
      </c>
      <c r="J51" s="14" t="n">
        <f aca="false">SUM(J52:J81)</f>
        <v>0</v>
      </c>
      <c r="L51" s="14" t="n">
        <f aca="false">SUM(L52:L81)</f>
        <v>0</v>
      </c>
      <c r="N51" s="14" t="n">
        <f aca="false">SUM(N52:N81)</f>
        <v>0</v>
      </c>
      <c r="P51" s="14" t="n">
        <f aca="false">SUM(P52:P81)</f>
        <v>0</v>
      </c>
    </row>
    <row r="52" customFormat="false" ht="15" hidden="true" customHeight="false" outlineLevel="0" collapsed="false">
      <c r="A52" s="13" t="s">
        <v>18</v>
      </c>
      <c r="D52" s="14" t="n">
        <f aca="false">IF(AND(D$47,D$48&gt;0,LEN(TRIM($B12))&gt;0,D12=TRUE(),IF(D$50,$C12&lt;&gt;TRUE(),TRUE())),QUOTIENT(D$46,MAX(1,D$48))+IF(IF(D$50,SUMPRODUCT(--(LEN(TRIM($B$12:$B12))&gt;0),--(D$12:D12=TRUE()),--($C$12:$C12&lt;&gt;TRUE())),SUMPRODUCT(--(LEN(TRIM($B$12:$B12))&gt;0),--(D$12:D12=TRUE())))&lt;=MOD(D$46,MAX(1,D$48)),1,0),0)</f>
        <v>0</v>
      </c>
      <c r="F52" s="14" t="n">
        <f aca="false">IF(AND(F$47,F$48&gt;0,LEN(TRIM($B12))&gt;0,F12=TRUE(),IF(F$50,$C12&lt;&gt;TRUE(),TRUE())),QUOTIENT(F$46,MAX(1,F$48))+IF(IF(F$50,SUMPRODUCT(--(LEN(TRIM($B$12:$B12))&gt;0),--(F$12:F12=TRUE()),--($C$12:$C12&lt;&gt;TRUE())),SUMPRODUCT(--(LEN(TRIM($B$12:$B12))&gt;0),--(F$12:F12=TRUE())))&lt;=MOD(F$46,MAX(1,F$48)),1,0),0)</f>
        <v>0</v>
      </c>
      <c r="H52" s="14" t="n">
        <f aca="false">IF(AND(H$47,H$48&gt;0,LEN(TRIM($B12))&gt;0,H12=TRUE(),IF(H$50,$C12&lt;&gt;TRUE(),TRUE())),QUOTIENT(H$46,MAX(1,H$48))+IF(IF(H$50,SUMPRODUCT(--(LEN(TRIM($B$12:$B12))&gt;0),--(H$12:H12=TRUE()),--($C$12:$C12&lt;&gt;TRUE())),SUMPRODUCT(--(LEN(TRIM($B$12:$B12))&gt;0),--(H$12:H12=TRUE())))&lt;=MOD(H$46,MAX(1,H$48)),1,0),0)</f>
        <v>0</v>
      </c>
      <c r="J52" s="14" t="n">
        <f aca="false">IF(AND(J$47,J$48&gt;0,LEN(TRIM($B12))&gt;0,J12=TRUE(),IF(J$50,$C12&lt;&gt;TRUE(),TRUE())),QUOTIENT(J$46,MAX(1,J$48))+IF(IF(J$50,SUMPRODUCT(--(LEN(TRIM($B$12:$B12))&gt;0),--(J$12:J12=TRUE()),--($C$12:$C12&lt;&gt;TRUE())),SUMPRODUCT(--(LEN(TRIM($B$12:$B12))&gt;0),--(J$12:J12=TRUE())))&lt;=MOD(J$46,MAX(1,J$48)),1,0),0)</f>
        <v>0</v>
      </c>
      <c r="L52" s="14" t="n">
        <f aca="false">IF(AND(L$47,L$48&gt;0,LEN(TRIM($B12))&gt;0,L12=TRUE(),IF(L$50,$C12&lt;&gt;TRUE(),TRUE())),QUOTIENT(L$46,MAX(1,L$48))+IF(IF(L$50,SUMPRODUCT(--(LEN(TRIM($B$12:$B12))&gt;0),--(L$12:L12=TRUE()),--($C$12:$C12&lt;&gt;TRUE())),SUMPRODUCT(--(LEN(TRIM($B$12:$B12))&gt;0),--(L$12:L12=TRUE())))&lt;=MOD(L$46,MAX(1,L$48)),1,0),0)</f>
        <v>0</v>
      </c>
      <c r="N52" s="14" t="n">
        <f aca="false">IF(AND(N$47,N$48&gt;0,LEN(TRIM($B12))&gt;0,N12=TRUE(),IF(N$50,$C12&lt;&gt;TRUE(),TRUE())),QUOTIENT(N$46,MAX(1,N$48))+IF(IF(N$50,SUMPRODUCT(--(LEN(TRIM($B$12:$B12))&gt;0),--(N$12:N12=TRUE()),--($C$12:$C12&lt;&gt;TRUE())),SUMPRODUCT(--(LEN(TRIM($B$12:$B12))&gt;0),--(N$12:N12=TRUE())))&lt;=MOD(N$46,MAX(1,N$48)),1,0),0)</f>
        <v>0</v>
      </c>
      <c r="P52" s="14" t="n">
        <f aca="false">IF(AND(P$47,P$48&gt;0,LEN(TRIM($B12))&gt;0,P12=TRUE(),IF(P$50,$C12&lt;&gt;TRUE(),TRUE())),QUOTIENT(P$46,MAX(1,P$48))+IF(IF(P$50,SUMPRODUCT(--(LEN(TRIM($B$12:$B12))&gt;0),--(P$12:P12=TRUE()),--($C$12:$C12&lt;&gt;TRUE())),SUMPRODUCT(--(LEN(TRIM($B$12:$B12))&gt;0),--(P$12:P12=TRUE())))&lt;=MOD(P$46,MAX(1,P$48)),1,0),0)</f>
        <v>0</v>
      </c>
    </row>
    <row r="53" customFormat="false" ht="15" hidden="true" customHeight="false" outlineLevel="0" collapsed="false">
      <c r="A53" s="13" t="s">
        <v>19</v>
      </c>
      <c r="D53" s="14" t="n">
        <f aca="false">IF(AND(D$47,D$48&gt;0,LEN(TRIM($B13))&gt;0,D13=TRUE(),IF(D$50,$C13&lt;&gt;TRUE(),TRUE())),QUOTIENT(D$46,MAX(1,D$48))+IF(IF(D$50,SUMPRODUCT(--(LEN(TRIM($B$12:$B13))&gt;0),--(D$12:D13=TRUE()),--($C$12:$C13&lt;&gt;TRUE())),SUMPRODUCT(--(LEN(TRIM($B$12:$B13))&gt;0),--(D$12:D13=TRUE())))&lt;=MOD(D$46,MAX(1,D$48)),1,0),0)</f>
        <v>0</v>
      </c>
      <c r="F53" s="14" t="n">
        <f aca="false">IF(AND(F$47,F$48&gt;0,LEN(TRIM($B13))&gt;0,F13=TRUE(),IF(F$50,$C13&lt;&gt;TRUE(),TRUE())),QUOTIENT(F$46,MAX(1,F$48))+IF(IF(F$50,SUMPRODUCT(--(LEN(TRIM($B$12:$B13))&gt;0),--(F$12:F13=TRUE()),--($C$12:$C13&lt;&gt;TRUE())),SUMPRODUCT(--(LEN(TRIM($B$12:$B13))&gt;0),--(F$12:F13=TRUE())))&lt;=MOD(F$46,MAX(1,F$48)),1,0),0)</f>
        <v>0</v>
      </c>
      <c r="H53" s="14" t="n">
        <f aca="false">IF(AND(H$47,H$48&gt;0,LEN(TRIM($B13))&gt;0,H13=TRUE(),IF(H$50,$C13&lt;&gt;TRUE(),TRUE())),QUOTIENT(H$46,MAX(1,H$48))+IF(IF(H$50,SUMPRODUCT(--(LEN(TRIM($B$12:$B13))&gt;0),--(H$12:H13=TRUE()),--($C$12:$C13&lt;&gt;TRUE())),SUMPRODUCT(--(LEN(TRIM($B$12:$B13))&gt;0),--(H$12:H13=TRUE())))&lt;=MOD(H$46,MAX(1,H$48)),1,0),0)</f>
        <v>0</v>
      </c>
      <c r="J53" s="14" t="n">
        <f aca="false">IF(AND(J$47,J$48&gt;0,LEN(TRIM($B13))&gt;0,J13=TRUE(),IF(J$50,$C13&lt;&gt;TRUE(),TRUE())),QUOTIENT(J$46,MAX(1,J$48))+IF(IF(J$50,SUMPRODUCT(--(LEN(TRIM($B$12:$B13))&gt;0),--(J$12:J13=TRUE()),--($C$12:$C13&lt;&gt;TRUE())),SUMPRODUCT(--(LEN(TRIM($B$12:$B13))&gt;0),--(J$12:J13=TRUE())))&lt;=MOD(J$46,MAX(1,J$48)),1,0),0)</f>
        <v>0</v>
      </c>
      <c r="L53" s="14" t="n">
        <f aca="false">IF(AND(L$47,L$48&gt;0,LEN(TRIM($B13))&gt;0,L13=TRUE(),IF(L$50,$C13&lt;&gt;TRUE(),TRUE())),QUOTIENT(L$46,MAX(1,L$48))+IF(IF(L$50,SUMPRODUCT(--(LEN(TRIM($B$12:$B13))&gt;0),--(L$12:L13=TRUE()),--($C$12:$C13&lt;&gt;TRUE())),SUMPRODUCT(--(LEN(TRIM($B$12:$B13))&gt;0),--(L$12:L13=TRUE())))&lt;=MOD(L$46,MAX(1,L$48)),1,0),0)</f>
        <v>0</v>
      </c>
      <c r="N53" s="14" t="n">
        <f aca="false">IF(AND(N$47,N$48&gt;0,LEN(TRIM($B13))&gt;0,N13=TRUE(),IF(N$50,$C13&lt;&gt;TRUE(),TRUE())),QUOTIENT(N$46,MAX(1,N$48))+IF(IF(N$50,SUMPRODUCT(--(LEN(TRIM($B$12:$B13))&gt;0),--(N$12:N13=TRUE()),--($C$12:$C13&lt;&gt;TRUE())),SUMPRODUCT(--(LEN(TRIM($B$12:$B13))&gt;0),--(N$12:N13=TRUE())))&lt;=MOD(N$46,MAX(1,N$48)),1,0),0)</f>
        <v>0</v>
      </c>
      <c r="P53" s="14" t="n">
        <f aca="false">IF(AND(P$47,P$48&gt;0,LEN(TRIM($B13))&gt;0,P13=TRUE(),IF(P$50,$C13&lt;&gt;TRUE(),TRUE())),QUOTIENT(P$46,MAX(1,P$48))+IF(IF(P$50,SUMPRODUCT(--(LEN(TRIM($B$12:$B13))&gt;0),--(P$12:P13=TRUE()),--($C$12:$C13&lt;&gt;TRUE())),SUMPRODUCT(--(LEN(TRIM($B$12:$B13))&gt;0),--(P$12:P13=TRUE())))&lt;=MOD(P$46,MAX(1,P$48)),1,0),0)</f>
        <v>0</v>
      </c>
    </row>
    <row r="54" customFormat="false" ht="15" hidden="true" customHeight="false" outlineLevel="0" collapsed="false">
      <c r="A54" s="13" t="s">
        <v>20</v>
      </c>
      <c r="D54" s="14" t="n">
        <f aca="false">IF(AND(D$47,D$48&gt;0,LEN(TRIM($B14))&gt;0,D14=TRUE(),IF(D$50,$C14&lt;&gt;TRUE(),TRUE())),QUOTIENT(D$46,MAX(1,D$48))+IF(IF(D$50,SUMPRODUCT(--(LEN(TRIM($B$12:$B14))&gt;0),--(D$12:D14=TRUE()),--($C$12:$C14&lt;&gt;TRUE())),SUMPRODUCT(--(LEN(TRIM($B$12:$B14))&gt;0),--(D$12:D14=TRUE())))&lt;=MOD(D$46,MAX(1,D$48)),1,0),0)</f>
        <v>0</v>
      </c>
      <c r="F54" s="14" t="n">
        <f aca="false">IF(AND(F$47,F$48&gt;0,LEN(TRIM($B14))&gt;0,F14=TRUE(),IF(F$50,$C14&lt;&gt;TRUE(),TRUE())),QUOTIENT(F$46,MAX(1,F$48))+IF(IF(F$50,SUMPRODUCT(--(LEN(TRIM($B$12:$B14))&gt;0),--(F$12:F14=TRUE()),--($C$12:$C14&lt;&gt;TRUE())),SUMPRODUCT(--(LEN(TRIM($B$12:$B14))&gt;0),--(F$12:F14=TRUE())))&lt;=MOD(F$46,MAX(1,F$48)),1,0),0)</f>
        <v>0</v>
      </c>
      <c r="H54" s="14" t="n">
        <f aca="false">IF(AND(H$47,H$48&gt;0,LEN(TRIM($B14))&gt;0,H14=TRUE(),IF(H$50,$C14&lt;&gt;TRUE(),TRUE())),QUOTIENT(H$46,MAX(1,H$48))+IF(IF(H$50,SUMPRODUCT(--(LEN(TRIM($B$12:$B14))&gt;0),--(H$12:H14=TRUE()),--($C$12:$C14&lt;&gt;TRUE())),SUMPRODUCT(--(LEN(TRIM($B$12:$B14))&gt;0),--(H$12:H14=TRUE())))&lt;=MOD(H$46,MAX(1,H$48)),1,0),0)</f>
        <v>0</v>
      </c>
      <c r="J54" s="14" t="n">
        <f aca="false">IF(AND(J$47,J$48&gt;0,LEN(TRIM($B14))&gt;0,J14=TRUE(),IF(J$50,$C14&lt;&gt;TRUE(),TRUE())),QUOTIENT(J$46,MAX(1,J$48))+IF(IF(J$50,SUMPRODUCT(--(LEN(TRIM($B$12:$B14))&gt;0),--(J$12:J14=TRUE()),--($C$12:$C14&lt;&gt;TRUE())),SUMPRODUCT(--(LEN(TRIM($B$12:$B14))&gt;0),--(J$12:J14=TRUE())))&lt;=MOD(J$46,MAX(1,J$48)),1,0),0)</f>
        <v>0</v>
      </c>
      <c r="L54" s="14" t="n">
        <f aca="false">IF(AND(L$47,L$48&gt;0,LEN(TRIM($B14))&gt;0,L14=TRUE(),IF(L$50,$C14&lt;&gt;TRUE(),TRUE())),QUOTIENT(L$46,MAX(1,L$48))+IF(IF(L$50,SUMPRODUCT(--(LEN(TRIM($B$12:$B14))&gt;0),--(L$12:L14=TRUE()),--($C$12:$C14&lt;&gt;TRUE())),SUMPRODUCT(--(LEN(TRIM($B$12:$B14))&gt;0),--(L$12:L14=TRUE())))&lt;=MOD(L$46,MAX(1,L$48)),1,0),0)</f>
        <v>0</v>
      </c>
      <c r="N54" s="14" t="n">
        <f aca="false">IF(AND(N$47,N$48&gt;0,LEN(TRIM($B14))&gt;0,N14=TRUE(),IF(N$50,$C14&lt;&gt;TRUE(),TRUE())),QUOTIENT(N$46,MAX(1,N$48))+IF(IF(N$50,SUMPRODUCT(--(LEN(TRIM($B$12:$B14))&gt;0),--(N$12:N14=TRUE()),--($C$12:$C14&lt;&gt;TRUE())),SUMPRODUCT(--(LEN(TRIM($B$12:$B14))&gt;0),--(N$12:N14=TRUE())))&lt;=MOD(N$46,MAX(1,N$48)),1,0),0)</f>
        <v>0</v>
      </c>
      <c r="P54" s="14" t="n">
        <f aca="false">IF(AND(P$47,P$48&gt;0,LEN(TRIM($B14))&gt;0,P14=TRUE(),IF(P$50,$C14&lt;&gt;TRUE(),TRUE())),QUOTIENT(P$46,MAX(1,P$48))+IF(IF(P$50,SUMPRODUCT(--(LEN(TRIM($B$12:$B14))&gt;0),--(P$12:P14=TRUE()),--($C$12:$C14&lt;&gt;TRUE())),SUMPRODUCT(--(LEN(TRIM($B$12:$B14))&gt;0),--(P$12:P14=TRUE())))&lt;=MOD(P$46,MAX(1,P$48)),1,0),0)</f>
        <v>0</v>
      </c>
    </row>
    <row r="55" customFormat="false" ht="15" hidden="true" customHeight="false" outlineLevel="0" collapsed="false">
      <c r="A55" s="13" t="s">
        <v>21</v>
      </c>
      <c r="D55" s="14" t="n">
        <f aca="false">IF(AND(D$47,D$48&gt;0,LEN(TRIM($B15))&gt;0,D15=TRUE(),IF(D$50,$C15&lt;&gt;TRUE(),TRUE())),QUOTIENT(D$46,MAX(1,D$48))+IF(IF(D$50,SUMPRODUCT(--(LEN(TRIM($B$12:$B15))&gt;0),--(D$12:D15=TRUE()),--($C$12:$C15&lt;&gt;TRUE())),SUMPRODUCT(--(LEN(TRIM($B$12:$B15))&gt;0),--(D$12:D15=TRUE())))&lt;=MOD(D$46,MAX(1,D$48)),1,0),0)</f>
        <v>0</v>
      </c>
      <c r="F55" s="14" t="n">
        <f aca="false">IF(AND(F$47,F$48&gt;0,LEN(TRIM($B15))&gt;0,F15=TRUE(),IF(F$50,$C15&lt;&gt;TRUE(),TRUE())),QUOTIENT(F$46,MAX(1,F$48))+IF(IF(F$50,SUMPRODUCT(--(LEN(TRIM($B$12:$B15))&gt;0),--(F$12:F15=TRUE()),--($C$12:$C15&lt;&gt;TRUE())),SUMPRODUCT(--(LEN(TRIM($B$12:$B15))&gt;0),--(F$12:F15=TRUE())))&lt;=MOD(F$46,MAX(1,F$48)),1,0),0)</f>
        <v>0</v>
      </c>
      <c r="H55" s="14" t="n">
        <f aca="false">IF(AND(H$47,H$48&gt;0,LEN(TRIM($B15))&gt;0,H15=TRUE(),IF(H$50,$C15&lt;&gt;TRUE(),TRUE())),QUOTIENT(H$46,MAX(1,H$48))+IF(IF(H$50,SUMPRODUCT(--(LEN(TRIM($B$12:$B15))&gt;0),--(H$12:H15=TRUE()),--($C$12:$C15&lt;&gt;TRUE())),SUMPRODUCT(--(LEN(TRIM($B$12:$B15))&gt;0),--(H$12:H15=TRUE())))&lt;=MOD(H$46,MAX(1,H$48)),1,0),0)</f>
        <v>0</v>
      </c>
      <c r="J55" s="14" t="n">
        <f aca="false">IF(AND(J$47,J$48&gt;0,LEN(TRIM($B15))&gt;0,J15=TRUE(),IF(J$50,$C15&lt;&gt;TRUE(),TRUE())),QUOTIENT(J$46,MAX(1,J$48))+IF(IF(J$50,SUMPRODUCT(--(LEN(TRIM($B$12:$B15))&gt;0),--(J$12:J15=TRUE()),--($C$12:$C15&lt;&gt;TRUE())),SUMPRODUCT(--(LEN(TRIM($B$12:$B15))&gt;0),--(J$12:J15=TRUE())))&lt;=MOD(J$46,MAX(1,J$48)),1,0),0)</f>
        <v>0</v>
      </c>
      <c r="L55" s="14" t="n">
        <f aca="false">IF(AND(L$47,L$48&gt;0,LEN(TRIM($B15))&gt;0,L15=TRUE(),IF(L$50,$C15&lt;&gt;TRUE(),TRUE())),QUOTIENT(L$46,MAX(1,L$48))+IF(IF(L$50,SUMPRODUCT(--(LEN(TRIM($B$12:$B15))&gt;0),--(L$12:L15=TRUE()),--($C$12:$C15&lt;&gt;TRUE())),SUMPRODUCT(--(LEN(TRIM($B$12:$B15))&gt;0),--(L$12:L15=TRUE())))&lt;=MOD(L$46,MAX(1,L$48)),1,0),0)</f>
        <v>0</v>
      </c>
      <c r="N55" s="14" t="n">
        <f aca="false">IF(AND(N$47,N$48&gt;0,LEN(TRIM($B15))&gt;0,N15=TRUE(),IF(N$50,$C15&lt;&gt;TRUE(),TRUE())),QUOTIENT(N$46,MAX(1,N$48))+IF(IF(N$50,SUMPRODUCT(--(LEN(TRIM($B$12:$B15))&gt;0),--(N$12:N15=TRUE()),--($C$12:$C15&lt;&gt;TRUE())),SUMPRODUCT(--(LEN(TRIM($B$12:$B15))&gt;0),--(N$12:N15=TRUE())))&lt;=MOD(N$46,MAX(1,N$48)),1,0),0)</f>
        <v>0</v>
      </c>
      <c r="P55" s="14" t="n">
        <f aca="false">IF(AND(P$47,P$48&gt;0,LEN(TRIM($B15))&gt;0,P15=TRUE(),IF(P$50,$C15&lt;&gt;TRUE(),TRUE())),QUOTIENT(P$46,MAX(1,P$48))+IF(IF(P$50,SUMPRODUCT(--(LEN(TRIM($B$12:$B15))&gt;0),--(P$12:P15=TRUE()),--($C$12:$C15&lt;&gt;TRUE())),SUMPRODUCT(--(LEN(TRIM($B$12:$B15))&gt;0),--(P$12:P15=TRUE())))&lt;=MOD(P$46,MAX(1,P$48)),1,0),0)</f>
        <v>0</v>
      </c>
    </row>
    <row r="56" customFormat="false" ht="15" hidden="true" customHeight="false" outlineLevel="0" collapsed="false">
      <c r="A56" s="13" t="s">
        <v>22</v>
      </c>
      <c r="D56" s="14" t="n">
        <f aca="false">IF(AND(D$47,D$48&gt;0,LEN(TRIM($B16))&gt;0,D16=TRUE(),IF(D$50,$C16&lt;&gt;TRUE(),TRUE())),QUOTIENT(D$46,MAX(1,D$48))+IF(IF(D$50,SUMPRODUCT(--(LEN(TRIM($B$12:$B16))&gt;0),--(D$12:D16=TRUE()),--($C$12:$C16&lt;&gt;TRUE())),SUMPRODUCT(--(LEN(TRIM($B$12:$B16))&gt;0),--(D$12:D16=TRUE())))&lt;=MOD(D$46,MAX(1,D$48)),1,0),0)</f>
        <v>0</v>
      </c>
      <c r="F56" s="14" t="n">
        <f aca="false">IF(AND(F$47,F$48&gt;0,LEN(TRIM($B16))&gt;0,F16=TRUE(),IF(F$50,$C16&lt;&gt;TRUE(),TRUE())),QUOTIENT(F$46,MAX(1,F$48))+IF(IF(F$50,SUMPRODUCT(--(LEN(TRIM($B$12:$B16))&gt;0),--(F$12:F16=TRUE()),--($C$12:$C16&lt;&gt;TRUE())),SUMPRODUCT(--(LEN(TRIM($B$12:$B16))&gt;0),--(F$12:F16=TRUE())))&lt;=MOD(F$46,MAX(1,F$48)),1,0),0)</f>
        <v>0</v>
      </c>
      <c r="H56" s="14" t="n">
        <f aca="false">IF(AND(H$47,H$48&gt;0,LEN(TRIM($B16))&gt;0,H16=TRUE(),IF(H$50,$C16&lt;&gt;TRUE(),TRUE())),QUOTIENT(H$46,MAX(1,H$48))+IF(IF(H$50,SUMPRODUCT(--(LEN(TRIM($B$12:$B16))&gt;0),--(H$12:H16=TRUE()),--($C$12:$C16&lt;&gt;TRUE())),SUMPRODUCT(--(LEN(TRIM($B$12:$B16))&gt;0),--(H$12:H16=TRUE())))&lt;=MOD(H$46,MAX(1,H$48)),1,0),0)</f>
        <v>0</v>
      </c>
      <c r="J56" s="14" t="n">
        <f aca="false">IF(AND(J$47,J$48&gt;0,LEN(TRIM($B16))&gt;0,J16=TRUE(),IF(J$50,$C16&lt;&gt;TRUE(),TRUE())),QUOTIENT(J$46,MAX(1,J$48))+IF(IF(J$50,SUMPRODUCT(--(LEN(TRIM($B$12:$B16))&gt;0),--(J$12:J16=TRUE()),--($C$12:$C16&lt;&gt;TRUE())),SUMPRODUCT(--(LEN(TRIM($B$12:$B16))&gt;0),--(J$12:J16=TRUE())))&lt;=MOD(J$46,MAX(1,J$48)),1,0),0)</f>
        <v>0</v>
      </c>
      <c r="L56" s="14" t="n">
        <f aca="false">IF(AND(L$47,L$48&gt;0,LEN(TRIM($B16))&gt;0,L16=TRUE(),IF(L$50,$C16&lt;&gt;TRUE(),TRUE())),QUOTIENT(L$46,MAX(1,L$48))+IF(IF(L$50,SUMPRODUCT(--(LEN(TRIM($B$12:$B16))&gt;0),--(L$12:L16=TRUE()),--($C$12:$C16&lt;&gt;TRUE())),SUMPRODUCT(--(LEN(TRIM($B$12:$B16))&gt;0),--(L$12:L16=TRUE())))&lt;=MOD(L$46,MAX(1,L$48)),1,0),0)</f>
        <v>0</v>
      </c>
      <c r="N56" s="14" t="n">
        <f aca="false">IF(AND(N$47,N$48&gt;0,LEN(TRIM($B16))&gt;0,N16=TRUE(),IF(N$50,$C16&lt;&gt;TRUE(),TRUE())),QUOTIENT(N$46,MAX(1,N$48))+IF(IF(N$50,SUMPRODUCT(--(LEN(TRIM($B$12:$B16))&gt;0),--(N$12:N16=TRUE()),--($C$12:$C16&lt;&gt;TRUE())),SUMPRODUCT(--(LEN(TRIM($B$12:$B16))&gt;0),--(N$12:N16=TRUE())))&lt;=MOD(N$46,MAX(1,N$48)),1,0),0)</f>
        <v>0</v>
      </c>
      <c r="P56" s="14" t="n">
        <f aca="false">IF(AND(P$47,P$48&gt;0,LEN(TRIM($B16))&gt;0,P16=TRUE(),IF(P$50,$C16&lt;&gt;TRUE(),TRUE())),QUOTIENT(P$46,MAX(1,P$48))+IF(IF(P$50,SUMPRODUCT(--(LEN(TRIM($B$12:$B16))&gt;0),--(P$12:P16=TRUE()),--($C$12:$C16&lt;&gt;TRUE())),SUMPRODUCT(--(LEN(TRIM($B$12:$B16))&gt;0),--(P$12:P16=TRUE())))&lt;=MOD(P$46,MAX(1,P$48)),1,0),0)</f>
        <v>0</v>
      </c>
    </row>
    <row r="57" customFormat="false" ht="15" hidden="true" customHeight="false" outlineLevel="0" collapsed="false">
      <c r="A57" s="13" t="s">
        <v>23</v>
      </c>
      <c r="D57" s="14" t="n">
        <f aca="false">IF(AND(D$47,D$48&gt;0,LEN(TRIM($B17))&gt;0,D17=TRUE(),IF(D$50,$C17&lt;&gt;TRUE(),TRUE())),QUOTIENT(D$46,MAX(1,D$48))+IF(IF(D$50,SUMPRODUCT(--(LEN(TRIM($B$12:$B17))&gt;0),--(D$12:D17=TRUE()),--($C$12:$C17&lt;&gt;TRUE())),SUMPRODUCT(--(LEN(TRIM($B$12:$B17))&gt;0),--(D$12:D17=TRUE())))&lt;=MOD(D$46,MAX(1,D$48)),1,0),0)</f>
        <v>0</v>
      </c>
      <c r="F57" s="14" t="n">
        <f aca="false">IF(AND(F$47,F$48&gt;0,LEN(TRIM($B17))&gt;0,F17=TRUE(),IF(F$50,$C17&lt;&gt;TRUE(),TRUE())),QUOTIENT(F$46,MAX(1,F$48))+IF(IF(F$50,SUMPRODUCT(--(LEN(TRIM($B$12:$B17))&gt;0),--(F$12:F17=TRUE()),--($C$12:$C17&lt;&gt;TRUE())),SUMPRODUCT(--(LEN(TRIM($B$12:$B17))&gt;0),--(F$12:F17=TRUE())))&lt;=MOD(F$46,MAX(1,F$48)),1,0),0)</f>
        <v>0</v>
      </c>
      <c r="H57" s="14" t="n">
        <f aca="false">IF(AND(H$47,H$48&gt;0,LEN(TRIM($B17))&gt;0,H17=TRUE(),IF(H$50,$C17&lt;&gt;TRUE(),TRUE())),QUOTIENT(H$46,MAX(1,H$48))+IF(IF(H$50,SUMPRODUCT(--(LEN(TRIM($B$12:$B17))&gt;0),--(H$12:H17=TRUE()),--($C$12:$C17&lt;&gt;TRUE())),SUMPRODUCT(--(LEN(TRIM($B$12:$B17))&gt;0),--(H$12:H17=TRUE())))&lt;=MOD(H$46,MAX(1,H$48)),1,0),0)</f>
        <v>0</v>
      </c>
      <c r="J57" s="14" t="n">
        <f aca="false">IF(AND(J$47,J$48&gt;0,LEN(TRIM($B17))&gt;0,J17=TRUE(),IF(J$50,$C17&lt;&gt;TRUE(),TRUE())),QUOTIENT(J$46,MAX(1,J$48))+IF(IF(J$50,SUMPRODUCT(--(LEN(TRIM($B$12:$B17))&gt;0),--(J$12:J17=TRUE()),--($C$12:$C17&lt;&gt;TRUE())),SUMPRODUCT(--(LEN(TRIM($B$12:$B17))&gt;0),--(J$12:J17=TRUE())))&lt;=MOD(J$46,MAX(1,J$48)),1,0),0)</f>
        <v>0</v>
      </c>
      <c r="L57" s="14" t="n">
        <f aca="false">IF(AND(L$47,L$48&gt;0,LEN(TRIM($B17))&gt;0,L17=TRUE(),IF(L$50,$C17&lt;&gt;TRUE(),TRUE())),QUOTIENT(L$46,MAX(1,L$48))+IF(IF(L$50,SUMPRODUCT(--(LEN(TRIM($B$12:$B17))&gt;0),--(L$12:L17=TRUE()),--($C$12:$C17&lt;&gt;TRUE())),SUMPRODUCT(--(LEN(TRIM($B$12:$B17))&gt;0),--(L$12:L17=TRUE())))&lt;=MOD(L$46,MAX(1,L$48)),1,0),0)</f>
        <v>0</v>
      </c>
      <c r="N57" s="14" t="n">
        <f aca="false">IF(AND(N$47,N$48&gt;0,LEN(TRIM($B17))&gt;0,N17=TRUE(),IF(N$50,$C17&lt;&gt;TRUE(),TRUE())),QUOTIENT(N$46,MAX(1,N$48))+IF(IF(N$50,SUMPRODUCT(--(LEN(TRIM($B$12:$B17))&gt;0),--(N$12:N17=TRUE()),--($C$12:$C17&lt;&gt;TRUE())),SUMPRODUCT(--(LEN(TRIM($B$12:$B17))&gt;0),--(N$12:N17=TRUE())))&lt;=MOD(N$46,MAX(1,N$48)),1,0),0)</f>
        <v>0</v>
      </c>
      <c r="P57" s="14" t="n">
        <f aca="false">IF(AND(P$47,P$48&gt;0,LEN(TRIM($B17))&gt;0,P17=TRUE(),IF(P$50,$C17&lt;&gt;TRUE(),TRUE())),QUOTIENT(P$46,MAX(1,P$48))+IF(IF(P$50,SUMPRODUCT(--(LEN(TRIM($B$12:$B17))&gt;0),--(P$12:P17=TRUE()),--($C$12:$C17&lt;&gt;TRUE())),SUMPRODUCT(--(LEN(TRIM($B$12:$B17))&gt;0),--(P$12:P17=TRUE())))&lt;=MOD(P$46,MAX(1,P$48)),1,0),0)</f>
        <v>0</v>
      </c>
    </row>
    <row r="58" customFormat="false" ht="15" hidden="true" customHeight="false" outlineLevel="0" collapsed="false">
      <c r="A58" s="13" t="s">
        <v>24</v>
      </c>
      <c r="D58" s="14" t="n">
        <f aca="false">IF(AND(D$47,D$48&gt;0,LEN(TRIM($B18))&gt;0,D18=TRUE(),IF(D$50,$C18&lt;&gt;TRUE(),TRUE())),QUOTIENT(D$46,MAX(1,D$48))+IF(IF(D$50,SUMPRODUCT(--(LEN(TRIM($B$12:$B18))&gt;0),--(D$12:D18=TRUE()),--($C$12:$C18&lt;&gt;TRUE())),SUMPRODUCT(--(LEN(TRIM($B$12:$B18))&gt;0),--(D$12:D18=TRUE())))&lt;=MOD(D$46,MAX(1,D$48)),1,0),0)</f>
        <v>0</v>
      </c>
      <c r="F58" s="14" t="n">
        <f aca="false">IF(AND(F$47,F$48&gt;0,LEN(TRIM($B18))&gt;0,F18=TRUE(),IF(F$50,$C18&lt;&gt;TRUE(),TRUE())),QUOTIENT(F$46,MAX(1,F$48))+IF(IF(F$50,SUMPRODUCT(--(LEN(TRIM($B$12:$B18))&gt;0),--(F$12:F18=TRUE()),--($C$12:$C18&lt;&gt;TRUE())),SUMPRODUCT(--(LEN(TRIM($B$12:$B18))&gt;0),--(F$12:F18=TRUE())))&lt;=MOD(F$46,MAX(1,F$48)),1,0),0)</f>
        <v>0</v>
      </c>
      <c r="H58" s="14" t="n">
        <f aca="false">IF(AND(H$47,H$48&gt;0,LEN(TRIM($B18))&gt;0,H18=TRUE(),IF(H$50,$C18&lt;&gt;TRUE(),TRUE())),QUOTIENT(H$46,MAX(1,H$48))+IF(IF(H$50,SUMPRODUCT(--(LEN(TRIM($B$12:$B18))&gt;0),--(H$12:H18=TRUE()),--($C$12:$C18&lt;&gt;TRUE())),SUMPRODUCT(--(LEN(TRIM($B$12:$B18))&gt;0),--(H$12:H18=TRUE())))&lt;=MOD(H$46,MAX(1,H$48)),1,0),0)</f>
        <v>0</v>
      </c>
      <c r="J58" s="14" t="n">
        <f aca="false">IF(AND(J$47,J$48&gt;0,LEN(TRIM($B18))&gt;0,J18=TRUE(),IF(J$50,$C18&lt;&gt;TRUE(),TRUE())),QUOTIENT(J$46,MAX(1,J$48))+IF(IF(J$50,SUMPRODUCT(--(LEN(TRIM($B$12:$B18))&gt;0),--(J$12:J18=TRUE()),--($C$12:$C18&lt;&gt;TRUE())),SUMPRODUCT(--(LEN(TRIM($B$12:$B18))&gt;0),--(J$12:J18=TRUE())))&lt;=MOD(J$46,MAX(1,J$48)),1,0),0)</f>
        <v>0</v>
      </c>
      <c r="L58" s="14" t="n">
        <f aca="false">IF(AND(L$47,L$48&gt;0,LEN(TRIM($B18))&gt;0,L18=TRUE(),IF(L$50,$C18&lt;&gt;TRUE(),TRUE())),QUOTIENT(L$46,MAX(1,L$48))+IF(IF(L$50,SUMPRODUCT(--(LEN(TRIM($B$12:$B18))&gt;0),--(L$12:L18=TRUE()),--($C$12:$C18&lt;&gt;TRUE())),SUMPRODUCT(--(LEN(TRIM($B$12:$B18))&gt;0),--(L$12:L18=TRUE())))&lt;=MOD(L$46,MAX(1,L$48)),1,0),0)</f>
        <v>0</v>
      </c>
      <c r="N58" s="14" t="n">
        <f aca="false">IF(AND(N$47,N$48&gt;0,LEN(TRIM($B18))&gt;0,N18=TRUE(),IF(N$50,$C18&lt;&gt;TRUE(),TRUE())),QUOTIENT(N$46,MAX(1,N$48))+IF(IF(N$50,SUMPRODUCT(--(LEN(TRIM($B$12:$B18))&gt;0),--(N$12:N18=TRUE()),--($C$12:$C18&lt;&gt;TRUE())),SUMPRODUCT(--(LEN(TRIM($B$12:$B18))&gt;0),--(N$12:N18=TRUE())))&lt;=MOD(N$46,MAX(1,N$48)),1,0),0)</f>
        <v>0</v>
      </c>
      <c r="P58" s="14" t="n">
        <f aca="false">IF(AND(P$47,P$48&gt;0,LEN(TRIM($B18))&gt;0,P18=TRUE(),IF(P$50,$C18&lt;&gt;TRUE(),TRUE())),QUOTIENT(P$46,MAX(1,P$48))+IF(IF(P$50,SUMPRODUCT(--(LEN(TRIM($B$12:$B18))&gt;0),--(P$12:P18=TRUE()),--($C$12:$C18&lt;&gt;TRUE())),SUMPRODUCT(--(LEN(TRIM($B$12:$B18))&gt;0),--(P$12:P18=TRUE())))&lt;=MOD(P$46,MAX(1,P$48)),1,0),0)</f>
        <v>0</v>
      </c>
    </row>
    <row r="59" customFormat="false" ht="15" hidden="true" customHeight="false" outlineLevel="0" collapsed="false">
      <c r="A59" s="13" t="s">
        <v>25</v>
      </c>
      <c r="D59" s="14" t="n">
        <f aca="false">IF(AND(D$47,D$48&gt;0,LEN(TRIM($B19))&gt;0,D19=TRUE(),IF(D$50,$C19&lt;&gt;TRUE(),TRUE())),QUOTIENT(D$46,MAX(1,D$48))+IF(IF(D$50,SUMPRODUCT(--(LEN(TRIM($B$12:$B19))&gt;0),--(D$12:D19=TRUE()),--($C$12:$C19&lt;&gt;TRUE())),SUMPRODUCT(--(LEN(TRIM($B$12:$B19))&gt;0),--(D$12:D19=TRUE())))&lt;=MOD(D$46,MAX(1,D$48)),1,0),0)</f>
        <v>0</v>
      </c>
      <c r="F59" s="14" t="n">
        <f aca="false">IF(AND(F$47,F$48&gt;0,LEN(TRIM($B19))&gt;0,F19=TRUE(),IF(F$50,$C19&lt;&gt;TRUE(),TRUE())),QUOTIENT(F$46,MAX(1,F$48))+IF(IF(F$50,SUMPRODUCT(--(LEN(TRIM($B$12:$B19))&gt;0),--(F$12:F19=TRUE()),--($C$12:$C19&lt;&gt;TRUE())),SUMPRODUCT(--(LEN(TRIM($B$12:$B19))&gt;0),--(F$12:F19=TRUE())))&lt;=MOD(F$46,MAX(1,F$48)),1,0),0)</f>
        <v>0</v>
      </c>
      <c r="H59" s="14" t="n">
        <f aca="false">IF(AND(H$47,H$48&gt;0,LEN(TRIM($B19))&gt;0,H19=TRUE(),IF(H$50,$C19&lt;&gt;TRUE(),TRUE())),QUOTIENT(H$46,MAX(1,H$48))+IF(IF(H$50,SUMPRODUCT(--(LEN(TRIM($B$12:$B19))&gt;0),--(H$12:H19=TRUE()),--($C$12:$C19&lt;&gt;TRUE())),SUMPRODUCT(--(LEN(TRIM($B$12:$B19))&gt;0),--(H$12:H19=TRUE())))&lt;=MOD(H$46,MAX(1,H$48)),1,0),0)</f>
        <v>0</v>
      </c>
      <c r="J59" s="14" t="n">
        <f aca="false">IF(AND(J$47,J$48&gt;0,LEN(TRIM($B19))&gt;0,J19=TRUE(),IF(J$50,$C19&lt;&gt;TRUE(),TRUE())),QUOTIENT(J$46,MAX(1,J$48))+IF(IF(J$50,SUMPRODUCT(--(LEN(TRIM($B$12:$B19))&gt;0),--(J$12:J19=TRUE()),--($C$12:$C19&lt;&gt;TRUE())),SUMPRODUCT(--(LEN(TRIM($B$12:$B19))&gt;0),--(J$12:J19=TRUE())))&lt;=MOD(J$46,MAX(1,J$48)),1,0),0)</f>
        <v>0</v>
      </c>
      <c r="L59" s="14" t="n">
        <f aca="false">IF(AND(L$47,L$48&gt;0,LEN(TRIM($B19))&gt;0,L19=TRUE(),IF(L$50,$C19&lt;&gt;TRUE(),TRUE())),QUOTIENT(L$46,MAX(1,L$48))+IF(IF(L$50,SUMPRODUCT(--(LEN(TRIM($B$12:$B19))&gt;0),--(L$12:L19=TRUE()),--($C$12:$C19&lt;&gt;TRUE())),SUMPRODUCT(--(LEN(TRIM($B$12:$B19))&gt;0),--(L$12:L19=TRUE())))&lt;=MOD(L$46,MAX(1,L$48)),1,0),0)</f>
        <v>0</v>
      </c>
      <c r="N59" s="14" t="n">
        <f aca="false">IF(AND(N$47,N$48&gt;0,LEN(TRIM($B19))&gt;0,N19=TRUE(),IF(N$50,$C19&lt;&gt;TRUE(),TRUE())),QUOTIENT(N$46,MAX(1,N$48))+IF(IF(N$50,SUMPRODUCT(--(LEN(TRIM($B$12:$B19))&gt;0),--(N$12:N19=TRUE()),--($C$12:$C19&lt;&gt;TRUE())),SUMPRODUCT(--(LEN(TRIM($B$12:$B19))&gt;0),--(N$12:N19=TRUE())))&lt;=MOD(N$46,MAX(1,N$48)),1,0),0)</f>
        <v>0</v>
      </c>
      <c r="P59" s="14" t="n">
        <f aca="false">IF(AND(P$47,P$48&gt;0,LEN(TRIM($B19))&gt;0,P19=TRUE(),IF(P$50,$C19&lt;&gt;TRUE(),TRUE())),QUOTIENT(P$46,MAX(1,P$48))+IF(IF(P$50,SUMPRODUCT(--(LEN(TRIM($B$12:$B19))&gt;0),--(P$12:P19=TRUE()),--($C$12:$C19&lt;&gt;TRUE())),SUMPRODUCT(--(LEN(TRIM($B$12:$B19))&gt;0),--(P$12:P19=TRUE())))&lt;=MOD(P$46,MAX(1,P$48)),1,0),0)</f>
        <v>0</v>
      </c>
    </row>
    <row r="60" customFormat="false" ht="15" hidden="true" customHeight="false" outlineLevel="0" collapsed="false">
      <c r="A60" s="13" t="s">
        <v>26</v>
      </c>
      <c r="D60" s="14" t="n">
        <f aca="false">IF(AND(D$47,D$48&gt;0,LEN(TRIM($B20))&gt;0,D20=TRUE(),IF(D$50,$C20&lt;&gt;TRUE(),TRUE())),QUOTIENT(D$46,MAX(1,D$48))+IF(IF(D$50,SUMPRODUCT(--(LEN(TRIM($B$12:$B20))&gt;0),--(D$12:D20=TRUE()),--($C$12:$C20&lt;&gt;TRUE())),SUMPRODUCT(--(LEN(TRIM($B$12:$B20))&gt;0),--(D$12:D20=TRUE())))&lt;=MOD(D$46,MAX(1,D$48)),1,0),0)</f>
        <v>0</v>
      </c>
      <c r="F60" s="14" t="n">
        <f aca="false">IF(AND(F$47,F$48&gt;0,LEN(TRIM($B20))&gt;0,F20=TRUE(),IF(F$50,$C20&lt;&gt;TRUE(),TRUE())),QUOTIENT(F$46,MAX(1,F$48))+IF(IF(F$50,SUMPRODUCT(--(LEN(TRIM($B$12:$B20))&gt;0),--(F$12:F20=TRUE()),--($C$12:$C20&lt;&gt;TRUE())),SUMPRODUCT(--(LEN(TRIM($B$12:$B20))&gt;0),--(F$12:F20=TRUE())))&lt;=MOD(F$46,MAX(1,F$48)),1,0),0)</f>
        <v>0</v>
      </c>
      <c r="H60" s="14" t="n">
        <f aca="false">IF(AND(H$47,H$48&gt;0,LEN(TRIM($B20))&gt;0,H20=TRUE(),IF(H$50,$C20&lt;&gt;TRUE(),TRUE())),QUOTIENT(H$46,MAX(1,H$48))+IF(IF(H$50,SUMPRODUCT(--(LEN(TRIM($B$12:$B20))&gt;0),--(H$12:H20=TRUE()),--($C$12:$C20&lt;&gt;TRUE())),SUMPRODUCT(--(LEN(TRIM($B$12:$B20))&gt;0),--(H$12:H20=TRUE())))&lt;=MOD(H$46,MAX(1,H$48)),1,0),0)</f>
        <v>0</v>
      </c>
      <c r="J60" s="14" t="n">
        <f aca="false">IF(AND(J$47,J$48&gt;0,LEN(TRIM($B20))&gt;0,J20=TRUE(),IF(J$50,$C20&lt;&gt;TRUE(),TRUE())),QUOTIENT(J$46,MAX(1,J$48))+IF(IF(J$50,SUMPRODUCT(--(LEN(TRIM($B$12:$B20))&gt;0),--(J$12:J20=TRUE()),--($C$12:$C20&lt;&gt;TRUE())),SUMPRODUCT(--(LEN(TRIM($B$12:$B20))&gt;0),--(J$12:J20=TRUE())))&lt;=MOD(J$46,MAX(1,J$48)),1,0),0)</f>
        <v>0</v>
      </c>
      <c r="L60" s="14" t="n">
        <f aca="false">IF(AND(L$47,L$48&gt;0,LEN(TRIM($B20))&gt;0,L20=TRUE(),IF(L$50,$C20&lt;&gt;TRUE(),TRUE())),QUOTIENT(L$46,MAX(1,L$48))+IF(IF(L$50,SUMPRODUCT(--(LEN(TRIM($B$12:$B20))&gt;0),--(L$12:L20=TRUE()),--($C$12:$C20&lt;&gt;TRUE())),SUMPRODUCT(--(LEN(TRIM($B$12:$B20))&gt;0),--(L$12:L20=TRUE())))&lt;=MOD(L$46,MAX(1,L$48)),1,0),0)</f>
        <v>0</v>
      </c>
      <c r="N60" s="14" t="n">
        <f aca="false">IF(AND(N$47,N$48&gt;0,LEN(TRIM($B20))&gt;0,N20=TRUE(),IF(N$50,$C20&lt;&gt;TRUE(),TRUE())),QUOTIENT(N$46,MAX(1,N$48))+IF(IF(N$50,SUMPRODUCT(--(LEN(TRIM($B$12:$B20))&gt;0),--(N$12:N20=TRUE()),--($C$12:$C20&lt;&gt;TRUE())),SUMPRODUCT(--(LEN(TRIM($B$12:$B20))&gt;0),--(N$12:N20=TRUE())))&lt;=MOD(N$46,MAX(1,N$48)),1,0),0)</f>
        <v>0</v>
      </c>
      <c r="P60" s="14" t="n">
        <f aca="false">IF(AND(P$47,P$48&gt;0,LEN(TRIM($B20))&gt;0,P20=TRUE(),IF(P$50,$C20&lt;&gt;TRUE(),TRUE())),QUOTIENT(P$46,MAX(1,P$48))+IF(IF(P$50,SUMPRODUCT(--(LEN(TRIM($B$12:$B20))&gt;0),--(P$12:P20=TRUE()),--($C$12:$C20&lt;&gt;TRUE())),SUMPRODUCT(--(LEN(TRIM($B$12:$B20))&gt;0),--(P$12:P20=TRUE())))&lt;=MOD(P$46,MAX(1,P$48)),1,0),0)</f>
        <v>0</v>
      </c>
    </row>
    <row r="61" customFormat="false" ht="15" hidden="true" customHeight="false" outlineLevel="0" collapsed="false">
      <c r="A61" s="13" t="s">
        <v>27</v>
      </c>
      <c r="D61" s="14" t="n">
        <f aca="false">IF(AND(D$47,D$48&gt;0,LEN(TRIM($B21))&gt;0,D21=TRUE(),IF(D$50,$C21&lt;&gt;TRUE(),TRUE())),QUOTIENT(D$46,MAX(1,D$48))+IF(IF(D$50,SUMPRODUCT(--(LEN(TRIM($B$12:$B21))&gt;0),--(D$12:D21=TRUE()),--($C$12:$C21&lt;&gt;TRUE())),SUMPRODUCT(--(LEN(TRIM($B$12:$B21))&gt;0),--(D$12:D21=TRUE())))&lt;=MOD(D$46,MAX(1,D$48)),1,0),0)</f>
        <v>0</v>
      </c>
      <c r="F61" s="14" t="n">
        <f aca="false">IF(AND(F$47,F$48&gt;0,LEN(TRIM($B21))&gt;0,F21=TRUE(),IF(F$50,$C21&lt;&gt;TRUE(),TRUE())),QUOTIENT(F$46,MAX(1,F$48))+IF(IF(F$50,SUMPRODUCT(--(LEN(TRIM($B$12:$B21))&gt;0),--(F$12:F21=TRUE()),--($C$12:$C21&lt;&gt;TRUE())),SUMPRODUCT(--(LEN(TRIM($B$12:$B21))&gt;0),--(F$12:F21=TRUE())))&lt;=MOD(F$46,MAX(1,F$48)),1,0),0)</f>
        <v>0</v>
      </c>
      <c r="H61" s="14" t="n">
        <f aca="false">IF(AND(H$47,H$48&gt;0,LEN(TRIM($B21))&gt;0,H21=TRUE(),IF(H$50,$C21&lt;&gt;TRUE(),TRUE())),QUOTIENT(H$46,MAX(1,H$48))+IF(IF(H$50,SUMPRODUCT(--(LEN(TRIM($B$12:$B21))&gt;0),--(H$12:H21=TRUE()),--($C$12:$C21&lt;&gt;TRUE())),SUMPRODUCT(--(LEN(TRIM($B$12:$B21))&gt;0),--(H$12:H21=TRUE())))&lt;=MOD(H$46,MAX(1,H$48)),1,0),0)</f>
        <v>0</v>
      </c>
      <c r="J61" s="14" t="n">
        <f aca="false">IF(AND(J$47,J$48&gt;0,LEN(TRIM($B21))&gt;0,J21=TRUE(),IF(J$50,$C21&lt;&gt;TRUE(),TRUE())),QUOTIENT(J$46,MAX(1,J$48))+IF(IF(J$50,SUMPRODUCT(--(LEN(TRIM($B$12:$B21))&gt;0),--(J$12:J21=TRUE()),--($C$12:$C21&lt;&gt;TRUE())),SUMPRODUCT(--(LEN(TRIM($B$12:$B21))&gt;0),--(J$12:J21=TRUE())))&lt;=MOD(J$46,MAX(1,J$48)),1,0),0)</f>
        <v>0</v>
      </c>
      <c r="L61" s="14" t="n">
        <f aca="false">IF(AND(L$47,L$48&gt;0,LEN(TRIM($B21))&gt;0,L21=TRUE(),IF(L$50,$C21&lt;&gt;TRUE(),TRUE())),QUOTIENT(L$46,MAX(1,L$48))+IF(IF(L$50,SUMPRODUCT(--(LEN(TRIM($B$12:$B21))&gt;0),--(L$12:L21=TRUE()),--($C$12:$C21&lt;&gt;TRUE())),SUMPRODUCT(--(LEN(TRIM($B$12:$B21))&gt;0),--(L$12:L21=TRUE())))&lt;=MOD(L$46,MAX(1,L$48)),1,0),0)</f>
        <v>0</v>
      </c>
      <c r="N61" s="14" t="n">
        <f aca="false">IF(AND(N$47,N$48&gt;0,LEN(TRIM($B21))&gt;0,N21=TRUE(),IF(N$50,$C21&lt;&gt;TRUE(),TRUE())),QUOTIENT(N$46,MAX(1,N$48))+IF(IF(N$50,SUMPRODUCT(--(LEN(TRIM($B$12:$B21))&gt;0),--(N$12:N21=TRUE()),--($C$12:$C21&lt;&gt;TRUE())),SUMPRODUCT(--(LEN(TRIM($B$12:$B21))&gt;0),--(N$12:N21=TRUE())))&lt;=MOD(N$46,MAX(1,N$48)),1,0),0)</f>
        <v>0</v>
      </c>
      <c r="P61" s="14" t="n">
        <f aca="false">IF(AND(P$47,P$48&gt;0,LEN(TRIM($B21))&gt;0,P21=TRUE(),IF(P$50,$C21&lt;&gt;TRUE(),TRUE())),QUOTIENT(P$46,MAX(1,P$48))+IF(IF(P$50,SUMPRODUCT(--(LEN(TRIM($B$12:$B21))&gt;0),--(P$12:P21=TRUE()),--($C$12:$C21&lt;&gt;TRUE())),SUMPRODUCT(--(LEN(TRIM($B$12:$B21))&gt;0),--(P$12:P21=TRUE())))&lt;=MOD(P$46,MAX(1,P$48)),1,0),0)</f>
        <v>0</v>
      </c>
    </row>
    <row r="62" customFormat="false" ht="15" hidden="true" customHeight="false" outlineLevel="0" collapsed="false">
      <c r="A62" s="13" t="s">
        <v>28</v>
      </c>
      <c r="D62" s="14" t="n">
        <f aca="false">IF(AND(D$47,D$48&gt;0,LEN(TRIM($B22))&gt;0,D22=TRUE(),IF(D$50,$C22&lt;&gt;TRUE(),TRUE())),QUOTIENT(D$46,MAX(1,D$48))+IF(IF(D$50,SUMPRODUCT(--(LEN(TRIM($B$12:$B22))&gt;0),--(D$12:D22=TRUE()),--($C$12:$C22&lt;&gt;TRUE())),SUMPRODUCT(--(LEN(TRIM($B$12:$B22))&gt;0),--(D$12:D22=TRUE())))&lt;=MOD(D$46,MAX(1,D$48)),1,0),0)</f>
        <v>0</v>
      </c>
      <c r="F62" s="14" t="n">
        <f aca="false">IF(AND(F$47,F$48&gt;0,LEN(TRIM($B22))&gt;0,F22=TRUE(),IF(F$50,$C22&lt;&gt;TRUE(),TRUE())),QUOTIENT(F$46,MAX(1,F$48))+IF(IF(F$50,SUMPRODUCT(--(LEN(TRIM($B$12:$B22))&gt;0),--(F$12:F22=TRUE()),--($C$12:$C22&lt;&gt;TRUE())),SUMPRODUCT(--(LEN(TRIM($B$12:$B22))&gt;0),--(F$12:F22=TRUE())))&lt;=MOD(F$46,MAX(1,F$48)),1,0),0)</f>
        <v>0</v>
      </c>
      <c r="H62" s="14" t="n">
        <f aca="false">IF(AND(H$47,H$48&gt;0,LEN(TRIM($B22))&gt;0,H22=TRUE(),IF(H$50,$C22&lt;&gt;TRUE(),TRUE())),QUOTIENT(H$46,MAX(1,H$48))+IF(IF(H$50,SUMPRODUCT(--(LEN(TRIM($B$12:$B22))&gt;0),--(H$12:H22=TRUE()),--($C$12:$C22&lt;&gt;TRUE())),SUMPRODUCT(--(LEN(TRIM($B$12:$B22))&gt;0),--(H$12:H22=TRUE())))&lt;=MOD(H$46,MAX(1,H$48)),1,0),0)</f>
        <v>0</v>
      </c>
      <c r="J62" s="14" t="n">
        <f aca="false">IF(AND(J$47,J$48&gt;0,LEN(TRIM($B22))&gt;0,J22=TRUE(),IF(J$50,$C22&lt;&gt;TRUE(),TRUE())),QUOTIENT(J$46,MAX(1,J$48))+IF(IF(J$50,SUMPRODUCT(--(LEN(TRIM($B$12:$B22))&gt;0),--(J$12:J22=TRUE()),--($C$12:$C22&lt;&gt;TRUE())),SUMPRODUCT(--(LEN(TRIM($B$12:$B22))&gt;0),--(J$12:J22=TRUE())))&lt;=MOD(J$46,MAX(1,J$48)),1,0),0)</f>
        <v>0</v>
      </c>
      <c r="L62" s="14" t="n">
        <f aca="false">IF(AND(L$47,L$48&gt;0,LEN(TRIM($B22))&gt;0,L22=TRUE(),IF(L$50,$C22&lt;&gt;TRUE(),TRUE())),QUOTIENT(L$46,MAX(1,L$48))+IF(IF(L$50,SUMPRODUCT(--(LEN(TRIM($B$12:$B22))&gt;0),--(L$12:L22=TRUE()),--($C$12:$C22&lt;&gt;TRUE())),SUMPRODUCT(--(LEN(TRIM($B$12:$B22))&gt;0),--(L$12:L22=TRUE())))&lt;=MOD(L$46,MAX(1,L$48)),1,0),0)</f>
        <v>0</v>
      </c>
      <c r="N62" s="14" t="n">
        <f aca="false">IF(AND(N$47,N$48&gt;0,LEN(TRIM($B22))&gt;0,N22=TRUE(),IF(N$50,$C22&lt;&gt;TRUE(),TRUE())),QUOTIENT(N$46,MAX(1,N$48))+IF(IF(N$50,SUMPRODUCT(--(LEN(TRIM($B$12:$B22))&gt;0),--(N$12:N22=TRUE()),--($C$12:$C22&lt;&gt;TRUE())),SUMPRODUCT(--(LEN(TRIM($B$12:$B22))&gt;0),--(N$12:N22=TRUE())))&lt;=MOD(N$46,MAX(1,N$48)),1,0),0)</f>
        <v>0</v>
      </c>
      <c r="P62" s="14" t="n">
        <f aca="false">IF(AND(P$47,P$48&gt;0,LEN(TRIM($B22))&gt;0,P22=TRUE(),IF(P$50,$C22&lt;&gt;TRUE(),TRUE())),QUOTIENT(P$46,MAX(1,P$48))+IF(IF(P$50,SUMPRODUCT(--(LEN(TRIM($B$12:$B22))&gt;0),--(P$12:P22=TRUE()),--($C$12:$C22&lt;&gt;TRUE())),SUMPRODUCT(--(LEN(TRIM($B$12:$B22))&gt;0),--(P$12:P22=TRUE())))&lt;=MOD(P$46,MAX(1,P$48)),1,0),0)</f>
        <v>0</v>
      </c>
    </row>
    <row r="63" customFormat="false" ht="15" hidden="true" customHeight="false" outlineLevel="0" collapsed="false">
      <c r="A63" s="13" t="s">
        <v>29</v>
      </c>
      <c r="D63" s="14" t="n">
        <f aca="false">IF(AND(D$47,D$48&gt;0,LEN(TRIM($B23))&gt;0,D23=TRUE(),IF(D$50,$C23&lt;&gt;TRUE(),TRUE())),QUOTIENT(D$46,MAX(1,D$48))+IF(IF(D$50,SUMPRODUCT(--(LEN(TRIM($B$12:$B23))&gt;0),--(D$12:D23=TRUE()),--($C$12:$C23&lt;&gt;TRUE())),SUMPRODUCT(--(LEN(TRIM($B$12:$B23))&gt;0),--(D$12:D23=TRUE())))&lt;=MOD(D$46,MAX(1,D$48)),1,0),0)</f>
        <v>0</v>
      </c>
      <c r="F63" s="14" t="n">
        <f aca="false">IF(AND(F$47,F$48&gt;0,LEN(TRIM($B23))&gt;0,F23=TRUE(),IF(F$50,$C23&lt;&gt;TRUE(),TRUE())),QUOTIENT(F$46,MAX(1,F$48))+IF(IF(F$50,SUMPRODUCT(--(LEN(TRIM($B$12:$B23))&gt;0),--(F$12:F23=TRUE()),--($C$12:$C23&lt;&gt;TRUE())),SUMPRODUCT(--(LEN(TRIM($B$12:$B23))&gt;0),--(F$12:F23=TRUE())))&lt;=MOD(F$46,MAX(1,F$48)),1,0),0)</f>
        <v>0</v>
      </c>
      <c r="H63" s="14" t="n">
        <f aca="false">IF(AND(H$47,H$48&gt;0,LEN(TRIM($B23))&gt;0,H23=TRUE(),IF(H$50,$C23&lt;&gt;TRUE(),TRUE())),QUOTIENT(H$46,MAX(1,H$48))+IF(IF(H$50,SUMPRODUCT(--(LEN(TRIM($B$12:$B23))&gt;0),--(H$12:H23=TRUE()),--($C$12:$C23&lt;&gt;TRUE())),SUMPRODUCT(--(LEN(TRIM($B$12:$B23))&gt;0),--(H$12:H23=TRUE())))&lt;=MOD(H$46,MAX(1,H$48)),1,0),0)</f>
        <v>0</v>
      </c>
      <c r="J63" s="14" t="n">
        <f aca="false">IF(AND(J$47,J$48&gt;0,LEN(TRIM($B23))&gt;0,J23=TRUE(),IF(J$50,$C23&lt;&gt;TRUE(),TRUE())),QUOTIENT(J$46,MAX(1,J$48))+IF(IF(J$50,SUMPRODUCT(--(LEN(TRIM($B$12:$B23))&gt;0),--(J$12:J23=TRUE()),--($C$12:$C23&lt;&gt;TRUE())),SUMPRODUCT(--(LEN(TRIM($B$12:$B23))&gt;0),--(J$12:J23=TRUE())))&lt;=MOD(J$46,MAX(1,J$48)),1,0),0)</f>
        <v>0</v>
      </c>
      <c r="L63" s="14" t="n">
        <f aca="false">IF(AND(L$47,L$48&gt;0,LEN(TRIM($B23))&gt;0,L23=TRUE(),IF(L$50,$C23&lt;&gt;TRUE(),TRUE())),QUOTIENT(L$46,MAX(1,L$48))+IF(IF(L$50,SUMPRODUCT(--(LEN(TRIM($B$12:$B23))&gt;0),--(L$12:L23=TRUE()),--($C$12:$C23&lt;&gt;TRUE())),SUMPRODUCT(--(LEN(TRIM($B$12:$B23))&gt;0),--(L$12:L23=TRUE())))&lt;=MOD(L$46,MAX(1,L$48)),1,0),0)</f>
        <v>0</v>
      </c>
      <c r="N63" s="14" t="n">
        <f aca="false">IF(AND(N$47,N$48&gt;0,LEN(TRIM($B23))&gt;0,N23=TRUE(),IF(N$50,$C23&lt;&gt;TRUE(),TRUE())),QUOTIENT(N$46,MAX(1,N$48))+IF(IF(N$50,SUMPRODUCT(--(LEN(TRIM($B$12:$B23))&gt;0),--(N$12:N23=TRUE()),--($C$12:$C23&lt;&gt;TRUE())),SUMPRODUCT(--(LEN(TRIM($B$12:$B23))&gt;0),--(N$12:N23=TRUE())))&lt;=MOD(N$46,MAX(1,N$48)),1,0),0)</f>
        <v>0</v>
      </c>
      <c r="P63" s="14" t="n">
        <f aca="false">IF(AND(P$47,P$48&gt;0,LEN(TRIM($B23))&gt;0,P23=TRUE(),IF(P$50,$C23&lt;&gt;TRUE(),TRUE())),QUOTIENT(P$46,MAX(1,P$48))+IF(IF(P$50,SUMPRODUCT(--(LEN(TRIM($B$12:$B23))&gt;0),--(P$12:P23=TRUE()),--($C$12:$C23&lt;&gt;TRUE())),SUMPRODUCT(--(LEN(TRIM($B$12:$B23))&gt;0),--(P$12:P23=TRUE())))&lt;=MOD(P$46,MAX(1,P$48)),1,0),0)</f>
        <v>0</v>
      </c>
    </row>
    <row r="64" customFormat="false" ht="15" hidden="true" customHeight="false" outlineLevel="0" collapsed="false">
      <c r="A64" s="13" t="s">
        <v>30</v>
      </c>
      <c r="D64" s="14" t="n">
        <f aca="false">IF(AND(D$47,D$48&gt;0,LEN(TRIM($B24))&gt;0,D24=TRUE(),IF(D$50,$C24&lt;&gt;TRUE(),TRUE())),QUOTIENT(D$46,MAX(1,D$48))+IF(IF(D$50,SUMPRODUCT(--(LEN(TRIM($B$12:$B24))&gt;0),--(D$12:D24=TRUE()),--($C$12:$C24&lt;&gt;TRUE())),SUMPRODUCT(--(LEN(TRIM($B$12:$B24))&gt;0),--(D$12:D24=TRUE())))&lt;=MOD(D$46,MAX(1,D$48)),1,0),0)</f>
        <v>0</v>
      </c>
      <c r="F64" s="14" t="n">
        <f aca="false">IF(AND(F$47,F$48&gt;0,LEN(TRIM($B24))&gt;0,F24=TRUE(),IF(F$50,$C24&lt;&gt;TRUE(),TRUE())),QUOTIENT(F$46,MAX(1,F$48))+IF(IF(F$50,SUMPRODUCT(--(LEN(TRIM($B$12:$B24))&gt;0),--(F$12:F24=TRUE()),--($C$12:$C24&lt;&gt;TRUE())),SUMPRODUCT(--(LEN(TRIM($B$12:$B24))&gt;0),--(F$12:F24=TRUE())))&lt;=MOD(F$46,MAX(1,F$48)),1,0),0)</f>
        <v>0</v>
      </c>
      <c r="H64" s="14" t="n">
        <f aca="false">IF(AND(H$47,H$48&gt;0,LEN(TRIM($B24))&gt;0,H24=TRUE(),IF(H$50,$C24&lt;&gt;TRUE(),TRUE())),QUOTIENT(H$46,MAX(1,H$48))+IF(IF(H$50,SUMPRODUCT(--(LEN(TRIM($B$12:$B24))&gt;0),--(H$12:H24=TRUE()),--($C$12:$C24&lt;&gt;TRUE())),SUMPRODUCT(--(LEN(TRIM($B$12:$B24))&gt;0),--(H$12:H24=TRUE())))&lt;=MOD(H$46,MAX(1,H$48)),1,0),0)</f>
        <v>0</v>
      </c>
      <c r="J64" s="14" t="n">
        <f aca="false">IF(AND(J$47,J$48&gt;0,LEN(TRIM($B24))&gt;0,J24=TRUE(),IF(J$50,$C24&lt;&gt;TRUE(),TRUE())),QUOTIENT(J$46,MAX(1,J$48))+IF(IF(J$50,SUMPRODUCT(--(LEN(TRIM($B$12:$B24))&gt;0),--(J$12:J24=TRUE()),--($C$12:$C24&lt;&gt;TRUE())),SUMPRODUCT(--(LEN(TRIM($B$12:$B24))&gt;0),--(J$12:J24=TRUE())))&lt;=MOD(J$46,MAX(1,J$48)),1,0),0)</f>
        <v>0</v>
      </c>
      <c r="L64" s="14" t="n">
        <f aca="false">IF(AND(L$47,L$48&gt;0,LEN(TRIM($B24))&gt;0,L24=TRUE(),IF(L$50,$C24&lt;&gt;TRUE(),TRUE())),QUOTIENT(L$46,MAX(1,L$48))+IF(IF(L$50,SUMPRODUCT(--(LEN(TRIM($B$12:$B24))&gt;0),--(L$12:L24=TRUE()),--($C$12:$C24&lt;&gt;TRUE())),SUMPRODUCT(--(LEN(TRIM($B$12:$B24))&gt;0),--(L$12:L24=TRUE())))&lt;=MOD(L$46,MAX(1,L$48)),1,0),0)</f>
        <v>0</v>
      </c>
      <c r="N64" s="14" t="n">
        <f aca="false">IF(AND(N$47,N$48&gt;0,LEN(TRIM($B24))&gt;0,N24=TRUE(),IF(N$50,$C24&lt;&gt;TRUE(),TRUE())),QUOTIENT(N$46,MAX(1,N$48))+IF(IF(N$50,SUMPRODUCT(--(LEN(TRIM($B$12:$B24))&gt;0),--(N$12:N24=TRUE()),--($C$12:$C24&lt;&gt;TRUE())),SUMPRODUCT(--(LEN(TRIM($B$12:$B24))&gt;0),--(N$12:N24=TRUE())))&lt;=MOD(N$46,MAX(1,N$48)),1,0),0)</f>
        <v>0</v>
      </c>
      <c r="P64" s="14" t="n">
        <f aca="false">IF(AND(P$47,P$48&gt;0,LEN(TRIM($B24))&gt;0,P24=TRUE(),IF(P$50,$C24&lt;&gt;TRUE(),TRUE())),QUOTIENT(P$46,MAX(1,P$48))+IF(IF(P$50,SUMPRODUCT(--(LEN(TRIM($B$12:$B24))&gt;0),--(P$12:P24=TRUE()),--($C$12:$C24&lt;&gt;TRUE())),SUMPRODUCT(--(LEN(TRIM($B$12:$B24))&gt;0),--(P$12:P24=TRUE())))&lt;=MOD(P$46,MAX(1,P$48)),1,0),0)</f>
        <v>0</v>
      </c>
    </row>
    <row r="65" customFormat="false" ht="15" hidden="true" customHeight="false" outlineLevel="0" collapsed="false">
      <c r="A65" s="13" t="s">
        <v>31</v>
      </c>
      <c r="D65" s="14" t="n">
        <f aca="false">IF(AND(D$47,D$48&gt;0,LEN(TRIM($B25))&gt;0,D25=TRUE(),IF(D$50,$C25&lt;&gt;TRUE(),TRUE())),QUOTIENT(D$46,MAX(1,D$48))+IF(IF(D$50,SUMPRODUCT(--(LEN(TRIM($B$12:$B25))&gt;0),--(D$12:D25=TRUE()),--($C$12:$C25&lt;&gt;TRUE())),SUMPRODUCT(--(LEN(TRIM($B$12:$B25))&gt;0),--(D$12:D25=TRUE())))&lt;=MOD(D$46,MAX(1,D$48)),1,0),0)</f>
        <v>0</v>
      </c>
      <c r="F65" s="14" t="n">
        <f aca="false">IF(AND(F$47,F$48&gt;0,LEN(TRIM($B25))&gt;0,F25=TRUE(),IF(F$50,$C25&lt;&gt;TRUE(),TRUE())),QUOTIENT(F$46,MAX(1,F$48))+IF(IF(F$50,SUMPRODUCT(--(LEN(TRIM($B$12:$B25))&gt;0),--(F$12:F25=TRUE()),--($C$12:$C25&lt;&gt;TRUE())),SUMPRODUCT(--(LEN(TRIM($B$12:$B25))&gt;0),--(F$12:F25=TRUE())))&lt;=MOD(F$46,MAX(1,F$48)),1,0),0)</f>
        <v>0</v>
      </c>
      <c r="H65" s="14" t="n">
        <f aca="false">IF(AND(H$47,H$48&gt;0,LEN(TRIM($B25))&gt;0,H25=TRUE(),IF(H$50,$C25&lt;&gt;TRUE(),TRUE())),QUOTIENT(H$46,MAX(1,H$48))+IF(IF(H$50,SUMPRODUCT(--(LEN(TRIM($B$12:$B25))&gt;0),--(H$12:H25=TRUE()),--($C$12:$C25&lt;&gt;TRUE())),SUMPRODUCT(--(LEN(TRIM($B$12:$B25))&gt;0),--(H$12:H25=TRUE())))&lt;=MOD(H$46,MAX(1,H$48)),1,0),0)</f>
        <v>0</v>
      </c>
      <c r="J65" s="14" t="n">
        <f aca="false">IF(AND(J$47,J$48&gt;0,LEN(TRIM($B25))&gt;0,J25=TRUE(),IF(J$50,$C25&lt;&gt;TRUE(),TRUE())),QUOTIENT(J$46,MAX(1,J$48))+IF(IF(J$50,SUMPRODUCT(--(LEN(TRIM($B$12:$B25))&gt;0),--(J$12:J25=TRUE()),--($C$12:$C25&lt;&gt;TRUE())),SUMPRODUCT(--(LEN(TRIM($B$12:$B25))&gt;0),--(J$12:J25=TRUE())))&lt;=MOD(J$46,MAX(1,J$48)),1,0),0)</f>
        <v>0</v>
      </c>
      <c r="L65" s="14" t="n">
        <f aca="false">IF(AND(L$47,L$48&gt;0,LEN(TRIM($B25))&gt;0,L25=TRUE(),IF(L$50,$C25&lt;&gt;TRUE(),TRUE())),QUOTIENT(L$46,MAX(1,L$48))+IF(IF(L$50,SUMPRODUCT(--(LEN(TRIM($B$12:$B25))&gt;0),--(L$12:L25=TRUE()),--($C$12:$C25&lt;&gt;TRUE())),SUMPRODUCT(--(LEN(TRIM($B$12:$B25))&gt;0),--(L$12:L25=TRUE())))&lt;=MOD(L$46,MAX(1,L$48)),1,0),0)</f>
        <v>0</v>
      </c>
      <c r="N65" s="14" t="n">
        <f aca="false">IF(AND(N$47,N$48&gt;0,LEN(TRIM($B25))&gt;0,N25=TRUE(),IF(N$50,$C25&lt;&gt;TRUE(),TRUE())),QUOTIENT(N$46,MAX(1,N$48))+IF(IF(N$50,SUMPRODUCT(--(LEN(TRIM($B$12:$B25))&gt;0),--(N$12:N25=TRUE()),--($C$12:$C25&lt;&gt;TRUE())),SUMPRODUCT(--(LEN(TRIM($B$12:$B25))&gt;0),--(N$12:N25=TRUE())))&lt;=MOD(N$46,MAX(1,N$48)),1,0),0)</f>
        <v>0</v>
      </c>
      <c r="P65" s="14" t="n">
        <f aca="false">IF(AND(P$47,P$48&gt;0,LEN(TRIM($B25))&gt;0,P25=TRUE(),IF(P$50,$C25&lt;&gt;TRUE(),TRUE())),QUOTIENT(P$46,MAX(1,P$48))+IF(IF(P$50,SUMPRODUCT(--(LEN(TRIM($B$12:$B25))&gt;0),--(P$12:P25=TRUE()),--($C$12:$C25&lt;&gt;TRUE())),SUMPRODUCT(--(LEN(TRIM($B$12:$B25))&gt;0),--(P$12:P25=TRUE())))&lt;=MOD(P$46,MAX(1,P$48)),1,0),0)</f>
        <v>0</v>
      </c>
    </row>
    <row r="66" customFormat="false" ht="15" hidden="true" customHeight="false" outlineLevel="0" collapsed="false">
      <c r="A66" s="13" t="s">
        <v>32</v>
      </c>
      <c r="D66" s="14" t="n">
        <f aca="false">IF(AND(D$47,D$48&gt;0,LEN(TRIM($B26))&gt;0,D26=TRUE(),IF(D$50,$C26&lt;&gt;TRUE(),TRUE())),QUOTIENT(D$46,MAX(1,D$48))+IF(IF(D$50,SUMPRODUCT(--(LEN(TRIM($B$12:$B26))&gt;0),--(D$12:D26=TRUE()),--($C$12:$C26&lt;&gt;TRUE())),SUMPRODUCT(--(LEN(TRIM($B$12:$B26))&gt;0),--(D$12:D26=TRUE())))&lt;=MOD(D$46,MAX(1,D$48)),1,0),0)</f>
        <v>0</v>
      </c>
      <c r="F66" s="14" t="n">
        <f aca="false">IF(AND(F$47,F$48&gt;0,LEN(TRIM($B26))&gt;0,F26=TRUE(),IF(F$50,$C26&lt;&gt;TRUE(),TRUE())),QUOTIENT(F$46,MAX(1,F$48))+IF(IF(F$50,SUMPRODUCT(--(LEN(TRIM($B$12:$B26))&gt;0),--(F$12:F26=TRUE()),--($C$12:$C26&lt;&gt;TRUE())),SUMPRODUCT(--(LEN(TRIM($B$12:$B26))&gt;0),--(F$12:F26=TRUE())))&lt;=MOD(F$46,MAX(1,F$48)),1,0),0)</f>
        <v>0</v>
      </c>
      <c r="H66" s="14" t="n">
        <f aca="false">IF(AND(H$47,H$48&gt;0,LEN(TRIM($B26))&gt;0,H26=TRUE(),IF(H$50,$C26&lt;&gt;TRUE(),TRUE())),QUOTIENT(H$46,MAX(1,H$48))+IF(IF(H$50,SUMPRODUCT(--(LEN(TRIM($B$12:$B26))&gt;0),--(H$12:H26=TRUE()),--($C$12:$C26&lt;&gt;TRUE())),SUMPRODUCT(--(LEN(TRIM($B$12:$B26))&gt;0),--(H$12:H26=TRUE())))&lt;=MOD(H$46,MAX(1,H$48)),1,0),0)</f>
        <v>0</v>
      </c>
      <c r="J66" s="14" t="n">
        <f aca="false">IF(AND(J$47,J$48&gt;0,LEN(TRIM($B26))&gt;0,J26=TRUE(),IF(J$50,$C26&lt;&gt;TRUE(),TRUE())),QUOTIENT(J$46,MAX(1,J$48))+IF(IF(J$50,SUMPRODUCT(--(LEN(TRIM($B$12:$B26))&gt;0),--(J$12:J26=TRUE()),--($C$12:$C26&lt;&gt;TRUE())),SUMPRODUCT(--(LEN(TRIM($B$12:$B26))&gt;0),--(J$12:J26=TRUE())))&lt;=MOD(J$46,MAX(1,J$48)),1,0),0)</f>
        <v>0</v>
      </c>
      <c r="L66" s="14" t="n">
        <f aca="false">IF(AND(L$47,L$48&gt;0,LEN(TRIM($B26))&gt;0,L26=TRUE(),IF(L$50,$C26&lt;&gt;TRUE(),TRUE())),QUOTIENT(L$46,MAX(1,L$48))+IF(IF(L$50,SUMPRODUCT(--(LEN(TRIM($B$12:$B26))&gt;0),--(L$12:L26=TRUE()),--($C$12:$C26&lt;&gt;TRUE())),SUMPRODUCT(--(LEN(TRIM($B$12:$B26))&gt;0),--(L$12:L26=TRUE())))&lt;=MOD(L$46,MAX(1,L$48)),1,0),0)</f>
        <v>0</v>
      </c>
      <c r="N66" s="14" t="n">
        <f aca="false">IF(AND(N$47,N$48&gt;0,LEN(TRIM($B26))&gt;0,N26=TRUE(),IF(N$50,$C26&lt;&gt;TRUE(),TRUE())),QUOTIENT(N$46,MAX(1,N$48))+IF(IF(N$50,SUMPRODUCT(--(LEN(TRIM($B$12:$B26))&gt;0),--(N$12:N26=TRUE()),--($C$12:$C26&lt;&gt;TRUE())),SUMPRODUCT(--(LEN(TRIM($B$12:$B26))&gt;0),--(N$12:N26=TRUE())))&lt;=MOD(N$46,MAX(1,N$48)),1,0),0)</f>
        <v>0</v>
      </c>
      <c r="P66" s="14" t="n">
        <f aca="false">IF(AND(P$47,P$48&gt;0,LEN(TRIM($B26))&gt;0,P26=TRUE(),IF(P$50,$C26&lt;&gt;TRUE(),TRUE())),QUOTIENT(P$46,MAX(1,P$48))+IF(IF(P$50,SUMPRODUCT(--(LEN(TRIM($B$12:$B26))&gt;0),--(P$12:P26=TRUE()),--($C$12:$C26&lt;&gt;TRUE())),SUMPRODUCT(--(LEN(TRIM($B$12:$B26))&gt;0),--(P$12:P26=TRUE())))&lt;=MOD(P$46,MAX(1,P$48)),1,0),0)</f>
        <v>0</v>
      </c>
    </row>
    <row r="67" customFormat="false" ht="15" hidden="true" customHeight="false" outlineLevel="0" collapsed="false">
      <c r="A67" s="13" t="s">
        <v>33</v>
      </c>
      <c r="D67" s="14" t="n">
        <f aca="false">IF(AND(D$47,D$48&gt;0,LEN(TRIM($B27))&gt;0,D27=TRUE(),IF(D$50,$C27&lt;&gt;TRUE(),TRUE())),QUOTIENT(D$46,MAX(1,D$48))+IF(IF(D$50,SUMPRODUCT(--(LEN(TRIM($B$12:$B27))&gt;0),--(D$12:D27=TRUE()),--($C$12:$C27&lt;&gt;TRUE())),SUMPRODUCT(--(LEN(TRIM($B$12:$B27))&gt;0),--(D$12:D27=TRUE())))&lt;=MOD(D$46,MAX(1,D$48)),1,0),0)</f>
        <v>0</v>
      </c>
      <c r="F67" s="14" t="n">
        <f aca="false">IF(AND(F$47,F$48&gt;0,LEN(TRIM($B27))&gt;0,F27=TRUE(),IF(F$50,$C27&lt;&gt;TRUE(),TRUE())),QUOTIENT(F$46,MAX(1,F$48))+IF(IF(F$50,SUMPRODUCT(--(LEN(TRIM($B$12:$B27))&gt;0),--(F$12:F27=TRUE()),--($C$12:$C27&lt;&gt;TRUE())),SUMPRODUCT(--(LEN(TRIM($B$12:$B27))&gt;0),--(F$12:F27=TRUE())))&lt;=MOD(F$46,MAX(1,F$48)),1,0),0)</f>
        <v>0</v>
      </c>
      <c r="H67" s="14" t="n">
        <f aca="false">IF(AND(H$47,H$48&gt;0,LEN(TRIM($B27))&gt;0,H27=TRUE(),IF(H$50,$C27&lt;&gt;TRUE(),TRUE())),QUOTIENT(H$46,MAX(1,H$48))+IF(IF(H$50,SUMPRODUCT(--(LEN(TRIM($B$12:$B27))&gt;0),--(H$12:H27=TRUE()),--($C$12:$C27&lt;&gt;TRUE())),SUMPRODUCT(--(LEN(TRIM($B$12:$B27))&gt;0),--(H$12:H27=TRUE())))&lt;=MOD(H$46,MAX(1,H$48)),1,0),0)</f>
        <v>0</v>
      </c>
      <c r="J67" s="14" t="n">
        <f aca="false">IF(AND(J$47,J$48&gt;0,LEN(TRIM($B27))&gt;0,J27=TRUE(),IF(J$50,$C27&lt;&gt;TRUE(),TRUE())),QUOTIENT(J$46,MAX(1,J$48))+IF(IF(J$50,SUMPRODUCT(--(LEN(TRIM($B$12:$B27))&gt;0),--(J$12:J27=TRUE()),--($C$12:$C27&lt;&gt;TRUE())),SUMPRODUCT(--(LEN(TRIM($B$12:$B27))&gt;0),--(J$12:J27=TRUE())))&lt;=MOD(J$46,MAX(1,J$48)),1,0),0)</f>
        <v>0</v>
      </c>
      <c r="L67" s="14" t="n">
        <f aca="false">IF(AND(L$47,L$48&gt;0,LEN(TRIM($B27))&gt;0,L27=TRUE(),IF(L$50,$C27&lt;&gt;TRUE(),TRUE())),QUOTIENT(L$46,MAX(1,L$48))+IF(IF(L$50,SUMPRODUCT(--(LEN(TRIM($B$12:$B27))&gt;0),--(L$12:L27=TRUE()),--($C$12:$C27&lt;&gt;TRUE())),SUMPRODUCT(--(LEN(TRIM($B$12:$B27))&gt;0),--(L$12:L27=TRUE())))&lt;=MOD(L$46,MAX(1,L$48)),1,0),0)</f>
        <v>0</v>
      </c>
      <c r="N67" s="14" t="n">
        <f aca="false">IF(AND(N$47,N$48&gt;0,LEN(TRIM($B27))&gt;0,N27=TRUE(),IF(N$50,$C27&lt;&gt;TRUE(),TRUE())),QUOTIENT(N$46,MAX(1,N$48))+IF(IF(N$50,SUMPRODUCT(--(LEN(TRIM($B$12:$B27))&gt;0),--(N$12:N27=TRUE()),--($C$12:$C27&lt;&gt;TRUE())),SUMPRODUCT(--(LEN(TRIM($B$12:$B27))&gt;0),--(N$12:N27=TRUE())))&lt;=MOD(N$46,MAX(1,N$48)),1,0),0)</f>
        <v>0</v>
      </c>
      <c r="P67" s="14" t="n">
        <f aca="false">IF(AND(P$47,P$48&gt;0,LEN(TRIM($B27))&gt;0,P27=TRUE(),IF(P$50,$C27&lt;&gt;TRUE(),TRUE())),QUOTIENT(P$46,MAX(1,P$48))+IF(IF(P$50,SUMPRODUCT(--(LEN(TRIM($B$12:$B27))&gt;0),--(P$12:P27=TRUE()),--($C$12:$C27&lt;&gt;TRUE())),SUMPRODUCT(--(LEN(TRIM($B$12:$B27))&gt;0),--(P$12:P27=TRUE())))&lt;=MOD(P$46,MAX(1,P$48)),1,0),0)</f>
        <v>0</v>
      </c>
    </row>
    <row r="68" customFormat="false" ht="15" hidden="true" customHeight="false" outlineLevel="0" collapsed="false">
      <c r="A68" s="13" t="s">
        <v>34</v>
      </c>
      <c r="D68" s="14" t="n">
        <f aca="false">IF(AND(D$47,D$48&gt;0,LEN(TRIM($B28))&gt;0,D28=TRUE(),IF(D$50,$C28&lt;&gt;TRUE(),TRUE())),QUOTIENT(D$46,MAX(1,D$48))+IF(IF(D$50,SUMPRODUCT(--(LEN(TRIM($B$12:$B28))&gt;0),--(D$12:D28=TRUE()),--($C$12:$C28&lt;&gt;TRUE())),SUMPRODUCT(--(LEN(TRIM($B$12:$B28))&gt;0),--(D$12:D28=TRUE())))&lt;=MOD(D$46,MAX(1,D$48)),1,0),0)</f>
        <v>0</v>
      </c>
      <c r="F68" s="14" t="n">
        <f aca="false">IF(AND(F$47,F$48&gt;0,LEN(TRIM($B28))&gt;0,F28=TRUE(),IF(F$50,$C28&lt;&gt;TRUE(),TRUE())),QUOTIENT(F$46,MAX(1,F$48))+IF(IF(F$50,SUMPRODUCT(--(LEN(TRIM($B$12:$B28))&gt;0),--(F$12:F28=TRUE()),--($C$12:$C28&lt;&gt;TRUE())),SUMPRODUCT(--(LEN(TRIM($B$12:$B28))&gt;0),--(F$12:F28=TRUE())))&lt;=MOD(F$46,MAX(1,F$48)),1,0),0)</f>
        <v>0</v>
      </c>
      <c r="H68" s="14" t="n">
        <f aca="false">IF(AND(H$47,H$48&gt;0,LEN(TRIM($B28))&gt;0,H28=TRUE(),IF(H$50,$C28&lt;&gt;TRUE(),TRUE())),QUOTIENT(H$46,MAX(1,H$48))+IF(IF(H$50,SUMPRODUCT(--(LEN(TRIM($B$12:$B28))&gt;0),--(H$12:H28=TRUE()),--($C$12:$C28&lt;&gt;TRUE())),SUMPRODUCT(--(LEN(TRIM($B$12:$B28))&gt;0),--(H$12:H28=TRUE())))&lt;=MOD(H$46,MAX(1,H$48)),1,0),0)</f>
        <v>0</v>
      </c>
      <c r="J68" s="14" t="n">
        <f aca="false">IF(AND(J$47,J$48&gt;0,LEN(TRIM($B28))&gt;0,J28=TRUE(),IF(J$50,$C28&lt;&gt;TRUE(),TRUE())),QUOTIENT(J$46,MAX(1,J$48))+IF(IF(J$50,SUMPRODUCT(--(LEN(TRIM($B$12:$B28))&gt;0),--(J$12:J28=TRUE()),--($C$12:$C28&lt;&gt;TRUE())),SUMPRODUCT(--(LEN(TRIM($B$12:$B28))&gt;0),--(J$12:J28=TRUE())))&lt;=MOD(J$46,MAX(1,J$48)),1,0),0)</f>
        <v>0</v>
      </c>
      <c r="L68" s="14" t="n">
        <f aca="false">IF(AND(L$47,L$48&gt;0,LEN(TRIM($B28))&gt;0,L28=TRUE(),IF(L$50,$C28&lt;&gt;TRUE(),TRUE())),QUOTIENT(L$46,MAX(1,L$48))+IF(IF(L$50,SUMPRODUCT(--(LEN(TRIM($B$12:$B28))&gt;0),--(L$12:L28=TRUE()),--($C$12:$C28&lt;&gt;TRUE())),SUMPRODUCT(--(LEN(TRIM($B$12:$B28))&gt;0),--(L$12:L28=TRUE())))&lt;=MOD(L$46,MAX(1,L$48)),1,0),0)</f>
        <v>0</v>
      </c>
      <c r="N68" s="14" t="n">
        <f aca="false">IF(AND(N$47,N$48&gt;0,LEN(TRIM($B28))&gt;0,N28=TRUE(),IF(N$50,$C28&lt;&gt;TRUE(),TRUE())),QUOTIENT(N$46,MAX(1,N$48))+IF(IF(N$50,SUMPRODUCT(--(LEN(TRIM($B$12:$B28))&gt;0),--(N$12:N28=TRUE()),--($C$12:$C28&lt;&gt;TRUE())),SUMPRODUCT(--(LEN(TRIM($B$12:$B28))&gt;0),--(N$12:N28=TRUE())))&lt;=MOD(N$46,MAX(1,N$48)),1,0),0)</f>
        <v>0</v>
      </c>
      <c r="P68" s="14" t="n">
        <f aca="false">IF(AND(P$47,P$48&gt;0,LEN(TRIM($B28))&gt;0,P28=TRUE(),IF(P$50,$C28&lt;&gt;TRUE(),TRUE())),QUOTIENT(P$46,MAX(1,P$48))+IF(IF(P$50,SUMPRODUCT(--(LEN(TRIM($B$12:$B28))&gt;0),--(P$12:P28=TRUE()),--($C$12:$C28&lt;&gt;TRUE())),SUMPRODUCT(--(LEN(TRIM($B$12:$B28))&gt;0),--(P$12:P28=TRUE())))&lt;=MOD(P$46,MAX(1,P$48)),1,0),0)</f>
        <v>0</v>
      </c>
    </row>
    <row r="69" customFormat="false" ht="15" hidden="true" customHeight="false" outlineLevel="0" collapsed="false">
      <c r="A69" s="13" t="s">
        <v>35</v>
      </c>
      <c r="D69" s="14" t="n">
        <f aca="false">IF(AND(D$47,D$48&gt;0,LEN(TRIM($B29))&gt;0,D29=TRUE(),IF(D$50,$C29&lt;&gt;TRUE(),TRUE())),QUOTIENT(D$46,MAX(1,D$48))+IF(IF(D$50,SUMPRODUCT(--(LEN(TRIM($B$12:$B29))&gt;0),--(D$12:D29=TRUE()),--($C$12:$C29&lt;&gt;TRUE())),SUMPRODUCT(--(LEN(TRIM($B$12:$B29))&gt;0),--(D$12:D29=TRUE())))&lt;=MOD(D$46,MAX(1,D$48)),1,0),0)</f>
        <v>0</v>
      </c>
      <c r="F69" s="14" t="n">
        <f aca="false">IF(AND(F$47,F$48&gt;0,LEN(TRIM($B29))&gt;0,F29=TRUE(),IF(F$50,$C29&lt;&gt;TRUE(),TRUE())),QUOTIENT(F$46,MAX(1,F$48))+IF(IF(F$50,SUMPRODUCT(--(LEN(TRIM($B$12:$B29))&gt;0),--(F$12:F29=TRUE()),--($C$12:$C29&lt;&gt;TRUE())),SUMPRODUCT(--(LEN(TRIM($B$12:$B29))&gt;0),--(F$12:F29=TRUE())))&lt;=MOD(F$46,MAX(1,F$48)),1,0),0)</f>
        <v>0</v>
      </c>
      <c r="H69" s="14" t="n">
        <f aca="false">IF(AND(H$47,H$48&gt;0,LEN(TRIM($B29))&gt;0,H29=TRUE(),IF(H$50,$C29&lt;&gt;TRUE(),TRUE())),QUOTIENT(H$46,MAX(1,H$48))+IF(IF(H$50,SUMPRODUCT(--(LEN(TRIM($B$12:$B29))&gt;0),--(H$12:H29=TRUE()),--($C$12:$C29&lt;&gt;TRUE())),SUMPRODUCT(--(LEN(TRIM($B$12:$B29))&gt;0),--(H$12:H29=TRUE())))&lt;=MOD(H$46,MAX(1,H$48)),1,0),0)</f>
        <v>0</v>
      </c>
      <c r="J69" s="14" t="n">
        <f aca="false">IF(AND(J$47,J$48&gt;0,LEN(TRIM($B29))&gt;0,J29=TRUE(),IF(J$50,$C29&lt;&gt;TRUE(),TRUE())),QUOTIENT(J$46,MAX(1,J$48))+IF(IF(J$50,SUMPRODUCT(--(LEN(TRIM($B$12:$B29))&gt;0),--(J$12:J29=TRUE()),--($C$12:$C29&lt;&gt;TRUE())),SUMPRODUCT(--(LEN(TRIM($B$12:$B29))&gt;0),--(J$12:J29=TRUE())))&lt;=MOD(J$46,MAX(1,J$48)),1,0),0)</f>
        <v>0</v>
      </c>
      <c r="L69" s="14" t="n">
        <f aca="false">IF(AND(L$47,L$48&gt;0,LEN(TRIM($B29))&gt;0,L29=TRUE(),IF(L$50,$C29&lt;&gt;TRUE(),TRUE())),QUOTIENT(L$46,MAX(1,L$48))+IF(IF(L$50,SUMPRODUCT(--(LEN(TRIM($B$12:$B29))&gt;0),--(L$12:L29=TRUE()),--($C$12:$C29&lt;&gt;TRUE())),SUMPRODUCT(--(LEN(TRIM($B$12:$B29))&gt;0),--(L$12:L29=TRUE())))&lt;=MOD(L$46,MAX(1,L$48)),1,0),0)</f>
        <v>0</v>
      </c>
      <c r="N69" s="14" t="n">
        <f aca="false">IF(AND(N$47,N$48&gt;0,LEN(TRIM($B29))&gt;0,N29=TRUE(),IF(N$50,$C29&lt;&gt;TRUE(),TRUE())),QUOTIENT(N$46,MAX(1,N$48))+IF(IF(N$50,SUMPRODUCT(--(LEN(TRIM($B$12:$B29))&gt;0),--(N$12:N29=TRUE()),--($C$12:$C29&lt;&gt;TRUE())),SUMPRODUCT(--(LEN(TRIM($B$12:$B29))&gt;0),--(N$12:N29=TRUE())))&lt;=MOD(N$46,MAX(1,N$48)),1,0),0)</f>
        <v>0</v>
      </c>
      <c r="P69" s="14" t="n">
        <f aca="false">IF(AND(P$47,P$48&gt;0,LEN(TRIM($B29))&gt;0,P29=TRUE(),IF(P$50,$C29&lt;&gt;TRUE(),TRUE())),QUOTIENT(P$46,MAX(1,P$48))+IF(IF(P$50,SUMPRODUCT(--(LEN(TRIM($B$12:$B29))&gt;0),--(P$12:P29=TRUE()),--($C$12:$C29&lt;&gt;TRUE())),SUMPRODUCT(--(LEN(TRIM($B$12:$B29))&gt;0),--(P$12:P29=TRUE())))&lt;=MOD(P$46,MAX(1,P$48)),1,0),0)</f>
        <v>0</v>
      </c>
    </row>
    <row r="70" customFormat="false" ht="15" hidden="true" customHeight="false" outlineLevel="0" collapsed="false">
      <c r="A70" s="13" t="s">
        <v>36</v>
      </c>
      <c r="D70" s="14" t="n">
        <f aca="false">IF(AND(D$47,D$48&gt;0,LEN(TRIM($B30))&gt;0,D30=TRUE(),IF(D$50,$C30&lt;&gt;TRUE(),TRUE())),QUOTIENT(D$46,MAX(1,D$48))+IF(IF(D$50,SUMPRODUCT(--(LEN(TRIM($B$12:$B30))&gt;0),--(D$12:D30=TRUE()),--($C$12:$C30&lt;&gt;TRUE())),SUMPRODUCT(--(LEN(TRIM($B$12:$B30))&gt;0),--(D$12:D30=TRUE())))&lt;=MOD(D$46,MAX(1,D$48)),1,0),0)</f>
        <v>0</v>
      </c>
      <c r="F70" s="14" t="n">
        <f aca="false">IF(AND(F$47,F$48&gt;0,LEN(TRIM($B30))&gt;0,F30=TRUE(),IF(F$50,$C30&lt;&gt;TRUE(),TRUE())),QUOTIENT(F$46,MAX(1,F$48))+IF(IF(F$50,SUMPRODUCT(--(LEN(TRIM($B$12:$B30))&gt;0),--(F$12:F30=TRUE()),--($C$12:$C30&lt;&gt;TRUE())),SUMPRODUCT(--(LEN(TRIM($B$12:$B30))&gt;0),--(F$12:F30=TRUE())))&lt;=MOD(F$46,MAX(1,F$48)),1,0),0)</f>
        <v>0</v>
      </c>
      <c r="H70" s="14" t="n">
        <f aca="false">IF(AND(H$47,H$48&gt;0,LEN(TRIM($B30))&gt;0,H30=TRUE(),IF(H$50,$C30&lt;&gt;TRUE(),TRUE())),QUOTIENT(H$46,MAX(1,H$48))+IF(IF(H$50,SUMPRODUCT(--(LEN(TRIM($B$12:$B30))&gt;0),--(H$12:H30=TRUE()),--($C$12:$C30&lt;&gt;TRUE())),SUMPRODUCT(--(LEN(TRIM($B$12:$B30))&gt;0),--(H$12:H30=TRUE())))&lt;=MOD(H$46,MAX(1,H$48)),1,0),0)</f>
        <v>0</v>
      </c>
      <c r="J70" s="14" t="n">
        <f aca="false">IF(AND(J$47,J$48&gt;0,LEN(TRIM($B30))&gt;0,J30=TRUE(),IF(J$50,$C30&lt;&gt;TRUE(),TRUE())),QUOTIENT(J$46,MAX(1,J$48))+IF(IF(J$50,SUMPRODUCT(--(LEN(TRIM($B$12:$B30))&gt;0),--(J$12:J30=TRUE()),--($C$12:$C30&lt;&gt;TRUE())),SUMPRODUCT(--(LEN(TRIM($B$12:$B30))&gt;0),--(J$12:J30=TRUE())))&lt;=MOD(J$46,MAX(1,J$48)),1,0),0)</f>
        <v>0</v>
      </c>
      <c r="L70" s="14" t="n">
        <f aca="false">IF(AND(L$47,L$48&gt;0,LEN(TRIM($B30))&gt;0,L30=TRUE(),IF(L$50,$C30&lt;&gt;TRUE(),TRUE())),QUOTIENT(L$46,MAX(1,L$48))+IF(IF(L$50,SUMPRODUCT(--(LEN(TRIM($B$12:$B30))&gt;0),--(L$12:L30=TRUE()),--($C$12:$C30&lt;&gt;TRUE())),SUMPRODUCT(--(LEN(TRIM($B$12:$B30))&gt;0),--(L$12:L30=TRUE())))&lt;=MOD(L$46,MAX(1,L$48)),1,0),0)</f>
        <v>0</v>
      </c>
      <c r="N70" s="14" t="n">
        <f aca="false">IF(AND(N$47,N$48&gt;0,LEN(TRIM($B30))&gt;0,N30=TRUE(),IF(N$50,$C30&lt;&gt;TRUE(),TRUE())),QUOTIENT(N$46,MAX(1,N$48))+IF(IF(N$50,SUMPRODUCT(--(LEN(TRIM($B$12:$B30))&gt;0),--(N$12:N30=TRUE()),--($C$12:$C30&lt;&gt;TRUE())),SUMPRODUCT(--(LEN(TRIM($B$12:$B30))&gt;0),--(N$12:N30=TRUE())))&lt;=MOD(N$46,MAX(1,N$48)),1,0),0)</f>
        <v>0</v>
      </c>
      <c r="P70" s="14" t="n">
        <f aca="false">IF(AND(P$47,P$48&gt;0,LEN(TRIM($B30))&gt;0,P30=TRUE(),IF(P$50,$C30&lt;&gt;TRUE(),TRUE())),QUOTIENT(P$46,MAX(1,P$48))+IF(IF(P$50,SUMPRODUCT(--(LEN(TRIM($B$12:$B30))&gt;0),--(P$12:P30=TRUE()),--($C$12:$C30&lt;&gt;TRUE())),SUMPRODUCT(--(LEN(TRIM($B$12:$B30))&gt;0),--(P$12:P30=TRUE())))&lt;=MOD(P$46,MAX(1,P$48)),1,0),0)</f>
        <v>0</v>
      </c>
    </row>
    <row r="71" customFormat="false" ht="15" hidden="true" customHeight="false" outlineLevel="0" collapsed="false">
      <c r="A71" s="13" t="s">
        <v>37</v>
      </c>
      <c r="D71" s="14" t="n">
        <f aca="false">IF(AND(D$47,D$48&gt;0,LEN(TRIM($B31))&gt;0,D31=TRUE(),IF(D$50,$C31&lt;&gt;TRUE(),TRUE())),QUOTIENT(D$46,MAX(1,D$48))+IF(IF(D$50,SUMPRODUCT(--(LEN(TRIM($B$12:$B31))&gt;0),--(D$12:D31=TRUE()),--($C$12:$C31&lt;&gt;TRUE())),SUMPRODUCT(--(LEN(TRIM($B$12:$B31))&gt;0),--(D$12:D31=TRUE())))&lt;=MOD(D$46,MAX(1,D$48)),1,0),0)</f>
        <v>0</v>
      </c>
      <c r="F71" s="14" t="n">
        <f aca="false">IF(AND(F$47,F$48&gt;0,LEN(TRIM($B31))&gt;0,F31=TRUE(),IF(F$50,$C31&lt;&gt;TRUE(),TRUE())),QUOTIENT(F$46,MAX(1,F$48))+IF(IF(F$50,SUMPRODUCT(--(LEN(TRIM($B$12:$B31))&gt;0),--(F$12:F31=TRUE()),--($C$12:$C31&lt;&gt;TRUE())),SUMPRODUCT(--(LEN(TRIM($B$12:$B31))&gt;0),--(F$12:F31=TRUE())))&lt;=MOD(F$46,MAX(1,F$48)),1,0),0)</f>
        <v>0</v>
      </c>
      <c r="H71" s="14" t="n">
        <f aca="false">IF(AND(H$47,H$48&gt;0,LEN(TRIM($B31))&gt;0,H31=TRUE(),IF(H$50,$C31&lt;&gt;TRUE(),TRUE())),QUOTIENT(H$46,MAX(1,H$48))+IF(IF(H$50,SUMPRODUCT(--(LEN(TRIM($B$12:$B31))&gt;0),--(H$12:H31=TRUE()),--($C$12:$C31&lt;&gt;TRUE())),SUMPRODUCT(--(LEN(TRIM($B$12:$B31))&gt;0),--(H$12:H31=TRUE())))&lt;=MOD(H$46,MAX(1,H$48)),1,0),0)</f>
        <v>0</v>
      </c>
      <c r="J71" s="14" t="n">
        <f aca="false">IF(AND(J$47,J$48&gt;0,LEN(TRIM($B31))&gt;0,J31=TRUE(),IF(J$50,$C31&lt;&gt;TRUE(),TRUE())),QUOTIENT(J$46,MAX(1,J$48))+IF(IF(J$50,SUMPRODUCT(--(LEN(TRIM($B$12:$B31))&gt;0),--(J$12:J31=TRUE()),--($C$12:$C31&lt;&gt;TRUE())),SUMPRODUCT(--(LEN(TRIM($B$12:$B31))&gt;0),--(J$12:J31=TRUE())))&lt;=MOD(J$46,MAX(1,J$48)),1,0),0)</f>
        <v>0</v>
      </c>
      <c r="L71" s="14" t="n">
        <f aca="false">IF(AND(L$47,L$48&gt;0,LEN(TRIM($B31))&gt;0,L31=TRUE(),IF(L$50,$C31&lt;&gt;TRUE(),TRUE())),QUOTIENT(L$46,MAX(1,L$48))+IF(IF(L$50,SUMPRODUCT(--(LEN(TRIM($B$12:$B31))&gt;0),--(L$12:L31=TRUE()),--($C$12:$C31&lt;&gt;TRUE())),SUMPRODUCT(--(LEN(TRIM($B$12:$B31))&gt;0),--(L$12:L31=TRUE())))&lt;=MOD(L$46,MAX(1,L$48)),1,0),0)</f>
        <v>0</v>
      </c>
      <c r="N71" s="14" t="n">
        <f aca="false">IF(AND(N$47,N$48&gt;0,LEN(TRIM($B31))&gt;0,N31=TRUE(),IF(N$50,$C31&lt;&gt;TRUE(),TRUE())),QUOTIENT(N$46,MAX(1,N$48))+IF(IF(N$50,SUMPRODUCT(--(LEN(TRIM($B$12:$B31))&gt;0),--(N$12:N31=TRUE()),--($C$12:$C31&lt;&gt;TRUE())),SUMPRODUCT(--(LEN(TRIM($B$12:$B31))&gt;0),--(N$12:N31=TRUE())))&lt;=MOD(N$46,MAX(1,N$48)),1,0),0)</f>
        <v>0</v>
      </c>
      <c r="P71" s="14" t="n">
        <f aca="false">IF(AND(P$47,P$48&gt;0,LEN(TRIM($B31))&gt;0,P31=TRUE(),IF(P$50,$C31&lt;&gt;TRUE(),TRUE())),QUOTIENT(P$46,MAX(1,P$48))+IF(IF(P$50,SUMPRODUCT(--(LEN(TRIM($B$12:$B31))&gt;0),--(P$12:P31=TRUE()),--($C$12:$C31&lt;&gt;TRUE())),SUMPRODUCT(--(LEN(TRIM($B$12:$B31))&gt;0),--(P$12:P31=TRUE())))&lt;=MOD(P$46,MAX(1,P$48)),1,0),0)</f>
        <v>0</v>
      </c>
    </row>
    <row r="72" customFormat="false" ht="15" hidden="true" customHeight="false" outlineLevel="0" collapsed="false">
      <c r="A72" s="13" t="s">
        <v>38</v>
      </c>
      <c r="D72" s="14" t="n">
        <f aca="false">IF(AND(D$47,D$48&gt;0,LEN(TRIM($B32))&gt;0,D32=TRUE(),IF(D$50,$C32&lt;&gt;TRUE(),TRUE())),QUOTIENT(D$46,MAX(1,D$48))+IF(IF(D$50,SUMPRODUCT(--(LEN(TRIM($B$12:$B32))&gt;0),--(D$12:D32=TRUE()),--($C$12:$C32&lt;&gt;TRUE())),SUMPRODUCT(--(LEN(TRIM($B$12:$B32))&gt;0),--(D$12:D32=TRUE())))&lt;=MOD(D$46,MAX(1,D$48)),1,0),0)</f>
        <v>0</v>
      </c>
      <c r="F72" s="14" t="n">
        <f aca="false">IF(AND(F$47,F$48&gt;0,LEN(TRIM($B32))&gt;0,F32=TRUE(),IF(F$50,$C32&lt;&gt;TRUE(),TRUE())),QUOTIENT(F$46,MAX(1,F$48))+IF(IF(F$50,SUMPRODUCT(--(LEN(TRIM($B$12:$B32))&gt;0),--(F$12:F32=TRUE()),--($C$12:$C32&lt;&gt;TRUE())),SUMPRODUCT(--(LEN(TRIM($B$12:$B32))&gt;0),--(F$12:F32=TRUE())))&lt;=MOD(F$46,MAX(1,F$48)),1,0),0)</f>
        <v>0</v>
      </c>
      <c r="H72" s="14" t="n">
        <f aca="false">IF(AND(H$47,H$48&gt;0,LEN(TRIM($B32))&gt;0,H32=TRUE(),IF(H$50,$C32&lt;&gt;TRUE(),TRUE())),QUOTIENT(H$46,MAX(1,H$48))+IF(IF(H$50,SUMPRODUCT(--(LEN(TRIM($B$12:$B32))&gt;0),--(H$12:H32=TRUE()),--($C$12:$C32&lt;&gt;TRUE())),SUMPRODUCT(--(LEN(TRIM($B$12:$B32))&gt;0),--(H$12:H32=TRUE())))&lt;=MOD(H$46,MAX(1,H$48)),1,0),0)</f>
        <v>0</v>
      </c>
      <c r="J72" s="14" t="n">
        <f aca="false">IF(AND(J$47,J$48&gt;0,LEN(TRIM($B32))&gt;0,J32=TRUE(),IF(J$50,$C32&lt;&gt;TRUE(),TRUE())),QUOTIENT(J$46,MAX(1,J$48))+IF(IF(J$50,SUMPRODUCT(--(LEN(TRIM($B$12:$B32))&gt;0),--(J$12:J32=TRUE()),--($C$12:$C32&lt;&gt;TRUE())),SUMPRODUCT(--(LEN(TRIM($B$12:$B32))&gt;0),--(J$12:J32=TRUE())))&lt;=MOD(J$46,MAX(1,J$48)),1,0),0)</f>
        <v>0</v>
      </c>
      <c r="L72" s="14" t="n">
        <f aca="false">IF(AND(L$47,L$48&gt;0,LEN(TRIM($B32))&gt;0,L32=TRUE(),IF(L$50,$C32&lt;&gt;TRUE(),TRUE())),QUOTIENT(L$46,MAX(1,L$48))+IF(IF(L$50,SUMPRODUCT(--(LEN(TRIM($B$12:$B32))&gt;0),--(L$12:L32=TRUE()),--($C$12:$C32&lt;&gt;TRUE())),SUMPRODUCT(--(LEN(TRIM($B$12:$B32))&gt;0),--(L$12:L32=TRUE())))&lt;=MOD(L$46,MAX(1,L$48)),1,0),0)</f>
        <v>0</v>
      </c>
      <c r="N72" s="14" t="n">
        <f aca="false">IF(AND(N$47,N$48&gt;0,LEN(TRIM($B32))&gt;0,N32=TRUE(),IF(N$50,$C32&lt;&gt;TRUE(),TRUE())),QUOTIENT(N$46,MAX(1,N$48))+IF(IF(N$50,SUMPRODUCT(--(LEN(TRIM($B$12:$B32))&gt;0),--(N$12:N32=TRUE()),--($C$12:$C32&lt;&gt;TRUE())),SUMPRODUCT(--(LEN(TRIM($B$12:$B32))&gt;0),--(N$12:N32=TRUE())))&lt;=MOD(N$46,MAX(1,N$48)),1,0),0)</f>
        <v>0</v>
      </c>
      <c r="P72" s="14" t="n">
        <f aca="false">IF(AND(P$47,P$48&gt;0,LEN(TRIM($B32))&gt;0,P32=TRUE(),IF(P$50,$C32&lt;&gt;TRUE(),TRUE())),QUOTIENT(P$46,MAX(1,P$48))+IF(IF(P$50,SUMPRODUCT(--(LEN(TRIM($B$12:$B32))&gt;0),--(P$12:P32=TRUE()),--($C$12:$C32&lt;&gt;TRUE())),SUMPRODUCT(--(LEN(TRIM($B$12:$B32))&gt;0),--(P$12:P32=TRUE())))&lt;=MOD(P$46,MAX(1,P$48)),1,0),0)</f>
        <v>0</v>
      </c>
    </row>
    <row r="73" customFormat="false" ht="15" hidden="true" customHeight="false" outlineLevel="0" collapsed="false">
      <c r="A73" s="13" t="s">
        <v>39</v>
      </c>
      <c r="D73" s="14" t="n">
        <f aca="false">IF(AND(D$47,D$48&gt;0,LEN(TRIM($B33))&gt;0,D33=TRUE(),IF(D$50,$C33&lt;&gt;TRUE(),TRUE())),QUOTIENT(D$46,MAX(1,D$48))+IF(IF(D$50,SUMPRODUCT(--(LEN(TRIM($B$12:$B33))&gt;0),--(D$12:D33=TRUE()),--($C$12:$C33&lt;&gt;TRUE())),SUMPRODUCT(--(LEN(TRIM($B$12:$B33))&gt;0),--(D$12:D33=TRUE())))&lt;=MOD(D$46,MAX(1,D$48)),1,0),0)</f>
        <v>0</v>
      </c>
      <c r="F73" s="14" t="n">
        <f aca="false">IF(AND(F$47,F$48&gt;0,LEN(TRIM($B33))&gt;0,F33=TRUE(),IF(F$50,$C33&lt;&gt;TRUE(),TRUE())),QUOTIENT(F$46,MAX(1,F$48))+IF(IF(F$50,SUMPRODUCT(--(LEN(TRIM($B$12:$B33))&gt;0),--(F$12:F33=TRUE()),--($C$12:$C33&lt;&gt;TRUE())),SUMPRODUCT(--(LEN(TRIM($B$12:$B33))&gt;0),--(F$12:F33=TRUE())))&lt;=MOD(F$46,MAX(1,F$48)),1,0),0)</f>
        <v>0</v>
      </c>
      <c r="H73" s="14" t="n">
        <f aca="false">IF(AND(H$47,H$48&gt;0,LEN(TRIM($B33))&gt;0,H33=TRUE(),IF(H$50,$C33&lt;&gt;TRUE(),TRUE())),QUOTIENT(H$46,MAX(1,H$48))+IF(IF(H$50,SUMPRODUCT(--(LEN(TRIM($B$12:$B33))&gt;0),--(H$12:H33=TRUE()),--($C$12:$C33&lt;&gt;TRUE())),SUMPRODUCT(--(LEN(TRIM($B$12:$B33))&gt;0),--(H$12:H33=TRUE())))&lt;=MOD(H$46,MAX(1,H$48)),1,0),0)</f>
        <v>0</v>
      </c>
      <c r="J73" s="14" t="n">
        <f aca="false">IF(AND(J$47,J$48&gt;0,LEN(TRIM($B33))&gt;0,J33=TRUE(),IF(J$50,$C33&lt;&gt;TRUE(),TRUE())),QUOTIENT(J$46,MAX(1,J$48))+IF(IF(J$50,SUMPRODUCT(--(LEN(TRIM($B$12:$B33))&gt;0),--(J$12:J33=TRUE()),--($C$12:$C33&lt;&gt;TRUE())),SUMPRODUCT(--(LEN(TRIM($B$12:$B33))&gt;0),--(J$12:J33=TRUE())))&lt;=MOD(J$46,MAX(1,J$48)),1,0),0)</f>
        <v>0</v>
      </c>
      <c r="L73" s="14" t="n">
        <f aca="false">IF(AND(L$47,L$48&gt;0,LEN(TRIM($B33))&gt;0,L33=TRUE(),IF(L$50,$C33&lt;&gt;TRUE(),TRUE())),QUOTIENT(L$46,MAX(1,L$48))+IF(IF(L$50,SUMPRODUCT(--(LEN(TRIM($B$12:$B33))&gt;0),--(L$12:L33=TRUE()),--($C$12:$C33&lt;&gt;TRUE())),SUMPRODUCT(--(LEN(TRIM($B$12:$B33))&gt;0),--(L$12:L33=TRUE())))&lt;=MOD(L$46,MAX(1,L$48)),1,0),0)</f>
        <v>0</v>
      </c>
      <c r="N73" s="14" t="n">
        <f aca="false">IF(AND(N$47,N$48&gt;0,LEN(TRIM($B33))&gt;0,N33=TRUE(),IF(N$50,$C33&lt;&gt;TRUE(),TRUE())),QUOTIENT(N$46,MAX(1,N$48))+IF(IF(N$50,SUMPRODUCT(--(LEN(TRIM($B$12:$B33))&gt;0),--(N$12:N33=TRUE()),--($C$12:$C33&lt;&gt;TRUE())),SUMPRODUCT(--(LEN(TRIM($B$12:$B33))&gt;0),--(N$12:N33=TRUE())))&lt;=MOD(N$46,MAX(1,N$48)),1,0),0)</f>
        <v>0</v>
      </c>
      <c r="P73" s="14" t="n">
        <f aca="false">IF(AND(P$47,P$48&gt;0,LEN(TRIM($B33))&gt;0,P33=TRUE(),IF(P$50,$C33&lt;&gt;TRUE(),TRUE())),QUOTIENT(P$46,MAX(1,P$48))+IF(IF(P$50,SUMPRODUCT(--(LEN(TRIM($B$12:$B33))&gt;0),--(P$12:P33=TRUE()),--($C$12:$C33&lt;&gt;TRUE())),SUMPRODUCT(--(LEN(TRIM($B$12:$B33))&gt;0),--(P$12:P33=TRUE())))&lt;=MOD(P$46,MAX(1,P$48)),1,0),0)</f>
        <v>0</v>
      </c>
    </row>
    <row r="74" customFormat="false" ht="15" hidden="true" customHeight="false" outlineLevel="0" collapsed="false">
      <c r="A74" s="13" t="s">
        <v>40</v>
      </c>
      <c r="D74" s="14" t="n">
        <f aca="false">IF(AND(D$47,D$48&gt;0,LEN(TRIM($B34))&gt;0,D34=TRUE(),IF(D$50,$C34&lt;&gt;TRUE(),TRUE())),QUOTIENT(D$46,MAX(1,D$48))+IF(IF(D$50,SUMPRODUCT(--(LEN(TRIM($B$12:$B34))&gt;0),--(D$12:D34=TRUE()),--($C$12:$C34&lt;&gt;TRUE())),SUMPRODUCT(--(LEN(TRIM($B$12:$B34))&gt;0),--(D$12:D34=TRUE())))&lt;=MOD(D$46,MAX(1,D$48)),1,0),0)</f>
        <v>0</v>
      </c>
      <c r="F74" s="14" t="n">
        <f aca="false">IF(AND(F$47,F$48&gt;0,LEN(TRIM($B34))&gt;0,F34=TRUE(),IF(F$50,$C34&lt;&gt;TRUE(),TRUE())),QUOTIENT(F$46,MAX(1,F$48))+IF(IF(F$50,SUMPRODUCT(--(LEN(TRIM($B$12:$B34))&gt;0),--(F$12:F34=TRUE()),--($C$12:$C34&lt;&gt;TRUE())),SUMPRODUCT(--(LEN(TRIM($B$12:$B34))&gt;0),--(F$12:F34=TRUE())))&lt;=MOD(F$46,MAX(1,F$48)),1,0),0)</f>
        <v>0</v>
      </c>
      <c r="H74" s="14" t="n">
        <f aca="false">IF(AND(H$47,H$48&gt;0,LEN(TRIM($B34))&gt;0,H34=TRUE(),IF(H$50,$C34&lt;&gt;TRUE(),TRUE())),QUOTIENT(H$46,MAX(1,H$48))+IF(IF(H$50,SUMPRODUCT(--(LEN(TRIM($B$12:$B34))&gt;0),--(H$12:H34=TRUE()),--($C$12:$C34&lt;&gt;TRUE())),SUMPRODUCT(--(LEN(TRIM($B$12:$B34))&gt;0),--(H$12:H34=TRUE())))&lt;=MOD(H$46,MAX(1,H$48)),1,0),0)</f>
        <v>0</v>
      </c>
      <c r="J74" s="14" t="n">
        <f aca="false">IF(AND(J$47,J$48&gt;0,LEN(TRIM($B34))&gt;0,J34=TRUE(),IF(J$50,$C34&lt;&gt;TRUE(),TRUE())),QUOTIENT(J$46,MAX(1,J$48))+IF(IF(J$50,SUMPRODUCT(--(LEN(TRIM($B$12:$B34))&gt;0),--(J$12:J34=TRUE()),--($C$12:$C34&lt;&gt;TRUE())),SUMPRODUCT(--(LEN(TRIM($B$12:$B34))&gt;0),--(J$12:J34=TRUE())))&lt;=MOD(J$46,MAX(1,J$48)),1,0),0)</f>
        <v>0</v>
      </c>
      <c r="L74" s="14" t="n">
        <f aca="false">IF(AND(L$47,L$48&gt;0,LEN(TRIM($B34))&gt;0,L34=TRUE(),IF(L$50,$C34&lt;&gt;TRUE(),TRUE())),QUOTIENT(L$46,MAX(1,L$48))+IF(IF(L$50,SUMPRODUCT(--(LEN(TRIM($B$12:$B34))&gt;0),--(L$12:L34=TRUE()),--($C$12:$C34&lt;&gt;TRUE())),SUMPRODUCT(--(LEN(TRIM($B$12:$B34))&gt;0),--(L$12:L34=TRUE())))&lt;=MOD(L$46,MAX(1,L$48)),1,0),0)</f>
        <v>0</v>
      </c>
      <c r="N74" s="14" t="n">
        <f aca="false">IF(AND(N$47,N$48&gt;0,LEN(TRIM($B34))&gt;0,N34=TRUE(),IF(N$50,$C34&lt;&gt;TRUE(),TRUE())),QUOTIENT(N$46,MAX(1,N$48))+IF(IF(N$50,SUMPRODUCT(--(LEN(TRIM($B$12:$B34))&gt;0),--(N$12:N34=TRUE()),--($C$12:$C34&lt;&gt;TRUE())),SUMPRODUCT(--(LEN(TRIM($B$12:$B34))&gt;0),--(N$12:N34=TRUE())))&lt;=MOD(N$46,MAX(1,N$48)),1,0),0)</f>
        <v>0</v>
      </c>
      <c r="P74" s="14" t="n">
        <f aca="false">IF(AND(P$47,P$48&gt;0,LEN(TRIM($B34))&gt;0,P34=TRUE(),IF(P$50,$C34&lt;&gt;TRUE(),TRUE())),QUOTIENT(P$46,MAX(1,P$48))+IF(IF(P$50,SUMPRODUCT(--(LEN(TRIM($B$12:$B34))&gt;0),--(P$12:P34=TRUE()),--($C$12:$C34&lt;&gt;TRUE())),SUMPRODUCT(--(LEN(TRIM($B$12:$B34))&gt;0),--(P$12:P34=TRUE())))&lt;=MOD(P$46,MAX(1,P$48)),1,0),0)</f>
        <v>0</v>
      </c>
    </row>
    <row r="75" customFormat="false" ht="15" hidden="true" customHeight="false" outlineLevel="0" collapsed="false">
      <c r="A75" s="13" t="s">
        <v>41</v>
      </c>
      <c r="D75" s="14" t="n">
        <f aca="false">IF(AND(D$47,D$48&gt;0,LEN(TRIM($B35))&gt;0,D35=TRUE(),IF(D$50,$C35&lt;&gt;TRUE(),TRUE())),QUOTIENT(D$46,MAX(1,D$48))+IF(IF(D$50,SUMPRODUCT(--(LEN(TRIM($B$12:$B35))&gt;0),--(D$12:D35=TRUE()),--($C$12:$C35&lt;&gt;TRUE())),SUMPRODUCT(--(LEN(TRIM($B$12:$B35))&gt;0),--(D$12:D35=TRUE())))&lt;=MOD(D$46,MAX(1,D$48)),1,0),0)</f>
        <v>0</v>
      </c>
      <c r="F75" s="14" t="n">
        <f aca="false">IF(AND(F$47,F$48&gt;0,LEN(TRIM($B35))&gt;0,F35=TRUE(),IF(F$50,$C35&lt;&gt;TRUE(),TRUE())),QUOTIENT(F$46,MAX(1,F$48))+IF(IF(F$50,SUMPRODUCT(--(LEN(TRIM($B$12:$B35))&gt;0),--(F$12:F35=TRUE()),--($C$12:$C35&lt;&gt;TRUE())),SUMPRODUCT(--(LEN(TRIM($B$12:$B35))&gt;0),--(F$12:F35=TRUE())))&lt;=MOD(F$46,MAX(1,F$48)),1,0),0)</f>
        <v>0</v>
      </c>
      <c r="H75" s="14" t="n">
        <f aca="false">IF(AND(H$47,H$48&gt;0,LEN(TRIM($B35))&gt;0,H35=TRUE(),IF(H$50,$C35&lt;&gt;TRUE(),TRUE())),QUOTIENT(H$46,MAX(1,H$48))+IF(IF(H$50,SUMPRODUCT(--(LEN(TRIM($B$12:$B35))&gt;0),--(H$12:H35=TRUE()),--($C$12:$C35&lt;&gt;TRUE())),SUMPRODUCT(--(LEN(TRIM($B$12:$B35))&gt;0),--(H$12:H35=TRUE())))&lt;=MOD(H$46,MAX(1,H$48)),1,0),0)</f>
        <v>0</v>
      </c>
      <c r="J75" s="14" t="n">
        <f aca="false">IF(AND(J$47,J$48&gt;0,LEN(TRIM($B35))&gt;0,J35=TRUE(),IF(J$50,$C35&lt;&gt;TRUE(),TRUE())),QUOTIENT(J$46,MAX(1,J$48))+IF(IF(J$50,SUMPRODUCT(--(LEN(TRIM($B$12:$B35))&gt;0),--(J$12:J35=TRUE()),--($C$12:$C35&lt;&gt;TRUE())),SUMPRODUCT(--(LEN(TRIM($B$12:$B35))&gt;0),--(J$12:J35=TRUE())))&lt;=MOD(J$46,MAX(1,J$48)),1,0),0)</f>
        <v>0</v>
      </c>
      <c r="L75" s="14" t="n">
        <f aca="false">IF(AND(L$47,L$48&gt;0,LEN(TRIM($B35))&gt;0,L35=TRUE(),IF(L$50,$C35&lt;&gt;TRUE(),TRUE())),QUOTIENT(L$46,MAX(1,L$48))+IF(IF(L$50,SUMPRODUCT(--(LEN(TRIM($B$12:$B35))&gt;0),--(L$12:L35=TRUE()),--($C$12:$C35&lt;&gt;TRUE())),SUMPRODUCT(--(LEN(TRIM($B$12:$B35))&gt;0),--(L$12:L35=TRUE())))&lt;=MOD(L$46,MAX(1,L$48)),1,0),0)</f>
        <v>0</v>
      </c>
      <c r="N75" s="14" t="n">
        <f aca="false">IF(AND(N$47,N$48&gt;0,LEN(TRIM($B35))&gt;0,N35=TRUE(),IF(N$50,$C35&lt;&gt;TRUE(),TRUE())),QUOTIENT(N$46,MAX(1,N$48))+IF(IF(N$50,SUMPRODUCT(--(LEN(TRIM($B$12:$B35))&gt;0),--(N$12:N35=TRUE()),--($C$12:$C35&lt;&gt;TRUE())),SUMPRODUCT(--(LEN(TRIM($B$12:$B35))&gt;0),--(N$12:N35=TRUE())))&lt;=MOD(N$46,MAX(1,N$48)),1,0),0)</f>
        <v>0</v>
      </c>
      <c r="P75" s="14" t="n">
        <f aca="false">IF(AND(P$47,P$48&gt;0,LEN(TRIM($B35))&gt;0,P35=TRUE(),IF(P$50,$C35&lt;&gt;TRUE(),TRUE())),QUOTIENT(P$46,MAX(1,P$48))+IF(IF(P$50,SUMPRODUCT(--(LEN(TRIM($B$12:$B35))&gt;0),--(P$12:P35=TRUE()),--($C$12:$C35&lt;&gt;TRUE())),SUMPRODUCT(--(LEN(TRIM($B$12:$B35))&gt;0),--(P$12:P35=TRUE())))&lt;=MOD(P$46,MAX(1,P$48)),1,0),0)</f>
        <v>0</v>
      </c>
    </row>
    <row r="76" customFormat="false" ht="15" hidden="true" customHeight="false" outlineLevel="0" collapsed="false">
      <c r="A76" s="13" t="s">
        <v>42</v>
      </c>
      <c r="D76" s="14" t="n">
        <f aca="false">IF(AND(D$47,D$48&gt;0,LEN(TRIM($B36))&gt;0,D36=TRUE(),IF(D$50,$C36&lt;&gt;TRUE(),TRUE())),QUOTIENT(D$46,MAX(1,D$48))+IF(IF(D$50,SUMPRODUCT(--(LEN(TRIM($B$12:$B36))&gt;0),--(D$12:D36=TRUE()),--($C$12:$C36&lt;&gt;TRUE())),SUMPRODUCT(--(LEN(TRIM($B$12:$B36))&gt;0),--(D$12:D36=TRUE())))&lt;=MOD(D$46,MAX(1,D$48)),1,0),0)</f>
        <v>0</v>
      </c>
      <c r="F76" s="14" t="n">
        <f aca="false">IF(AND(F$47,F$48&gt;0,LEN(TRIM($B36))&gt;0,F36=TRUE(),IF(F$50,$C36&lt;&gt;TRUE(),TRUE())),QUOTIENT(F$46,MAX(1,F$48))+IF(IF(F$50,SUMPRODUCT(--(LEN(TRIM($B$12:$B36))&gt;0),--(F$12:F36=TRUE()),--($C$12:$C36&lt;&gt;TRUE())),SUMPRODUCT(--(LEN(TRIM($B$12:$B36))&gt;0),--(F$12:F36=TRUE())))&lt;=MOD(F$46,MAX(1,F$48)),1,0),0)</f>
        <v>0</v>
      </c>
      <c r="H76" s="14" t="n">
        <f aca="false">IF(AND(H$47,H$48&gt;0,LEN(TRIM($B36))&gt;0,H36=TRUE(),IF(H$50,$C36&lt;&gt;TRUE(),TRUE())),QUOTIENT(H$46,MAX(1,H$48))+IF(IF(H$50,SUMPRODUCT(--(LEN(TRIM($B$12:$B36))&gt;0),--(H$12:H36=TRUE()),--($C$12:$C36&lt;&gt;TRUE())),SUMPRODUCT(--(LEN(TRIM($B$12:$B36))&gt;0),--(H$12:H36=TRUE())))&lt;=MOD(H$46,MAX(1,H$48)),1,0),0)</f>
        <v>0</v>
      </c>
      <c r="J76" s="14" t="n">
        <f aca="false">IF(AND(J$47,J$48&gt;0,LEN(TRIM($B36))&gt;0,J36=TRUE(),IF(J$50,$C36&lt;&gt;TRUE(),TRUE())),QUOTIENT(J$46,MAX(1,J$48))+IF(IF(J$50,SUMPRODUCT(--(LEN(TRIM($B$12:$B36))&gt;0),--(J$12:J36=TRUE()),--($C$12:$C36&lt;&gt;TRUE())),SUMPRODUCT(--(LEN(TRIM($B$12:$B36))&gt;0),--(J$12:J36=TRUE())))&lt;=MOD(J$46,MAX(1,J$48)),1,0),0)</f>
        <v>0</v>
      </c>
      <c r="L76" s="14" t="n">
        <f aca="false">IF(AND(L$47,L$48&gt;0,LEN(TRIM($B36))&gt;0,L36=TRUE(),IF(L$50,$C36&lt;&gt;TRUE(),TRUE())),QUOTIENT(L$46,MAX(1,L$48))+IF(IF(L$50,SUMPRODUCT(--(LEN(TRIM($B$12:$B36))&gt;0),--(L$12:L36=TRUE()),--($C$12:$C36&lt;&gt;TRUE())),SUMPRODUCT(--(LEN(TRIM($B$12:$B36))&gt;0),--(L$12:L36=TRUE())))&lt;=MOD(L$46,MAX(1,L$48)),1,0),0)</f>
        <v>0</v>
      </c>
      <c r="N76" s="14" t="n">
        <f aca="false">IF(AND(N$47,N$48&gt;0,LEN(TRIM($B36))&gt;0,N36=TRUE(),IF(N$50,$C36&lt;&gt;TRUE(),TRUE())),QUOTIENT(N$46,MAX(1,N$48))+IF(IF(N$50,SUMPRODUCT(--(LEN(TRIM($B$12:$B36))&gt;0),--(N$12:N36=TRUE()),--($C$12:$C36&lt;&gt;TRUE())),SUMPRODUCT(--(LEN(TRIM($B$12:$B36))&gt;0),--(N$12:N36=TRUE())))&lt;=MOD(N$46,MAX(1,N$48)),1,0),0)</f>
        <v>0</v>
      </c>
      <c r="P76" s="14" t="n">
        <f aca="false">IF(AND(P$47,P$48&gt;0,LEN(TRIM($B36))&gt;0,P36=TRUE(),IF(P$50,$C36&lt;&gt;TRUE(),TRUE())),QUOTIENT(P$46,MAX(1,P$48))+IF(IF(P$50,SUMPRODUCT(--(LEN(TRIM($B$12:$B36))&gt;0),--(P$12:P36=TRUE()),--($C$12:$C36&lt;&gt;TRUE())),SUMPRODUCT(--(LEN(TRIM($B$12:$B36))&gt;0),--(P$12:P36=TRUE())))&lt;=MOD(P$46,MAX(1,P$48)),1,0),0)</f>
        <v>0</v>
      </c>
    </row>
    <row r="77" customFormat="false" ht="15" hidden="true" customHeight="false" outlineLevel="0" collapsed="false">
      <c r="A77" s="13" t="s">
        <v>43</v>
      </c>
      <c r="D77" s="14" t="n">
        <f aca="false">IF(AND(D$47,D$48&gt;0,LEN(TRIM($B37))&gt;0,D37=TRUE(),IF(D$50,$C37&lt;&gt;TRUE(),TRUE())),QUOTIENT(D$46,MAX(1,D$48))+IF(IF(D$50,SUMPRODUCT(--(LEN(TRIM($B$12:$B37))&gt;0),--(D$12:D37=TRUE()),--($C$12:$C37&lt;&gt;TRUE())),SUMPRODUCT(--(LEN(TRIM($B$12:$B37))&gt;0),--(D$12:D37=TRUE())))&lt;=MOD(D$46,MAX(1,D$48)),1,0),0)</f>
        <v>0</v>
      </c>
      <c r="F77" s="14" t="n">
        <f aca="false">IF(AND(F$47,F$48&gt;0,LEN(TRIM($B37))&gt;0,F37=TRUE(),IF(F$50,$C37&lt;&gt;TRUE(),TRUE())),QUOTIENT(F$46,MAX(1,F$48))+IF(IF(F$50,SUMPRODUCT(--(LEN(TRIM($B$12:$B37))&gt;0),--(F$12:F37=TRUE()),--($C$12:$C37&lt;&gt;TRUE())),SUMPRODUCT(--(LEN(TRIM($B$12:$B37))&gt;0),--(F$12:F37=TRUE())))&lt;=MOD(F$46,MAX(1,F$48)),1,0),0)</f>
        <v>0</v>
      </c>
      <c r="H77" s="14" t="n">
        <f aca="false">IF(AND(H$47,H$48&gt;0,LEN(TRIM($B37))&gt;0,H37=TRUE(),IF(H$50,$C37&lt;&gt;TRUE(),TRUE())),QUOTIENT(H$46,MAX(1,H$48))+IF(IF(H$50,SUMPRODUCT(--(LEN(TRIM($B$12:$B37))&gt;0),--(H$12:H37=TRUE()),--($C$12:$C37&lt;&gt;TRUE())),SUMPRODUCT(--(LEN(TRIM($B$12:$B37))&gt;0),--(H$12:H37=TRUE())))&lt;=MOD(H$46,MAX(1,H$48)),1,0),0)</f>
        <v>0</v>
      </c>
      <c r="J77" s="14" t="n">
        <f aca="false">IF(AND(J$47,J$48&gt;0,LEN(TRIM($B37))&gt;0,J37=TRUE(),IF(J$50,$C37&lt;&gt;TRUE(),TRUE())),QUOTIENT(J$46,MAX(1,J$48))+IF(IF(J$50,SUMPRODUCT(--(LEN(TRIM($B$12:$B37))&gt;0),--(J$12:J37=TRUE()),--($C$12:$C37&lt;&gt;TRUE())),SUMPRODUCT(--(LEN(TRIM($B$12:$B37))&gt;0),--(J$12:J37=TRUE())))&lt;=MOD(J$46,MAX(1,J$48)),1,0),0)</f>
        <v>0</v>
      </c>
      <c r="L77" s="14" t="n">
        <f aca="false">IF(AND(L$47,L$48&gt;0,LEN(TRIM($B37))&gt;0,L37=TRUE(),IF(L$50,$C37&lt;&gt;TRUE(),TRUE())),QUOTIENT(L$46,MAX(1,L$48))+IF(IF(L$50,SUMPRODUCT(--(LEN(TRIM($B$12:$B37))&gt;0),--(L$12:L37=TRUE()),--($C$12:$C37&lt;&gt;TRUE())),SUMPRODUCT(--(LEN(TRIM($B$12:$B37))&gt;0),--(L$12:L37=TRUE())))&lt;=MOD(L$46,MAX(1,L$48)),1,0),0)</f>
        <v>0</v>
      </c>
      <c r="N77" s="14" t="n">
        <f aca="false">IF(AND(N$47,N$48&gt;0,LEN(TRIM($B37))&gt;0,N37=TRUE(),IF(N$50,$C37&lt;&gt;TRUE(),TRUE())),QUOTIENT(N$46,MAX(1,N$48))+IF(IF(N$50,SUMPRODUCT(--(LEN(TRIM($B$12:$B37))&gt;0),--(N$12:N37=TRUE()),--($C$12:$C37&lt;&gt;TRUE())),SUMPRODUCT(--(LEN(TRIM($B$12:$B37))&gt;0),--(N$12:N37=TRUE())))&lt;=MOD(N$46,MAX(1,N$48)),1,0),0)</f>
        <v>0</v>
      </c>
      <c r="P77" s="14" t="n">
        <f aca="false">IF(AND(P$47,P$48&gt;0,LEN(TRIM($B37))&gt;0,P37=TRUE(),IF(P$50,$C37&lt;&gt;TRUE(),TRUE())),QUOTIENT(P$46,MAX(1,P$48))+IF(IF(P$50,SUMPRODUCT(--(LEN(TRIM($B$12:$B37))&gt;0),--(P$12:P37=TRUE()),--($C$12:$C37&lt;&gt;TRUE())),SUMPRODUCT(--(LEN(TRIM($B$12:$B37))&gt;0),--(P$12:P37=TRUE())))&lt;=MOD(P$46,MAX(1,P$48)),1,0),0)</f>
        <v>0</v>
      </c>
    </row>
    <row r="78" customFormat="false" ht="15" hidden="true" customHeight="false" outlineLevel="0" collapsed="false">
      <c r="A78" s="13" t="s">
        <v>44</v>
      </c>
      <c r="D78" s="14" t="n">
        <f aca="false">IF(AND(D$47,D$48&gt;0,LEN(TRIM($B38))&gt;0,D38=TRUE(),IF(D$50,$C38&lt;&gt;TRUE(),TRUE())),QUOTIENT(D$46,MAX(1,D$48))+IF(IF(D$50,SUMPRODUCT(--(LEN(TRIM($B$12:$B38))&gt;0),--(D$12:D38=TRUE()),--($C$12:$C38&lt;&gt;TRUE())),SUMPRODUCT(--(LEN(TRIM($B$12:$B38))&gt;0),--(D$12:D38=TRUE())))&lt;=MOD(D$46,MAX(1,D$48)),1,0),0)</f>
        <v>0</v>
      </c>
      <c r="F78" s="14" t="n">
        <f aca="false">IF(AND(F$47,F$48&gt;0,LEN(TRIM($B38))&gt;0,F38=TRUE(),IF(F$50,$C38&lt;&gt;TRUE(),TRUE())),QUOTIENT(F$46,MAX(1,F$48))+IF(IF(F$50,SUMPRODUCT(--(LEN(TRIM($B$12:$B38))&gt;0),--(F$12:F38=TRUE()),--($C$12:$C38&lt;&gt;TRUE())),SUMPRODUCT(--(LEN(TRIM($B$12:$B38))&gt;0),--(F$12:F38=TRUE())))&lt;=MOD(F$46,MAX(1,F$48)),1,0),0)</f>
        <v>0</v>
      </c>
      <c r="H78" s="14" t="n">
        <f aca="false">IF(AND(H$47,H$48&gt;0,LEN(TRIM($B38))&gt;0,H38=TRUE(),IF(H$50,$C38&lt;&gt;TRUE(),TRUE())),QUOTIENT(H$46,MAX(1,H$48))+IF(IF(H$50,SUMPRODUCT(--(LEN(TRIM($B$12:$B38))&gt;0),--(H$12:H38=TRUE()),--($C$12:$C38&lt;&gt;TRUE())),SUMPRODUCT(--(LEN(TRIM($B$12:$B38))&gt;0),--(H$12:H38=TRUE())))&lt;=MOD(H$46,MAX(1,H$48)),1,0),0)</f>
        <v>0</v>
      </c>
      <c r="J78" s="14" t="n">
        <f aca="false">IF(AND(J$47,J$48&gt;0,LEN(TRIM($B38))&gt;0,J38=TRUE(),IF(J$50,$C38&lt;&gt;TRUE(),TRUE())),QUOTIENT(J$46,MAX(1,J$48))+IF(IF(J$50,SUMPRODUCT(--(LEN(TRIM($B$12:$B38))&gt;0),--(J$12:J38=TRUE()),--($C$12:$C38&lt;&gt;TRUE())),SUMPRODUCT(--(LEN(TRIM($B$12:$B38))&gt;0),--(J$12:J38=TRUE())))&lt;=MOD(J$46,MAX(1,J$48)),1,0),0)</f>
        <v>0</v>
      </c>
      <c r="L78" s="14" t="n">
        <f aca="false">IF(AND(L$47,L$48&gt;0,LEN(TRIM($B38))&gt;0,L38=TRUE(),IF(L$50,$C38&lt;&gt;TRUE(),TRUE())),QUOTIENT(L$46,MAX(1,L$48))+IF(IF(L$50,SUMPRODUCT(--(LEN(TRIM($B$12:$B38))&gt;0),--(L$12:L38=TRUE()),--($C$12:$C38&lt;&gt;TRUE())),SUMPRODUCT(--(LEN(TRIM($B$12:$B38))&gt;0),--(L$12:L38=TRUE())))&lt;=MOD(L$46,MAX(1,L$48)),1,0),0)</f>
        <v>0</v>
      </c>
      <c r="N78" s="14" t="n">
        <f aca="false">IF(AND(N$47,N$48&gt;0,LEN(TRIM($B38))&gt;0,N38=TRUE(),IF(N$50,$C38&lt;&gt;TRUE(),TRUE())),QUOTIENT(N$46,MAX(1,N$48))+IF(IF(N$50,SUMPRODUCT(--(LEN(TRIM($B$12:$B38))&gt;0),--(N$12:N38=TRUE()),--($C$12:$C38&lt;&gt;TRUE())),SUMPRODUCT(--(LEN(TRIM($B$12:$B38))&gt;0),--(N$12:N38=TRUE())))&lt;=MOD(N$46,MAX(1,N$48)),1,0),0)</f>
        <v>0</v>
      </c>
      <c r="P78" s="14" t="n">
        <f aca="false">IF(AND(P$47,P$48&gt;0,LEN(TRIM($B38))&gt;0,P38=TRUE(),IF(P$50,$C38&lt;&gt;TRUE(),TRUE())),QUOTIENT(P$46,MAX(1,P$48))+IF(IF(P$50,SUMPRODUCT(--(LEN(TRIM($B$12:$B38))&gt;0),--(P$12:P38=TRUE()),--($C$12:$C38&lt;&gt;TRUE())),SUMPRODUCT(--(LEN(TRIM($B$12:$B38))&gt;0),--(P$12:P38=TRUE())))&lt;=MOD(P$46,MAX(1,P$48)),1,0),0)</f>
        <v>0</v>
      </c>
    </row>
    <row r="79" customFormat="false" ht="15" hidden="true" customHeight="false" outlineLevel="0" collapsed="false">
      <c r="A79" s="13" t="s">
        <v>45</v>
      </c>
      <c r="D79" s="14" t="n">
        <f aca="false">IF(AND(D$47,D$48&gt;0,LEN(TRIM($B39))&gt;0,D39=TRUE(),IF(D$50,$C39&lt;&gt;TRUE(),TRUE())),QUOTIENT(D$46,MAX(1,D$48))+IF(IF(D$50,SUMPRODUCT(--(LEN(TRIM($B$12:$B39))&gt;0),--(D$12:D39=TRUE()),--($C$12:$C39&lt;&gt;TRUE())),SUMPRODUCT(--(LEN(TRIM($B$12:$B39))&gt;0),--(D$12:D39=TRUE())))&lt;=MOD(D$46,MAX(1,D$48)),1,0),0)</f>
        <v>0</v>
      </c>
      <c r="F79" s="14" t="n">
        <f aca="false">IF(AND(F$47,F$48&gt;0,LEN(TRIM($B39))&gt;0,F39=TRUE(),IF(F$50,$C39&lt;&gt;TRUE(),TRUE())),QUOTIENT(F$46,MAX(1,F$48))+IF(IF(F$50,SUMPRODUCT(--(LEN(TRIM($B$12:$B39))&gt;0),--(F$12:F39=TRUE()),--($C$12:$C39&lt;&gt;TRUE())),SUMPRODUCT(--(LEN(TRIM($B$12:$B39))&gt;0),--(F$12:F39=TRUE())))&lt;=MOD(F$46,MAX(1,F$48)),1,0),0)</f>
        <v>0</v>
      </c>
      <c r="H79" s="14" t="n">
        <f aca="false">IF(AND(H$47,H$48&gt;0,LEN(TRIM($B39))&gt;0,H39=TRUE(),IF(H$50,$C39&lt;&gt;TRUE(),TRUE())),QUOTIENT(H$46,MAX(1,H$48))+IF(IF(H$50,SUMPRODUCT(--(LEN(TRIM($B$12:$B39))&gt;0),--(H$12:H39=TRUE()),--($C$12:$C39&lt;&gt;TRUE())),SUMPRODUCT(--(LEN(TRIM($B$12:$B39))&gt;0),--(H$12:H39=TRUE())))&lt;=MOD(H$46,MAX(1,H$48)),1,0),0)</f>
        <v>0</v>
      </c>
      <c r="J79" s="14" t="n">
        <f aca="false">IF(AND(J$47,J$48&gt;0,LEN(TRIM($B39))&gt;0,J39=TRUE(),IF(J$50,$C39&lt;&gt;TRUE(),TRUE())),QUOTIENT(J$46,MAX(1,J$48))+IF(IF(J$50,SUMPRODUCT(--(LEN(TRIM($B$12:$B39))&gt;0),--(J$12:J39=TRUE()),--($C$12:$C39&lt;&gt;TRUE())),SUMPRODUCT(--(LEN(TRIM($B$12:$B39))&gt;0),--(J$12:J39=TRUE())))&lt;=MOD(J$46,MAX(1,J$48)),1,0),0)</f>
        <v>0</v>
      </c>
      <c r="L79" s="14" t="n">
        <f aca="false">IF(AND(L$47,L$48&gt;0,LEN(TRIM($B39))&gt;0,L39=TRUE(),IF(L$50,$C39&lt;&gt;TRUE(),TRUE())),QUOTIENT(L$46,MAX(1,L$48))+IF(IF(L$50,SUMPRODUCT(--(LEN(TRIM($B$12:$B39))&gt;0),--(L$12:L39=TRUE()),--($C$12:$C39&lt;&gt;TRUE())),SUMPRODUCT(--(LEN(TRIM($B$12:$B39))&gt;0),--(L$12:L39=TRUE())))&lt;=MOD(L$46,MAX(1,L$48)),1,0),0)</f>
        <v>0</v>
      </c>
      <c r="N79" s="14" t="n">
        <f aca="false">IF(AND(N$47,N$48&gt;0,LEN(TRIM($B39))&gt;0,N39=TRUE(),IF(N$50,$C39&lt;&gt;TRUE(),TRUE())),QUOTIENT(N$46,MAX(1,N$48))+IF(IF(N$50,SUMPRODUCT(--(LEN(TRIM($B$12:$B39))&gt;0),--(N$12:N39=TRUE()),--($C$12:$C39&lt;&gt;TRUE())),SUMPRODUCT(--(LEN(TRIM($B$12:$B39))&gt;0),--(N$12:N39=TRUE())))&lt;=MOD(N$46,MAX(1,N$48)),1,0),0)</f>
        <v>0</v>
      </c>
      <c r="P79" s="14" t="n">
        <f aca="false">IF(AND(P$47,P$48&gt;0,LEN(TRIM($B39))&gt;0,P39=TRUE(),IF(P$50,$C39&lt;&gt;TRUE(),TRUE())),QUOTIENT(P$46,MAX(1,P$48))+IF(IF(P$50,SUMPRODUCT(--(LEN(TRIM($B$12:$B39))&gt;0),--(P$12:P39=TRUE()),--($C$12:$C39&lt;&gt;TRUE())),SUMPRODUCT(--(LEN(TRIM($B$12:$B39))&gt;0),--(P$12:P39=TRUE())))&lt;=MOD(P$46,MAX(1,P$48)),1,0),0)</f>
        <v>0</v>
      </c>
    </row>
    <row r="80" customFormat="false" ht="15" hidden="true" customHeight="false" outlineLevel="0" collapsed="false">
      <c r="A80" s="13" t="s">
        <v>46</v>
      </c>
      <c r="D80" s="14" t="n">
        <f aca="false">IF(AND(D$47,D$48&gt;0,LEN(TRIM($B40))&gt;0,D40=TRUE(),IF(D$50,$C40&lt;&gt;TRUE(),TRUE())),QUOTIENT(D$46,MAX(1,D$48))+IF(IF(D$50,SUMPRODUCT(--(LEN(TRIM($B$12:$B40))&gt;0),--(D$12:D40=TRUE()),--($C$12:$C40&lt;&gt;TRUE())),SUMPRODUCT(--(LEN(TRIM($B$12:$B40))&gt;0),--(D$12:D40=TRUE())))&lt;=MOD(D$46,MAX(1,D$48)),1,0),0)</f>
        <v>0</v>
      </c>
      <c r="F80" s="14" t="n">
        <f aca="false">IF(AND(F$47,F$48&gt;0,LEN(TRIM($B40))&gt;0,F40=TRUE(),IF(F$50,$C40&lt;&gt;TRUE(),TRUE())),QUOTIENT(F$46,MAX(1,F$48))+IF(IF(F$50,SUMPRODUCT(--(LEN(TRIM($B$12:$B40))&gt;0),--(F$12:F40=TRUE()),--($C$12:$C40&lt;&gt;TRUE())),SUMPRODUCT(--(LEN(TRIM($B$12:$B40))&gt;0),--(F$12:F40=TRUE())))&lt;=MOD(F$46,MAX(1,F$48)),1,0),0)</f>
        <v>0</v>
      </c>
      <c r="H80" s="14" t="n">
        <f aca="false">IF(AND(H$47,H$48&gt;0,LEN(TRIM($B40))&gt;0,H40=TRUE(),IF(H$50,$C40&lt;&gt;TRUE(),TRUE())),QUOTIENT(H$46,MAX(1,H$48))+IF(IF(H$50,SUMPRODUCT(--(LEN(TRIM($B$12:$B40))&gt;0),--(H$12:H40=TRUE()),--($C$12:$C40&lt;&gt;TRUE())),SUMPRODUCT(--(LEN(TRIM($B$12:$B40))&gt;0),--(H$12:H40=TRUE())))&lt;=MOD(H$46,MAX(1,H$48)),1,0),0)</f>
        <v>0</v>
      </c>
      <c r="J80" s="14" t="n">
        <f aca="false">IF(AND(J$47,J$48&gt;0,LEN(TRIM($B40))&gt;0,J40=TRUE(),IF(J$50,$C40&lt;&gt;TRUE(),TRUE())),QUOTIENT(J$46,MAX(1,J$48))+IF(IF(J$50,SUMPRODUCT(--(LEN(TRIM($B$12:$B40))&gt;0),--(J$12:J40=TRUE()),--($C$12:$C40&lt;&gt;TRUE())),SUMPRODUCT(--(LEN(TRIM($B$12:$B40))&gt;0),--(J$12:J40=TRUE())))&lt;=MOD(J$46,MAX(1,J$48)),1,0),0)</f>
        <v>0</v>
      </c>
      <c r="L80" s="14" t="n">
        <f aca="false">IF(AND(L$47,L$48&gt;0,LEN(TRIM($B40))&gt;0,L40=TRUE(),IF(L$50,$C40&lt;&gt;TRUE(),TRUE())),QUOTIENT(L$46,MAX(1,L$48))+IF(IF(L$50,SUMPRODUCT(--(LEN(TRIM($B$12:$B40))&gt;0),--(L$12:L40=TRUE()),--($C$12:$C40&lt;&gt;TRUE())),SUMPRODUCT(--(LEN(TRIM($B$12:$B40))&gt;0),--(L$12:L40=TRUE())))&lt;=MOD(L$46,MAX(1,L$48)),1,0),0)</f>
        <v>0</v>
      </c>
      <c r="N80" s="14" t="n">
        <f aca="false">IF(AND(N$47,N$48&gt;0,LEN(TRIM($B40))&gt;0,N40=TRUE(),IF(N$50,$C40&lt;&gt;TRUE(),TRUE())),QUOTIENT(N$46,MAX(1,N$48))+IF(IF(N$50,SUMPRODUCT(--(LEN(TRIM($B$12:$B40))&gt;0),--(N$12:N40=TRUE()),--($C$12:$C40&lt;&gt;TRUE())),SUMPRODUCT(--(LEN(TRIM($B$12:$B40))&gt;0),--(N$12:N40=TRUE())))&lt;=MOD(N$46,MAX(1,N$48)),1,0),0)</f>
        <v>0</v>
      </c>
      <c r="P80" s="14" t="n">
        <f aca="false">IF(AND(P$47,P$48&gt;0,LEN(TRIM($B40))&gt;0,P40=TRUE(),IF(P$50,$C40&lt;&gt;TRUE(),TRUE())),QUOTIENT(P$46,MAX(1,P$48))+IF(IF(P$50,SUMPRODUCT(--(LEN(TRIM($B$12:$B40))&gt;0),--(P$12:P40=TRUE()),--($C$12:$C40&lt;&gt;TRUE())),SUMPRODUCT(--(LEN(TRIM($B$12:$B40))&gt;0),--(P$12:P40=TRUE())))&lt;=MOD(P$46,MAX(1,P$48)),1,0),0)</f>
        <v>0</v>
      </c>
    </row>
    <row r="81" customFormat="false" ht="15" hidden="true" customHeight="false" outlineLevel="0" collapsed="false">
      <c r="A81" s="13" t="s">
        <v>47</v>
      </c>
      <c r="D81" s="14" t="n">
        <f aca="false">IF(AND(D$47,D$48&gt;0,LEN(TRIM($B41))&gt;0,D41=TRUE(),IF(D$50,$C41&lt;&gt;TRUE(),TRUE())),QUOTIENT(D$46,MAX(1,D$48))+IF(IF(D$50,SUMPRODUCT(--(LEN(TRIM($B$12:$B41))&gt;0),--(D$12:D41=TRUE()),--($C$12:$C41&lt;&gt;TRUE())),SUMPRODUCT(--(LEN(TRIM($B$12:$B41))&gt;0),--(D$12:D41=TRUE())))&lt;=MOD(D$46,MAX(1,D$48)),1,0),0)</f>
        <v>0</v>
      </c>
      <c r="F81" s="14" t="n">
        <f aca="false">IF(AND(F$47,F$48&gt;0,LEN(TRIM($B41))&gt;0,F41=TRUE(),IF(F$50,$C41&lt;&gt;TRUE(),TRUE())),QUOTIENT(F$46,MAX(1,F$48))+IF(IF(F$50,SUMPRODUCT(--(LEN(TRIM($B$12:$B41))&gt;0),--(F$12:F41=TRUE()),--($C$12:$C41&lt;&gt;TRUE())),SUMPRODUCT(--(LEN(TRIM($B$12:$B41))&gt;0),--(F$12:F41=TRUE())))&lt;=MOD(F$46,MAX(1,F$48)),1,0),0)</f>
        <v>0</v>
      </c>
      <c r="H81" s="14" t="n">
        <f aca="false">IF(AND(H$47,H$48&gt;0,LEN(TRIM($B41))&gt;0,H41=TRUE(),IF(H$50,$C41&lt;&gt;TRUE(),TRUE())),QUOTIENT(H$46,MAX(1,H$48))+IF(IF(H$50,SUMPRODUCT(--(LEN(TRIM($B$12:$B41))&gt;0),--(H$12:H41=TRUE()),--($C$12:$C41&lt;&gt;TRUE())),SUMPRODUCT(--(LEN(TRIM($B$12:$B41))&gt;0),--(H$12:H41=TRUE())))&lt;=MOD(H$46,MAX(1,H$48)),1,0),0)</f>
        <v>0</v>
      </c>
      <c r="J81" s="14" t="n">
        <f aca="false">IF(AND(J$47,J$48&gt;0,LEN(TRIM($B41))&gt;0,J41=TRUE(),IF(J$50,$C41&lt;&gt;TRUE(),TRUE())),QUOTIENT(J$46,MAX(1,J$48))+IF(IF(J$50,SUMPRODUCT(--(LEN(TRIM($B$12:$B41))&gt;0),--(J$12:J41=TRUE()),--($C$12:$C41&lt;&gt;TRUE())),SUMPRODUCT(--(LEN(TRIM($B$12:$B41))&gt;0),--(J$12:J41=TRUE())))&lt;=MOD(J$46,MAX(1,J$48)),1,0),0)</f>
        <v>0</v>
      </c>
      <c r="L81" s="14" t="n">
        <f aca="false">IF(AND(L$47,L$48&gt;0,LEN(TRIM($B41))&gt;0,L41=TRUE(),IF(L$50,$C41&lt;&gt;TRUE(),TRUE())),QUOTIENT(L$46,MAX(1,L$48))+IF(IF(L$50,SUMPRODUCT(--(LEN(TRIM($B$12:$B41))&gt;0),--(L$12:L41=TRUE()),--($C$12:$C41&lt;&gt;TRUE())),SUMPRODUCT(--(LEN(TRIM($B$12:$B41))&gt;0),--(L$12:L41=TRUE())))&lt;=MOD(L$46,MAX(1,L$48)),1,0),0)</f>
        <v>0</v>
      </c>
      <c r="N81" s="14" t="n">
        <f aca="false">IF(AND(N$47,N$48&gt;0,LEN(TRIM($B41))&gt;0,N41=TRUE(),IF(N$50,$C41&lt;&gt;TRUE(),TRUE())),QUOTIENT(N$46,MAX(1,N$48))+IF(IF(N$50,SUMPRODUCT(--(LEN(TRIM($B$12:$B41))&gt;0),--(N$12:N41=TRUE()),--($C$12:$C41&lt;&gt;TRUE())),SUMPRODUCT(--(LEN(TRIM($B$12:$B41))&gt;0),--(N$12:N41=TRUE())))&lt;=MOD(N$46,MAX(1,N$48)),1,0),0)</f>
        <v>0</v>
      </c>
      <c r="P81" s="14" t="n">
        <f aca="false">IF(AND(P$47,P$48&gt;0,LEN(TRIM($B41))&gt;0,P41=TRUE(),IF(P$50,$C41&lt;&gt;TRUE(),TRUE())),QUOTIENT(P$46,MAX(1,P$48))+IF(IF(P$50,SUMPRODUCT(--(LEN(TRIM($B$12:$B41))&gt;0),--(P$12:P41=TRUE()),--($C$12:$C41&lt;&gt;TRUE())),SUMPRODUCT(--(LEN(TRIM($B$12:$B41))&gt;0),--(P$12:P41=TRUE())))&lt;=MOD(P$46,MAX(1,P$48)),1,0),0)</f>
        <v>0</v>
      </c>
    </row>
  </sheetData>
  <mergeCells count="28">
    <mergeCell ref="D4:E4"/>
    <mergeCell ref="F4:G4"/>
    <mergeCell ref="H4:I4"/>
    <mergeCell ref="J4:K4"/>
    <mergeCell ref="L4:M4"/>
    <mergeCell ref="N4:O4"/>
    <mergeCell ref="P4:Q4"/>
    <mergeCell ref="D5:E5"/>
    <mergeCell ref="F5:G5"/>
    <mergeCell ref="H5:I5"/>
    <mergeCell ref="J5:K5"/>
    <mergeCell ref="L5:M5"/>
    <mergeCell ref="N5:O5"/>
    <mergeCell ref="P5:Q5"/>
    <mergeCell ref="D9:E9"/>
    <mergeCell ref="F9:G9"/>
    <mergeCell ref="H9:I9"/>
    <mergeCell ref="J9:K9"/>
    <mergeCell ref="L9:M9"/>
    <mergeCell ref="N9:O9"/>
    <mergeCell ref="P9:Q9"/>
    <mergeCell ref="D10:E10"/>
    <mergeCell ref="F10:G10"/>
    <mergeCell ref="H10:I10"/>
    <mergeCell ref="J10:K10"/>
    <mergeCell ref="L10:M10"/>
    <mergeCell ref="N10:O10"/>
    <mergeCell ref="P10:Q10"/>
  </mergeCells>
  <dataValidations count="30"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3" type="custom">
      <formula1>OR(C3=1,C3=0)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12:C41" type="custom">
      <formula1>OR(C12=1,C12=0)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D12:D41" type="custom">
      <formula1>OR(D12=1,D12=0)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F12:F41" type="custom">
      <formula1>OR(F12=1,F12=0)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H12:H41" type="custom">
      <formula1>OR(H12=1,H12=0)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J12:J41" type="custom">
      <formula1>OR(J12=1,J12=0)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L12:L41" type="custom">
      <formula1>OR(L12=1,L12=0)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N12:N41" type="custom">
      <formula1>OR(N12=1,N12=0)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P12:P41" type="custom">
      <formula1>OR(P12=1,P12=0)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D5:E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6" type="custom">
      <formula1>OR(LEN(TRIM(D6&amp;""))=0,IFERROR(AND(ISNUMBER(D6),D6&gt;=0,D6&lt;=100000000,ROUND(D6,1)=D6),0))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F5:G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6" type="custom">
      <formula1>OR(LEN(TRIM(F6&amp;""))=0,IFERROR(AND(ISNUMBER(F6),F6&gt;=0,F6&lt;=100000000,ROUND(F6,1)=F6),0))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H5:I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6" type="custom">
      <formula1>OR(LEN(TRIM(H6&amp;""))=0,IFERROR(AND(ISNUMBER(H6),H6&gt;=0,H6&lt;=100000000,ROUND(H6,1)=H6),0))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J5:K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6" type="custom">
      <formula1>OR(LEN(TRIM(J6&amp;""))=0,IFERROR(AND(ISNUMBER(J6),J6&gt;=0,J6&lt;=100000000,ROUND(J6,1)=J6),0))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L5:M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6" type="custom">
      <formula1>OR(LEN(TRIM(L6&amp;""))=0,IFERROR(AND(ISNUMBER(L6),L6&gt;=0,L6&lt;=100000000,ROUND(L6,1)=L6),0))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N5:O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6" type="custom">
      <formula1>OR(LEN(TRIM(N6&amp;""))=0,IFERROR(AND(ISNUMBER(N6),N6&gt;=0,N6&lt;=100000000,ROUND(N6,1)=N6),0))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P5:Q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6" type="custom">
      <formula1>OR(LEN(TRIM(P6&amp;""))=0,IFERROR(AND(ISNUMBER(P6),P6&gt;=0,P6&lt;=100000000,ROUND(P6,1)=P6),0))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40"/>
    <col collapsed="false" customWidth="true" hidden="false" outlineLevel="0" max="2" min="2" style="0" width="22.86"/>
    <col collapsed="false" customWidth="true" hidden="false" outlineLevel="0" max="3" min="3" style="0" width="13.15"/>
    <col collapsed="false" customWidth="true" hidden="false" outlineLevel="0" max="17" min="4" style="0" width="21.14"/>
  </cols>
  <sheetData>
    <row r="1" customFormat="false" ht="32.8" hidden="true" customHeight="false" outlineLevel="0" collapsed="false">
      <c r="A1" s="1" t="s">
        <v>125</v>
      </c>
      <c r="D1" s="1" t="s">
        <v>126</v>
      </c>
      <c r="F1" s="1" t="s">
        <v>127</v>
      </c>
      <c r="H1" s="1" t="s">
        <v>128</v>
      </c>
      <c r="J1" s="1" t="s">
        <v>129</v>
      </c>
      <c r="L1" s="1" t="s">
        <v>130</v>
      </c>
      <c r="N1" s="1" t="s">
        <v>131</v>
      </c>
      <c r="P1" s="1" t="s">
        <v>132</v>
      </c>
    </row>
    <row r="2" customFormat="false" ht="48.5" hidden="false" customHeight="false" outlineLevel="0" collapsed="false">
      <c r="B2" s="16" t="s">
        <v>133</v>
      </c>
      <c r="D2" s="1" t="s">
        <v>67</v>
      </c>
    </row>
    <row r="3" customFormat="false" ht="48.5" hidden="false" customHeight="false" outlineLevel="0" collapsed="false">
      <c r="B3" s="1" t="s">
        <v>68</v>
      </c>
      <c r="C3" s="18" t="b">
        <f aca="false">FALSE()</f>
        <v>0</v>
      </c>
      <c r="D3" s="1" t="s">
        <v>69</v>
      </c>
    </row>
    <row r="4" customFormat="false" ht="27.75" hidden="false" customHeight="true" outlineLevel="0" collapsed="false">
      <c r="B4" s="1" t="s">
        <v>70</v>
      </c>
      <c r="D4" s="19" t="s">
        <v>71</v>
      </c>
      <c r="E4" s="19"/>
      <c r="F4" s="19" t="s">
        <v>72</v>
      </c>
      <c r="G4" s="19"/>
      <c r="H4" s="19" t="s">
        <v>73</v>
      </c>
      <c r="I4" s="19"/>
      <c r="J4" s="19" t="s">
        <v>74</v>
      </c>
      <c r="K4" s="19"/>
      <c r="L4" s="19" t="s">
        <v>75</v>
      </c>
      <c r="M4" s="19"/>
      <c r="N4" s="19" t="s">
        <v>76</v>
      </c>
      <c r="O4" s="19"/>
      <c r="P4" s="19" t="s">
        <v>77</v>
      </c>
      <c r="Q4" s="19"/>
    </row>
    <row r="5" customFormat="false" ht="27.75" hidden="false" customHeight="true" outlineLevel="0" collapsed="false">
      <c r="B5" s="1" t="s">
        <v>78</v>
      </c>
      <c r="D5" s="19" t="s">
        <v>71</v>
      </c>
      <c r="E5" s="19"/>
      <c r="F5" s="19" t="s">
        <v>72</v>
      </c>
      <c r="G5" s="19"/>
      <c r="H5" s="19" t="s">
        <v>73</v>
      </c>
      <c r="I5" s="19"/>
      <c r="J5" s="19" t="s">
        <v>74</v>
      </c>
      <c r="K5" s="19"/>
      <c r="L5" s="19" t="s">
        <v>75</v>
      </c>
      <c r="M5" s="19"/>
      <c r="N5" s="19" t="s">
        <v>76</v>
      </c>
      <c r="O5" s="19"/>
      <c r="P5" s="19" t="s">
        <v>77</v>
      </c>
      <c r="Q5" s="19"/>
    </row>
    <row r="6" customFormat="false" ht="27.75" hidden="false" customHeight="true" outlineLevel="0" collapsed="false">
      <c r="B6" s="1" t="s">
        <v>79</v>
      </c>
      <c r="D6" s="16"/>
      <c r="E6" s="1" t="s">
        <v>80</v>
      </c>
      <c r="F6" s="16"/>
      <c r="G6" s="1" t="s">
        <v>80</v>
      </c>
      <c r="H6" s="16"/>
      <c r="I6" s="1" t="s">
        <v>80</v>
      </c>
      <c r="J6" s="16"/>
      <c r="K6" s="1" t="s">
        <v>80</v>
      </c>
      <c r="L6" s="16"/>
      <c r="M6" s="1" t="s">
        <v>80</v>
      </c>
      <c r="N6" s="16"/>
      <c r="O6" s="1" t="s">
        <v>80</v>
      </c>
      <c r="P6" s="16"/>
      <c r="Q6" s="1" t="s">
        <v>80</v>
      </c>
    </row>
    <row r="7" customFormat="false" ht="27.75" hidden="false" customHeight="true" outlineLevel="0" collapsed="false">
      <c r="B7" s="1" t="s">
        <v>81</v>
      </c>
      <c r="D7" s="16"/>
      <c r="E7" s="20" t="str">
        <f aca="false">IFERROR(INDEX(成員名單!$B$5:$B$34,MATCH(D7,成員名單!$A$5:$A$34,0))&amp;"","")</f>
        <v/>
      </c>
      <c r="F7" s="16"/>
      <c r="G7" s="20" t="str">
        <f aca="false">IFERROR(INDEX(成員名單!$B$5:$B$34,MATCH(F7,成員名單!$A$5:$A$34,0))&amp;"","")</f>
        <v/>
      </c>
      <c r="H7" s="16"/>
      <c r="I7" s="20" t="str">
        <f aca="false">IFERROR(INDEX(成員名單!$B$5:$B$34,MATCH(H7,成員名單!$A$5:$A$34,0))&amp;"","")</f>
        <v/>
      </c>
      <c r="J7" s="16"/>
      <c r="K7" s="20" t="str">
        <f aca="false">IFERROR(INDEX(成員名單!$B$5:$B$34,MATCH(J7,成員名單!$A$5:$A$34,0))&amp;"","")</f>
        <v/>
      </c>
      <c r="L7" s="16"/>
      <c r="M7" s="20" t="str">
        <f aca="false">IFERROR(INDEX(成員名單!$B$5:$B$34,MATCH(L7,成員名單!$A$5:$A$34,0))&amp;"","")</f>
        <v/>
      </c>
      <c r="N7" s="16"/>
      <c r="O7" s="20" t="str">
        <f aca="false">IFERROR(INDEX(成員名單!$B$5:$B$34,MATCH(N7,成員名單!$A$5:$A$34,0))&amp;"","")</f>
        <v/>
      </c>
      <c r="P7" s="16"/>
      <c r="Q7" s="20" t="str">
        <f aca="false">IFERROR(INDEX(成員名單!$B$5:$B$34,MATCH(P7,成員名單!$A$5:$A$34,0))&amp;"","")</f>
        <v/>
      </c>
    </row>
    <row r="8" customFormat="false" ht="27.75" hidden="false" customHeight="true" outlineLevel="0" collapsed="false">
      <c r="B8" s="1" t="s">
        <v>82</v>
      </c>
      <c r="D8" s="20" t="n">
        <f aca="false">IF(D$47,D$48,0)</f>
        <v>0</v>
      </c>
      <c r="E8" s="1" t="s">
        <v>83</v>
      </c>
      <c r="F8" s="20" t="n">
        <f aca="false">IF(F$47,F$48,0)</f>
        <v>0</v>
      </c>
      <c r="G8" s="1" t="s">
        <v>83</v>
      </c>
      <c r="H8" s="20" t="n">
        <f aca="false">IF(H$47,H$48,0)</f>
        <v>0</v>
      </c>
      <c r="I8" s="1" t="s">
        <v>83</v>
      </c>
      <c r="J8" s="20" t="n">
        <f aca="false">IF(J$47,J$48,0)</f>
        <v>0</v>
      </c>
      <c r="K8" s="1" t="s">
        <v>83</v>
      </c>
      <c r="L8" s="20" t="n">
        <f aca="false">IF(L$47,L$48,0)</f>
        <v>0</v>
      </c>
      <c r="M8" s="1" t="s">
        <v>83</v>
      </c>
      <c r="N8" s="20" t="n">
        <f aca="false">IF(N$47,N$48,0)</f>
        <v>0</v>
      </c>
      <c r="O8" s="1" t="s">
        <v>83</v>
      </c>
      <c r="P8" s="20" t="n">
        <f aca="false">IF(P$47,P$48,0)</f>
        <v>0</v>
      </c>
      <c r="Q8" s="1" t="s">
        <v>83</v>
      </c>
    </row>
    <row r="9" customFormat="false" ht="27.75" hidden="false" customHeight="true" outlineLevel="0" collapsed="false">
      <c r="B9" s="1" t="s">
        <v>84</v>
      </c>
      <c r="D9" s="21" t="str">
        <f aca="false">IF(OR(NOT(D$47),D$48=0),"暫不分攤",TEXT(QUOTIENT(D$46,MAX(1,D$48))/10,"0.0")&amp;IF(MOD(D$46,MAX(1,D$48))&gt;0,"–"&amp;TEXT((QUOTIENT(D$46,MAX(1,D$48))+1)/10,"0.0"),"")&amp;" 元／人")</f>
        <v>暫不分攤</v>
      </c>
      <c r="E9" s="21"/>
      <c r="F9" s="21" t="str">
        <f aca="false">IF(OR(NOT(F$47),F$48=0),"暫不分攤",TEXT(QUOTIENT(F$46,MAX(1,F$48))/10,"0.0")&amp;IF(MOD(F$46,MAX(1,F$48))&gt;0,"–"&amp;TEXT((QUOTIENT(F$46,MAX(1,F$48))+1)/10,"0.0"),"")&amp;" 元／人")</f>
        <v>暫不分攤</v>
      </c>
      <c r="G9" s="21"/>
      <c r="H9" s="21" t="str">
        <f aca="false">IF(OR(NOT(H$47),H$48=0),"暫不分攤",TEXT(QUOTIENT(H$46,MAX(1,H$48))/10,"0.0")&amp;IF(MOD(H$46,MAX(1,H$48))&gt;0,"–"&amp;TEXT((QUOTIENT(H$46,MAX(1,H$48))+1)/10,"0.0"),"")&amp;" 元／人")</f>
        <v>暫不分攤</v>
      </c>
      <c r="I9" s="21"/>
      <c r="J9" s="21" t="str">
        <f aca="false">IF(OR(NOT(J$47),J$48=0),"暫不分攤",TEXT(QUOTIENT(J$46,MAX(1,J$48))/10,"0.0")&amp;IF(MOD(J$46,MAX(1,J$48))&gt;0,"–"&amp;TEXT((QUOTIENT(J$46,MAX(1,J$48))+1)/10,"0.0"),"")&amp;" 元／人")</f>
        <v>暫不分攤</v>
      </c>
      <c r="K9" s="21"/>
      <c r="L9" s="21" t="str">
        <f aca="false">IF(OR(NOT(L$47),L$48=0),"暫不分攤",TEXT(QUOTIENT(L$46,MAX(1,L$48))/10,"0.0")&amp;IF(MOD(L$46,MAX(1,L$48))&gt;0,"–"&amp;TEXT((QUOTIENT(L$46,MAX(1,L$48))+1)/10,"0.0"),"")&amp;" 元／人")</f>
        <v>暫不分攤</v>
      </c>
      <c r="M9" s="21"/>
      <c r="N9" s="21" t="str">
        <f aca="false">IF(OR(NOT(N$47),N$48=0),"暫不分攤",TEXT(QUOTIENT(N$46,MAX(1,N$48))/10,"0.0")&amp;IF(MOD(N$46,MAX(1,N$48))&gt;0,"–"&amp;TEXT((QUOTIENT(N$46,MAX(1,N$48))+1)/10,"0.0"),"")&amp;" 元／人")</f>
        <v>暫不分攤</v>
      </c>
      <c r="O9" s="21"/>
      <c r="P9" s="21" t="str">
        <f aca="false">IF(OR(NOT(P$47),P$48=0),"暫不分攤",TEXT(QUOTIENT(P$46,MAX(1,P$48))/10,"0.0")&amp;IF(MOD(P$46,MAX(1,P$48))&gt;0,"–"&amp;TEXT((QUOTIENT(P$46,MAX(1,P$48))+1)/10,"0.0"),"")&amp;" 元／人")</f>
        <v>暫不分攤</v>
      </c>
      <c r="Q9" s="21"/>
    </row>
    <row r="10" customFormat="false" ht="81.75" hidden="false" customHeight="true" outlineLevel="0" collapsed="false">
      <c r="B10" s="1" t="s">
        <v>53</v>
      </c>
      <c r="D10" s="22" t="str">
        <f aca="false">IF(NOT(D$47),"金額須為非負數且最多一位小數。 ","")&amp;IF(AND(D$46&gt;0,D$50,$C$3&lt;&gt;TRUE()),"未用車但有車資：保留金額，暫不分攤。 ","")&amp;IF(AND(D$46&gt;0,D$50,$C$3=TRUE(),$C$49=0),"請設定具名司機；車資暫不分攤。 ","")&amp;IF(AND(D$46&gt;0,D$48=0,NOT(AND(D$46&gt;0,D$50,$C$3&lt;&gt;TRUE())),NOT(AND(D$46&gt;0,D$50,$C$3=TRUE(),$C$49=0))),"沒有可分攤者。 ","")&amp;IF(AND(D$46&gt;0,LEN(TRIM(E7))=0),"請指定具名代墊者。","")</f>
        <v/>
      </c>
      <c r="E10" s="22"/>
      <c r="F10" s="22" t="str">
        <f aca="false">IF(NOT(F$47),"金額須為非負數且最多一位小數。 ","")&amp;IF(AND(F$46&gt;0,F$50,$C$3&lt;&gt;TRUE()),"未用車但有車資：保留金額，暫不分攤。 ","")&amp;IF(AND(F$46&gt;0,F$50,$C$3=TRUE(),$C$49=0),"請設定具名司機；車資暫不分攤。 ","")&amp;IF(AND(F$46&gt;0,F$48=0,NOT(AND(F$46&gt;0,F$50,$C$3&lt;&gt;TRUE())),NOT(AND(F$46&gt;0,F$50,$C$3=TRUE(),$C$49=0))),"沒有可分攤者。 ","")&amp;IF(AND(F$46&gt;0,LEN(TRIM(G7))=0),"請指定具名代墊者。","")</f>
        <v/>
      </c>
      <c r="G10" s="22"/>
      <c r="H10" s="22" t="str">
        <f aca="false">IF(NOT(H$47),"金額須為非負數且最多一位小數。 ","")&amp;IF(AND(H$46&gt;0,H$50,$C$3&lt;&gt;TRUE()),"未用車但有車資：保留金額，暫不分攤。 ","")&amp;IF(AND(H$46&gt;0,H$50,$C$3=TRUE(),$C$49=0),"請設定具名司機；車資暫不分攤。 ","")&amp;IF(AND(H$46&gt;0,H$48=0,NOT(AND(H$46&gt;0,H$50,$C$3&lt;&gt;TRUE())),NOT(AND(H$46&gt;0,H$50,$C$3=TRUE(),$C$49=0))),"沒有可分攤者。 ","")&amp;IF(AND(H$46&gt;0,LEN(TRIM(I7))=0),"請指定具名代墊者。","")</f>
        <v/>
      </c>
      <c r="I10" s="22"/>
      <c r="J10" s="22" t="str">
        <f aca="false">IF(NOT(J$47),"金額須為非負數且最多一位小數。 ","")&amp;IF(AND(J$46&gt;0,J$50,$C$3&lt;&gt;TRUE()),"未用車但有車資：保留金額，暫不分攤。 ","")&amp;IF(AND(J$46&gt;0,J$50,$C$3=TRUE(),$C$49=0),"請設定具名司機；車資暫不分攤。 ","")&amp;IF(AND(J$46&gt;0,J$48=0,NOT(AND(J$46&gt;0,J$50,$C$3&lt;&gt;TRUE())),NOT(AND(J$46&gt;0,J$50,$C$3=TRUE(),$C$49=0))),"沒有可分攤者。 ","")&amp;IF(AND(J$46&gt;0,LEN(TRIM(K7))=0),"請指定具名代墊者。","")</f>
        <v/>
      </c>
      <c r="K10" s="22"/>
      <c r="L10" s="22" t="str">
        <f aca="false">IF(NOT(L$47),"金額須為非負數且最多一位小數。 ","")&amp;IF(AND(L$46&gt;0,L$50,$C$3&lt;&gt;TRUE()),"未用車但有車資：保留金額，暫不分攤。 ","")&amp;IF(AND(L$46&gt;0,L$50,$C$3=TRUE(),$C$49=0),"請設定具名司機；車資暫不分攤。 ","")&amp;IF(AND(L$46&gt;0,L$48=0,NOT(AND(L$46&gt;0,L$50,$C$3&lt;&gt;TRUE())),NOT(AND(L$46&gt;0,L$50,$C$3=TRUE(),$C$49=0))),"沒有可分攤者。 ","")&amp;IF(AND(L$46&gt;0,LEN(TRIM(M7))=0),"請指定具名代墊者。","")</f>
        <v/>
      </c>
      <c r="M10" s="22"/>
      <c r="N10" s="22" t="str">
        <f aca="false">IF(NOT(N$47),"金額須為非負數且最多一位小數。 ","")&amp;IF(AND(N$46&gt;0,N$50,$C$3&lt;&gt;TRUE()),"未用車但有車資：保留金額，暫不分攤。 ","")&amp;IF(AND(N$46&gt;0,N$50,$C$3=TRUE(),$C$49=0),"請設定具名司機；車資暫不分攤。 ","")&amp;IF(AND(N$46&gt;0,N$48=0,NOT(AND(N$46&gt;0,N$50,$C$3&lt;&gt;TRUE())),NOT(AND(N$46&gt;0,N$50,$C$3=TRUE(),$C$49=0))),"沒有可分攤者。 ","")&amp;IF(AND(N$46&gt;0,LEN(TRIM(O7))=0),"請指定具名代墊者。","")</f>
        <v/>
      </c>
      <c r="O10" s="22"/>
      <c r="P10" s="22" t="str">
        <f aca="false">IF(NOT(P$47),"金額須為非負數且最多一位小數。 ","")&amp;IF(AND(P$46&gt;0,P$50,$C$3&lt;&gt;TRUE()),"未用車但有車資：保留金額，暫不分攤。 ","")&amp;IF(AND(P$46&gt;0,P$50,$C$3=TRUE(),$C$49=0),"請設定具名司機；車資暫不分攤。 ","")&amp;IF(AND(P$46&gt;0,P$48=0,NOT(AND(P$46&gt;0,P$50,$C$3&lt;&gt;TRUE())),NOT(AND(P$46&gt;0,P$50,$C$3=TRUE(),$C$49=0))),"沒有可分攤者。 ","")&amp;IF(AND(P$46&gt;0,LEN(TRIM(Q7))=0),"請指定具名代墊者。","")</f>
        <v/>
      </c>
      <c r="Q10" s="22"/>
    </row>
    <row r="11" customFormat="false" ht="30" hidden="false" customHeight="true" outlineLevel="0" collapsed="false">
      <c r="A11" s="3" t="s">
        <v>8</v>
      </c>
      <c r="B11" s="3" t="s">
        <v>9</v>
      </c>
      <c r="C11" s="3" t="s">
        <v>85</v>
      </c>
      <c r="D11" s="3" t="s">
        <v>86</v>
      </c>
      <c r="E11" s="3" t="s">
        <v>87</v>
      </c>
      <c r="F11" s="3" t="s">
        <v>86</v>
      </c>
      <c r="G11" s="3" t="s">
        <v>87</v>
      </c>
      <c r="H11" s="3" t="s">
        <v>86</v>
      </c>
      <c r="I11" s="3" t="s">
        <v>87</v>
      </c>
      <c r="J11" s="3" t="s">
        <v>86</v>
      </c>
      <c r="K11" s="3" t="s">
        <v>87</v>
      </c>
      <c r="L11" s="3" t="s">
        <v>86</v>
      </c>
      <c r="M11" s="3" t="s">
        <v>87</v>
      </c>
      <c r="N11" s="3" t="s">
        <v>86</v>
      </c>
      <c r="O11" s="3" t="s">
        <v>87</v>
      </c>
      <c r="P11" s="3" t="s">
        <v>86</v>
      </c>
      <c r="Q11" s="3" t="s">
        <v>87</v>
      </c>
    </row>
    <row r="12" customFormat="false" ht="27" hidden="false" customHeight="true" outlineLevel="0" collapsed="false">
      <c r="A12" s="8" t="s">
        <v>18</v>
      </c>
      <c r="B12" s="9" t="str">
        <f aca="false">IFERROR(INDEX(成員名單!$B$5:$B$34,MATCH($A12,成員名單!$A$5:$A$34,0))&amp;"","")</f>
        <v/>
      </c>
      <c r="C12" s="23" t="b">
        <f aca="false">FALSE()</f>
        <v>0</v>
      </c>
      <c r="D12" s="23" t="b">
        <f aca="false">FALSE()</f>
        <v>0</v>
      </c>
      <c r="E12" s="9" t="n">
        <f aca="false">D52/10</f>
        <v>0</v>
      </c>
      <c r="F12" s="23" t="b">
        <f aca="false">FALSE()</f>
        <v>0</v>
      </c>
      <c r="G12" s="9" t="n">
        <f aca="false">F52/10</f>
        <v>0</v>
      </c>
      <c r="H12" s="23" t="b">
        <f aca="false">FALSE()</f>
        <v>0</v>
      </c>
      <c r="I12" s="9" t="n">
        <f aca="false">H52/10</f>
        <v>0</v>
      </c>
      <c r="J12" s="23" t="b">
        <f aca="false">FALSE()</f>
        <v>0</v>
      </c>
      <c r="K12" s="9" t="n">
        <f aca="false">J52/10</f>
        <v>0</v>
      </c>
      <c r="L12" s="23" t="b">
        <f aca="false">FALSE()</f>
        <v>0</v>
      </c>
      <c r="M12" s="9" t="n">
        <f aca="false">L52/10</f>
        <v>0</v>
      </c>
      <c r="N12" s="23" t="b">
        <f aca="false">FALSE()</f>
        <v>0</v>
      </c>
      <c r="O12" s="9" t="n">
        <f aca="false">N52/10</f>
        <v>0</v>
      </c>
      <c r="P12" s="23" t="b">
        <f aca="false">FALSE()</f>
        <v>0</v>
      </c>
      <c r="Q12" s="9" t="n">
        <f aca="false">P52/10</f>
        <v>0</v>
      </c>
    </row>
    <row r="13" customFormat="false" ht="27" hidden="false" customHeight="true" outlineLevel="0" collapsed="false">
      <c r="A13" s="10" t="s">
        <v>19</v>
      </c>
      <c r="B13" s="11" t="str">
        <f aca="false">IFERROR(INDEX(成員名單!$B$5:$B$34,MATCH($A13,成員名單!$A$5:$A$34,0))&amp;"","")</f>
        <v/>
      </c>
      <c r="C13" s="23" t="b">
        <f aca="false">FALSE()</f>
        <v>0</v>
      </c>
      <c r="D13" s="23" t="b">
        <f aca="false">FALSE()</f>
        <v>0</v>
      </c>
      <c r="E13" s="11" t="n">
        <f aca="false">D53/10</f>
        <v>0</v>
      </c>
      <c r="F13" s="23" t="b">
        <f aca="false">FALSE()</f>
        <v>0</v>
      </c>
      <c r="G13" s="11" t="n">
        <f aca="false">F53/10</f>
        <v>0</v>
      </c>
      <c r="H13" s="23" t="b">
        <f aca="false">FALSE()</f>
        <v>0</v>
      </c>
      <c r="I13" s="11" t="n">
        <f aca="false">H53/10</f>
        <v>0</v>
      </c>
      <c r="J13" s="23" t="b">
        <f aca="false">FALSE()</f>
        <v>0</v>
      </c>
      <c r="K13" s="11" t="n">
        <f aca="false">J53/10</f>
        <v>0</v>
      </c>
      <c r="L13" s="23" t="b">
        <f aca="false">FALSE()</f>
        <v>0</v>
      </c>
      <c r="M13" s="11" t="n">
        <f aca="false">L53/10</f>
        <v>0</v>
      </c>
      <c r="N13" s="23" t="b">
        <f aca="false">FALSE()</f>
        <v>0</v>
      </c>
      <c r="O13" s="11" t="n">
        <f aca="false">N53/10</f>
        <v>0</v>
      </c>
      <c r="P13" s="23" t="b">
        <f aca="false">FALSE()</f>
        <v>0</v>
      </c>
      <c r="Q13" s="11" t="n">
        <f aca="false">P53/10</f>
        <v>0</v>
      </c>
    </row>
    <row r="14" customFormat="false" ht="27" hidden="false" customHeight="true" outlineLevel="0" collapsed="false">
      <c r="A14" s="8" t="s">
        <v>20</v>
      </c>
      <c r="B14" s="9" t="str">
        <f aca="false">IFERROR(INDEX(成員名單!$B$5:$B$34,MATCH($A14,成員名單!$A$5:$A$34,0))&amp;"","")</f>
        <v/>
      </c>
      <c r="C14" s="23" t="b">
        <f aca="false">FALSE()</f>
        <v>0</v>
      </c>
      <c r="D14" s="23" t="b">
        <f aca="false">FALSE()</f>
        <v>0</v>
      </c>
      <c r="E14" s="9" t="n">
        <f aca="false">D54/10</f>
        <v>0</v>
      </c>
      <c r="F14" s="23" t="b">
        <f aca="false">FALSE()</f>
        <v>0</v>
      </c>
      <c r="G14" s="9" t="n">
        <f aca="false">F54/10</f>
        <v>0</v>
      </c>
      <c r="H14" s="23" t="b">
        <f aca="false">FALSE()</f>
        <v>0</v>
      </c>
      <c r="I14" s="9" t="n">
        <f aca="false">H54/10</f>
        <v>0</v>
      </c>
      <c r="J14" s="23" t="b">
        <f aca="false">FALSE()</f>
        <v>0</v>
      </c>
      <c r="K14" s="9" t="n">
        <f aca="false">J54/10</f>
        <v>0</v>
      </c>
      <c r="L14" s="23" t="b">
        <f aca="false">FALSE()</f>
        <v>0</v>
      </c>
      <c r="M14" s="9" t="n">
        <f aca="false">L54/10</f>
        <v>0</v>
      </c>
      <c r="N14" s="23" t="b">
        <f aca="false">FALSE()</f>
        <v>0</v>
      </c>
      <c r="O14" s="9" t="n">
        <f aca="false">N54/10</f>
        <v>0</v>
      </c>
      <c r="P14" s="23" t="b">
        <f aca="false">FALSE()</f>
        <v>0</v>
      </c>
      <c r="Q14" s="9" t="n">
        <f aca="false">P54/10</f>
        <v>0</v>
      </c>
    </row>
    <row r="15" customFormat="false" ht="27" hidden="false" customHeight="true" outlineLevel="0" collapsed="false">
      <c r="A15" s="10" t="s">
        <v>21</v>
      </c>
      <c r="B15" s="11" t="str">
        <f aca="false">IFERROR(INDEX(成員名單!$B$5:$B$34,MATCH($A15,成員名單!$A$5:$A$34,0))&amp;"","")</f>
        <v/>
      </c>
      <c r="C15" s="23" t="b">
        <f aca="false">FALSE()</f>
        <v>0</v>
      </c>
      <c r="D15" s="23" t="b">
        <f aca="false">FALSE()</f>
        <v>0</v>
      </c>
      <c r="E15" s="11" t="n">
        <f aca="false">D55/10</f>
        <v>0</v>
      </c>
      <c r="F15" s="23" t="b">
        <f aca="false">FALSE()</f>
        <v>0</v>
      </c>
      <c r="G15" s="11" t="n">
        <f aca="false">F55/10</f>
        <v>0</v>
      </c>
      <c r="H15" s="23" t="b">
        <f aca="false">FALSE()</f>
        <v>0</v>
      </c>
      <c r="I15" s="11" t="n">
        <f aca="false">H55/10</f>
        <v>0</v>
      </c>
      <c r="J15" s="23" t="b">
        <f aca="false">FALSE()</f>
        <v>0</v>
      </c>
      <c r="K15" s="11" t="n">
        <f aca="false">J55/10</f>
        <v>0</v>
      </c>
      <c r="L15" s="23" t="b">
        <f aca="false">FALSE()</f>
        <v>0</v>
      </c>
      <c r="M15" s="11" t="n">
        <f aca="false">L55/10</f>
        <v>0</v>
      </c>
      <c r="N15" s="23" t="b">
        <f aca="false">FALSE()</f>
        <v>0</v>
      </c>
      <c r="O15" s="11" t="n">
        <f aca="false">N55/10</f>
        <v>0</v>
      </c>
      <c r="P15" s="23" t="b">
        <f aca="false">FALSE()</f>
        <v>0</v>
      </c>
      <c r="Q15" s="11" t="n">
        <f aca="false">P55/10</f>
        <v>0</v>
      </c>
    </row>
    <row r="16" customFormat="false" ht="27" hidden="false" customHeight="true" outlineLevel="0" collapsed="false">
      <c r="A16" s="8" t="s">
        <v>22</v>
      </c>
      <c r="B16" s="9" t="str">
        <f aca="false">IFERROR(INDEX(成員名單!$B$5:$B$34,MATCH($A16,成員名單!$A$5:$A$34,0))&amp;"","")</f>
        <v/>
      </c>
      <c r="C16" s="23" t="b">
        <f aca="false">FALSE()</f>
        <v>0</v>
      </c>
      <c r="D16" s="23" t="b">
        <f aca="false">FALSE()</f>
        <v>0</v>
      </c>
      <c r="E16" s="9" t="n">
        <f aca="false">D56/10</f>
        <v>0</v>
      </c>
      <c r="F16" s="23" t="b">
        <f aca="false">FALSE()</f>
        <v>0</v>
      </c>
      <c r="G16" s="9" t="n">
        <f aca="false">F56/10</f>
        <v>0</v>
      </c>
      <c r="H16" s="23" t="b">
        <f aca="false">FALSE()</f>
        <v>0</v>
      </c>
      <c r="I16" s="9" t="n">
        <f aca="false">H56/10</f>
        <v>0</v>
      </c>
      <c r="J16" s="23" t="b">
        <f aca="false">FALSE()</f>
        <v>0</v>
      </c>
      <c r="K16" s="9" t="n">
        <f aca="false">J56/10</f>
        <v>0</v>
      </c>
      <c r="L16" s="23" t="b">
        <f aca="false">FALSE()</f>
        <v>0</v>
      </c>
      <c r="M16" s="9" t="n">
        <f aca="false">L56/10</f>
        <v>0</v>
      </c>
      <c r="N16" s="23" t="b">
        <f aca="false">FALSE()</f>
        <v>0</v>
      </c>
      <c r="O16" s="9" t="n">
        <f aca="false">N56/10</f>
        <v>0</v>
      </c>
      <c r="P16" s="23" t="b">
        <f aca="false">FALSE()</f>
        <v>0</v>
      </c>
      <c r="Q16" s="9" t="n">
        <f aca="false">P56/10</f>
        <v>0</v>
      </c>
    </row>
    <row r="17" customFormat="false" ht="27" hidden="false" customHeight="true" outlineLevel="0" collapsed="false">
      <c r="A17" s="10" t="s">
        <v>23</v>
      </c>
      <c r="B17" s="11" t="str">
        <f aca="false">IFERROR(INDEX(成員名單!$B$5:$B$34,MATCH($A17,成員名單!$A$5:$A$34,0))&amp;"","")</f>
        <v/>
      </c>
      <c r="C17" s="23" t="b">
        <f aca="false">FALSE()</f>
        <v>0</v>
      </c>
      <c r="D17" s="23" t="b">
        <f aca="false">FALSE()</f>
        <v>0</v>
      </c>
      <c r="E17" s="11" t="n">
        <f aca="false">D57/10</f>
        <v>0</v>
      </c>
      <c r="F17" s="23" t="b">
        <f aca="false">FALSE()</f>
        <v>0</v>
      </c>
      <c r="G17" s="11" t="n">
        <f aca="false">F57/10</f>
        <v>0</v>
      </c>
      <c r="H17" s="23" t="b">
        <f aca="false">FALSE()</f>
        <v>0</v>
      </c>
      <c r="I17" s="11" t="n">
        <f aca="false">H57/10</f>
        <v>0</v>
      </c>
      <c r="J17" s="23" t="b">
        <f aca="false">FALSE()</f>
        <v>0</v>
      </c>
      <c r="K17" s="11" t="n">
        <f aca="false">J57/10</f>
        <v>0</v>
      </c>
      <c r="L17" s="23" t="b">
        <f aca="false">FALSE()</f>
        <v>0</v>
      </c>
      <c r="M17" s="11" t="n">
        <f aca="false">L57/10</f>
        <v>0</v>
      </c>
      <c r="N17" s="23" t="b">
        <f aca="false">FALSE()</f>
        <v>0</v>
      </c>
      <c r="O17" s="11" t="n">
        <f aca="false">N57/10</f>
        <v>0</v>
      </c>
      <c r="P17" s="23" t="b">
        <f aca="false">FALSE()</f>
        <v>0</v>
      </c>
      <c r="Q17" s="11" t="n">
        <f aca="false">P57/10</f>
        <v>0</v>
      </c>
    </row>
    <row r="18" customFormat="false" ht="27" hidden="false" customHeight="true" outlineLevel="0" collapsed="false">
      <c r="A18" s="8" t="s">
        <v>24</v>
      </c>
      <c r="B18" s="9" t="str">
        <f aca="false">IFERROR(INDEX(成員名單!$B$5:$B$34,MATCH($A18,成員名單!$A$5:$A$34,0))&amp;"","")</f>
        <v/>
      </c>
      <c r="C18" s="23" t="b">
        <f aca="false">FALSE()</f>
        <v>0</v>
      </c>
      <c r="D18" s="23" t="b">
        <f aca="false">FALSE()</f>
        <v>0</v>
      </c>
      <c r="E18" s="9" t="n">
        <f aca="false">D58/10</f>
        <v>0</v>
      </c>
      <c r="F18" s="23" t="b">
        <f aca="false">FALSE()</f>
        <v>0</v>
      </c>
      <c r="G18" s="9" t="n">
        <f aca="false">F58/10</f>
        <v>0</v>
      </c>
      <c r="H18" s="23" t="b">
        <f aca="false">FALSE()</f>
        <v>0</v>
      </c>
      <c r="I18" s="9" t="n">
        <f aca="false">H58/10</f>
        <v>0</v>
      </c>
      <c r="J18" s="23" t="b">
        <f aca="false">FALSE()</f>
        <v>0</v>
      </c>
      <c r="K18" s="9" t="n">
        <f aca="false">J58/10</f>
        <v>0</v>
      </c>
      <c r="L18" s="23" t="b">
        <f aca="false">FALSE()</f>
        <v>0</v>
      </c>
      <c r="M18" s="9" t="n">
        <f aca="false">L58/10</f>
        <v>0</v>
      </c>
      <c r="N18" s="23" t="b">
        <f aca="false">FALSE()</f>
        <v>0</v>
      </c>
      <c r="O18" s="9" t="n">
        <f aca="false">N58/10</f>
        <v>0</v>
      </c>
      <c r="P18" s="23" t="b">
        <f aca="false">FALSE()</f>
        <v>0</v>
      </c>
      <c r="Q18" s="9" t="n">
        <f aca="false">P58/10</f>
        <v>0</v>
      </c>
    </row>
    <row r="19" customFormat="false" ht="27" hidden="false" customHeight="true" outlineLevel="0" collapsed="false">
      <c r="A19" s="10" t="s">
        <v>25</v>
      </c>
      <c r="B19" s="11" t="str">
        <f aca="false">IFERROR(INDEX(成員名單!$B$5:$B$34,MATCH($A19,成員名單!$A$5:$A$34,0))&amp;"","")</f>
        <v/>
      </c>
      <c r="C19" s="23" t="b">
        <f aca="false">FALSE()</f>
        <v>0</v>
      </c>
      <c r="D19" s="23" t="b">
        <f aca="false">FALSE()</f>
        <v>0</v>
      </c>
      <c r="E19" s="11" t="n">
        <f aca="false">D59/10</f>
        <v>0</v>
      </c>
      <c r="F19" s="23" t="b">
        <f aca="false">FALSE()</f>
        <v>0</v>
      </c>
      <c r="G19" s="11" t="n">
        <f aca="false">F59/10</f>
        <v>0</v>
      </c>
      <c r="H19" s="23" t="b">
        <f aca="false">FALSE()</f>
        <v>0</v>
      </c>
      <c r="I19" s="11" t="n">
        <f aca="false">H59/10</f>
        <v>0</v>
      </c>
      <c r="J19" s="23" t="b">
        <f aca="false">FALSE()</f>
        <v>0</v>
      </c>
      <c r="K19" s="11" t="n">
        <f aca="false">J59/10</f>
        <v>0</v>
      </c>
      <c r="L19" s="23" t="b">
        <f aca="false">FALSE()</f>
        <v>0</v>
      </c>
      <c r="M19" s="11" t="n">
        <f aca="false">L59/10</f>
        <v>0</v>
      </c>
      <c r="N19" s="23" t="b">
        <f aca="false">FALSE()</f>
        <v>0</v>
      </c>
      <c r="O19" s="11" t="n">
        <f aca="false">N59/10</f>
        <v>0</v>
      </c>
      <c r="P19" s="23" t="b">
        <f aca="false">FALSE()</f>
        <v>0</v>
      </c>
      <c r="Q19" s="11" t="n">
        <f aca="false">P59/10</f>
        <v>0</v>
      </c>
    </row>
    <row r="20" customFormat="false" ht="27" hidden="false" customHeight="true" outlineLevel="0" collapsed="false">
      <c r="A20" s="8" t="s">
        <v>26</v>
      </c>
      <c r="B20" s="9" t="str">
        <f aca="false">IFERROR(INDEX(成員名單!$B$5:$B$34,MATCH($A20,成員名單!$A$5:$A$34,0))&amp;"","")</f>
        <v/>
      </c>
      <c r="C20" s="23" t="b">
        <f aca="false">FALSE()</f>
        <v>0</v>
      </c>
      <c r="D20" s="23" t="b">
        <f aca="false">FALSE()</f>
        <v>0</v>
      </c>
      <c r="E20" s="9" t="n">
        <f aca="false">D60/10</f>
        <v>0</v>
      </c>
      <c r="F20" s="23" t="b">
        <f aca="false">FALSE()</f>
        <v>0</v>
      </c>
      <c r="G20" s="9" t="n">
        <f aca="false">F60/10</f>
        <v>0</v>
      </c>
      <c r="H20" s="23" t="b">
        <f aca="false">FALSE()</f>
        <v>0</v>
      </c>
      <c r="I20" s="9" t="n">
        <f aca="false">H60/10</f>
        <v>0</v>
      </c>
      <c r="J20" s="23" t="b">
        <f aca="false">FALSE()</f>
        <v>0</v>
      </c>
      <c r="K20" s="9" t="n">
        <f aca="false">J60/10</f>
        <v>0</v>
      </c>
      <c r="L20" s="23" t="b">
        <f aca="false">FALSE()</f>
        <v>0</v>
      </c>
      <c r="M20" s="9" t="n">
        <f aca="false">L60/10</f>
        <v>0</v>
      </c>
      <c r="N20" s="23" t="b">
        <f aca="false">FALSE()</f>
        <v>0</v>
      </c>
      <c r="O20" s="9" t="n">
        <f aca="false">N60/10</f>
        <v>0</v>
      </c>
      <c r="P20" s="23" t="b">
        <f aca="false">FALSE()</f>
        <v>0</v>
      </c>
      <c r="Q20" s="9" t="n">
        <f aca="false">P60/10</f>
        <v>0</v>
      </c>
    </row>
    <row r="21" customFormat="false" ht="27" hidden="false" customHeight="true" outlineLevel="0" collapsed="false">
      <c r="A21" s="10" t="s">
        <v>27</v>
      </c>
      <c r="B21" s="11" t="str">
        <f aca="false">IFERROR(INDEX(成員名單!$B$5:$B$34,MATCH($A21,成員名單!$A$5:$A$34,0))&amp;"","")</f>
        <v/>
      </c>
      <c r="C21" s="23" t="b">
        <f aca="false">FALSE()</f>
        <v>0</v>
      </c>
      <c r="D21" s="23" t="b">
        <f aca="false">FALSE()</f>
        <v>0</v>
      </c>
      <c r="E21" s="11" t="n">
        <f aca="false">D61/10</f>
        <v>0</v>
      </c>
      <c r="F21" s="23" t="b">
        <f aca="false">FALSE()</f>
        <v>0</v>
      </c>
      <c r="G21" s="11" t="n">
        <f aca="false">F61/10</f>
        <v>0</v>
      </c>
      <c r="H21" s="23" t="b">
        <f aca="false">FALSE()</f>
        <v>0</v>
      </c>
      <c r="I21" s="11" t="n">
        <f aca="false">H61/10</f>
        <v>0</v>
      </c>
      <c r="J21" s="23" t="b">
        <f aca="false">FALSE()</f>
        <v>0</v>
      </c>
      <c r="K21" s="11" t="n">
        <f aca="false">J61/10</f>
        <v>0</v>
      </c>
      <c r="L21" s="23" t="b">
        <f aca="false">FALSE()</f>
        <v>0</v>
      </c>
      <c r="M21" s="11" t="n">
        <f aca="false">L61/10</f>
        <v>0</v>
      </c>
      <c r="N21" s="23" t="b">
        <f aca="false">FALSE()</f>
        <v>0</v>
      </c>
      <c r="O21" s="11" t="n">
        <f aca="false">N61/10</f>
        <v>0</v>
      </c>
      <c r="P21" s="23" t="b">
        <f aca="false">FALSE()</f>
        <v>0</v>
      </c>
      <c r="Q21" s="11" t="n">
        <f aca="false">P61/10</f>
        <v>0</v>
      </c>
    </row>
    <row r="22" customFormat="false" ht="27" hidden="false" customHeight="true" outlineLevel="0" collapsed="false">
      <c r="A22" s="8" t="s">
        <v>28</v>
      </c>
      <c r="B22" s="9" t="str">
        <f aca="false">IFERROR(INDEX(成員名單!$B$5:$B$34,MATCH($A22,成員名單!$A$5:$A$34,0))&amp;"","")</f>
        <v/>
      </c>
      <c r="C22" s="23" t="b">
        <f aca="false">FALSE()</f>
        <v>0</v>
      </c>
      <c r="D22" s="23" t="b">
        <f aca="false">FALSE()</f>
        <v>0</v>
      </c>
      <c r="E22" s="9" t="n">
        <f aca="false">D62/10</f>
        <v>0</v>
      </c>
      <c r="F22" s="23" t="b">
        <f aca="false">FALSE()</f>
        <v>0</v>
      </c>
      <c r="G22" s="9" t="n">
        <f aca="false">F62/10</f>
        <v>0</v>
      </c>
      <c r="H22" s="23" t="b">
        <f aca="false">FALSE()</f>
        <v>0</v>
      </c>
      <c r="I22" s="9" t="n">
        <f aca="false">H62/10</f>
        <v>0</v>
      </c>
      <c r="J22" s="23" t="b">
        <f aca="false">FALSE()</f>
        <v>0</v>
      </c>
      <c r="K22" s="9" t="n">
        <f aca="false">J62/10</f>
        <v>0</v>
      </c>
      <c r="L22" s="23" t="b">
        <f aca="false">FALSE()</f>
        <v>0</v>
      </c>
      <c r="M22" s="9" t="n">
        <f aca="false">L62/10</f>
        <v>0</v>
      </c>
      <c r="N22" s="23" t="b">
        <f aca="false">FALSE()</f>
        <v>0</v>
      </c>
      <c r="O22" s="9" t="n">
        <f aca="false">N62/10</f>
        <v>0</v>
      </c>
      <c r="P22" s="23" t="b">
        <f aca="false">FALSE()</f>
        <v>0</v>
      </c>
      <c r="Q22" s="9" t="n">
        <f aca="false">P62/10</f>
        <v>0</v>
      </c>
    </row>
    <row r="23" customFormat="false" ht="27" hidden="false" customHeight="true" outlineLevel="0" collapsed="false">
      <c r="A23" s="10" t="s">
        <v>29</v>
      </c>
      <c r="B23" s="11" t="str">
        <f aca="false">IFERROR(INDEX(成員名單!$B$5:$B$34,MATCH($A23,成員名單!$A$5:$A$34,0))&amp;"","")</f>
        <v/>
      </c>
      <c r="C23" s="23" t="b">
        <f aca="false">FALSE()</f>
        <v>0</v>
      </c>
      <c r="D23" s="23" t="b">
        <f aca="false">FALSE()</f>
        <v>0</v>
      </c>
      <c r="E23" s="11" t="n">
        <f aca="false">D63/10</f>
        <v>0</v>
      </c>
      <c r="F23" s="23" t="b">
        <f aca="false">FALSE()</f>
        <v>0</v>
      </c>
      <c r="G23" s="11" t="n">
        <f aca="false">F63/10</f>
        <v>0</v>
      </c>
      <c r="H23" s="23" t="b">
        <f aca="false">FALSE()</f>
        <v>0</v>
      </c>
      <c r="I23" s="11" t="n">
        <f aca="false">H63/10</f>
        <v>0</v>
      </c>
      <c r="J23" s="23" t="b">
        <f aca="false">FALSE()</f>
        <v>0</v>
      </c>
      <c r="K23" s="11" t="n">
        <f aca="false">J63/10</f>
        <v>0</v>
      </c>
      <c r="L23" s="23" t="b">
        <f aca="false">FALSE()</f>
        <v>0</v>
      </c>
      <c r="M23" s="11" t="n">
        <f aca="false">L63/10</f>
        <v>0</v>
      </c>
      <c r="N23" s="23" t="b">
        <f aca="false">FALSE()</f>
        <v>0</v>
      </c>
      <c r="O23" s="11" t="n">
        <f aca="false">N63/10</f>
        <v>0</v>
      </c>
      <c r="P23" s="23" t="b">
        <f aca="false">FALSE()</f>
        <v>0</v>
      </c>
      <c r="Q23" s="11" t="n">
        <f aca="false">P63/10</f>
        <v>0</v>
      </c>
    </row>
    <row r="24" customFormat="false" ht="27" hidden="false" customHeight="true" outlineLevel="0" collapsed="false">
      <c r="A24" s="8" t="s">
        <v>30</v>
      </c>
      <c r="B24" s="9" t="str">
        <f aca="false">IFERROR(INDEX(成員名單!$B$5:$B$34,MATCH($A24,成員名單!$A$5:$A$34,0))&amp;"","")</f>
        <v/>
      </c>
      <c r="C24" s="23" t="b">
        <f aca="false">FALSE()</f>
        <v>0</v>
      </c>
      <c r="D24" s="23" t="b">
        <f aca="false">FALSE()</f>
        <v>0</v>
      </c>
      <c r="E24" s="9" t="n">
        <f aca="false">D64/10</f>
        <v>0</v>
      </c>
      <c r="F24" s="23" t="b">
        <f aca="false">FALSE()</f>
        <v>0</v>
      </c>
      <c r="G24" s="9" t="n">
        <f aca="false">F64/10</f>
        <v>0</v>
      </c>
      <c r="H24" s="23" t="b">
        <f aca="false">FALSE()</f>
        <v>0</v>
      </c>
      <c r="I24" s="9" t="n">
        <f aca="false">H64/10</f>
        <v>0</v>
      </c>
      <c r="J24" s="23" t="b">
        <f aca="false">FALSE()</f>
        <v>0</v>
      </c>
      <c r="K24" s="9" t="n">
        <f aca="false">J64/10</f>
        <v>0</v>
      </c>
      <c r="L24" s="23" t="b">
        <f aca="false">FALSE()</f>
        <v>0</v>
      </c>
      <c r="M24" s="9" t="n">
        <f aca="false">L64/10</f>
        <v>0</v>
      </c>
      <c r="N24" s="23" t="b">
        <f aca="false">FALSE()</f>
        <v>0</v>
      </c>
      <c r="O24" s="9" t="n">
        <f aca="false">N64/10</f>
        <v>0</v>
      </c>
      <c r="P24" s="23" t="b">
        <f aca="false">FALSE()</f>
        <v>0</v>
      </c>
      <c r="Q24" s="9" t="n">
        <f aca="false">P64/10</f>
        <v>0</v>
      </c>
    </row>
    <row r="25" customFormat="false" ht="27" hidden="false" customHeight="true" outlineLevel="0" collapsed="false">
      <c r="A25" s="10" t="s">
        <v>31</v>
      </c>
      <c r="B25" s="11" t="str">
        <f aca="false">IFERROR(INDEX(成員名單!$B$5:$B$34,MATCH($A25,成員名單!$A$5:$A$34,0))&amp;"","")</f>
        <v/>
      </c>
      <c r="C25" s="23" t="b">
        <f aca="false">FALSE()</f>
        <v>0</v>
      </c>
      <c r="D25" s="23" t="b">
        <f aca="false">FALSE()</f>
        <v>0</v>
      </c>
      <c r="E25" s="11" t="n">
        <f aca="false">D65/10</f>
        <v>0</v>
      </c>
      <c r="F25" s="23" t="b">
        <f aca="false">FALSE()</f>
        <v>0</v>
      </c>
      <c r="G25" s="11" t="n">
        <f aca="false">F65/10</f>
        <v>0</v>
      </c>
      <c r="H25" s="23" t="b">
        <f aca="false">FALSE()</f>
        <v>0</v>
      </c>
      <c r="I25" s="11" t="n">
        <f aca="false">H65/10</f>
        <v>0</v>
      </c>
      <c r="J25" s="23" t="b">
        <f aca="false">FALSE()</f>
        <v>0</v>
      </c>
      <c r="K25" s="11" t="n">
        <f aca="false">J65/10</f>
        <v>0</v>
      </c>
      <c r="L25" s="23" t="b">
        <f aca="false">FALSE()</f>
        <v>0</v>
      </c>
      <c r="M25" s="11" t="n">
        <f aca="false">L65/10</f>
        <v>0</v>
      </c>
      <c r="N25" s="23" t="b">
        <f aca="false">FALSE()</f>
        <v>0</v>
      </c>
      <c r="O25" s="11" t="n">
        <f aca="false">N65/10</f>
        <v>0</v>
      </c>
      <c r="P25" s="23" t="b">
        <f aca="false">FALSE()</f>
        <v>0</v>
      </c>
      <c r="Q25" s="11" t="n">
        <f aca="false">P65/10</f>
        <v>0</v>
      </c>
    </row>
    <row r="26" customFormat="false" ht="27" hidden="false" customHeight="true" outlineLevel="0" collapsed="false">
      <c r="A26" s="8" t="s">
        <v>32</v>
      </c>
      <c r="B26" s="9" t="str">
        <f aca="false">IFERROR(INDEX(成員名單!$B$5:$B$34,MATCH($A26,成員名單!$A$5:$A$34,0))&amp;"","")</f>
        <v/>
      </c>
      <c r="C26" s="23" t="b">
        <f aca="false">FALSE()</f>
        <v>0</v>
      </c>
      <c r="D26" s="23" t="b">
        <f aca="false">FALSE()</f>
        <v>0</v>
      </c>
      <c r="E26" s="9" t="n">
        <f aca="false">D66/10</f>
        <v>0</v>
      </c>
      <c r="F26" s="23" t="b">
        <f aca="false">FALSE()</f>
        <v>0</v>
      </c>
      <c r="G26" s="9" t="n">
        <f aca="false">F66/10</f>
        <v>0</v>
      </c>
      <c r="H26" s="23" t="b">
        <f aca="false">FALSE()</f>
        <v>0</v>
      </c>
      <c r="I26" s="9" t="n">
        <f aca="false">H66/10</f>
        <v>0</v>
      </c>
      <c r="J26" s="23" t="b">
        <f aca="false">FALSE()</f>
        <v>0</v>
      </c>
      <c r="K26" s="9" t="n">
        <f aca="false">J66/10</f>
        <v>0</v>
      </c>
      <c r="L26" s="23" t="b">
        <f aca="false">FALSE()</f>
        <v>0</v>
      </c>
      <c r="M26" s="9" t="n">
        <f aca="false">L66/10</f>
        <v>0</v>
      </c>
      <c r="N26" s="23" t="b">
        <f aca="false">FALSE()</f>
        <v>0</v>
      </c>
      <c r="O26" s="9" t="n">
        <f aca="false">N66/10</f>
        <v>0</v>
      </c>
      <c r="P26" s="23" t="b">
        <f aca="false">FALSE()</f>
        <v>0</v>
      </c>
      <c r="Q26" s="9" t="n">
        <f aca="false">P66/10</f>
        <v>0</v>
      </c>
    </row>
    <row r="27" customFormat="false" ht="27" hidden="false" customHeight="true" outlineLevel="0" collapsed="false">
      <c r="A27" s="10" t="s">
        <v>33</v>
      </c>
      <c r="B27" s="11" t="str">
        <f aca="false">IFERROR(INDEX(成員名單!$B$5:$B$34,MATCH($A27,成員名單!$A$5:$A$34,0))&amp;"","")</f>
        <v/>
      </c>
      <c r="C27" s="23" t="b">
        <f aca="false">FALSE()</f>
        <v>0</v>
      </c>
      <c r="D27" s="23" t="b">
        <f aca="false">FALSE()</f>
        <v>0</v>
      </c>
      <c r="E27" s="11" t="n">
        <f aca="false">D67/10</f>
        <v>0</v>
      </c>
      <c r="F27" s="23" t="b">
        <f aca="false">FALSE()</f>
        <v>0</v>
      </c>
      <c r="G27" s="11" t="n">
        <f aca="false">F67/10</f>
        <v>0</v>
      </c>
      <c r="H27" s="23" t="b">
        <f aca="false">FALSE()</f>
        <v>0</v>
      </c>
      <c r="I27" s="11" t="n">
        <f aca="false">H67/10</f>
        <v>0</v>
      </c>
      <c r="J27" s="23" t="b">
        <f aca="false">FALSE()</f>
        <v>0</v>
      </c>
      <c r="K27" s="11" t="n">
        <f aca="false">J67/10</f>
        <v>0</v>
      </c>
      <c r="L27" s="23" t="b">
        <f aca="false">FALSE()</f>
        <v>0</v>
      </c>
      <c r="M27" s="11" t="n">
        <f aca="false">L67/10</f>
        <v>0</v>
      </c>
      <c r="N27" s="23" t="b">
        <f aca="false">FALSE()</f>
        <v>0</v>
      </c>
      <c r="O27" s="11" t="n">
        <f aca="false">N67/10</f>
        <v>0</v>
      </c>
      <c r="P27" s="23" t="b">
        <f aca="false">FALSE()</f>
        <v>0</v>
      </c>
      <c r="Q27" s="11" t="n">
        <f aca="false">P67/10</f>
        <v>0</v>
      </c>
    </row>
    <row r="28" customFormat="false" ht="27" hidden="false" customHeight="true" outlineLevel="0" collapsed="false">
      <c r="A28" s="8" t="s">
        <v>34</v>
      </c>
      <c r="B28" s="9" t="str">
        <f aca="false">IFERROR(INDEX(成員名單!$B$5:$B$34,MATCH($A28,成員名單!$A$5:$A$34,0))&amp;"","")</f>
        <v/>
      </c>
      <c r="C28" s="23" t="b">
        <f aca="false">FALSE()</f>
        <v>0</v>
      </c>
      <c r="D28" s="23" t="b">
        <f aca="false">FALSE()</f>
        <v>0</v>
      </c>
      <c r="E28" s="9" t="n">
        <f aca="false">D68/10</f>
        <v>0</v>
      </c>
      <c r="F28" s="23" t="b">
        <f aca="false">FALSE()</f>
        <v>0</v>
      </c>
      <c r="G28" s="9" t="n">
        <f aca="false">F68/10</f>
        <v>0</v>
      </c>
      <c r="H28" s="23" t="b">
        <f aca="false">FALSE()</f>
        <v>0</v>
      </c>
      <c r="I28" s="9" t="n">
        <f aca="false">H68/10</f>
        <v>0</v>
      </c>
      <c r="J28" s="23" t="b">
        <f aca="false">FALSE()</f>
        <v>0</v>
      </c>
      <c r="K28" s="9" t="n">
        <f aca="false">J68/10</f>
        <v>0</v>
      </c>
      <c r="L28" s="23" t="b">
        <f aca="false">FALSE()</f>
        <v>0</v>
      </c>
      <c r="M28" s="9" t="n">
        <f aca="false">L68/10</f>
        <v>0</v>
      </c>
      <c r="N28" s="23" t="b">
        <f aca="false">FALSE()</f>
        <v>0</v>
      </c>
      <c r="O28" s="9" t="n">
        <f aca="false">N68/10</f>
        <v>0</v>
      </c>
      <c r="P28" s="23" t="b">
        <f aca="false">FALSE()</f>
        <v>0</v>
      </c>
      <c r="Q28" s="9" t="n">
        <f aca="false">P68/10</f>
        <v>0</v>
      </c>
    </row>
    <row r="29" customFormat="false" ht="27" hidden="false" customHeight="true" outlineLevel="0" collapsed="false">
      <c r="A29" s="10" t="s">
        <v>35</v>
      </c>
      <c r="B29" s="11" t="str">
        <f aca="false">IFERROR(INDEX(成員名單!$B$5:$B$34,MATCH($A29,成員名單!$A$5:$A$34,0))&amp;"","")</f>
        <v/>
      </c>
      <c r="C29" s="23" t="b">
        <f aca="false">FALSE()</f>
        <v>0</v>
      </c>
      <c r="D29" s="23" t="b">
        <f aca="false">FALSE()</f>
        <v>0</v>
      </c>
      <c r="E29" s="11" t="n">
        <f aca="false">D69/10</f>
        <v>0</v>
      </c>
      <c r="F29" s="23" t="b">
        <f aca="false">FALSE()</f>
        <v>0</v>
      </c>
      <c r="G29" s="11" t="n">
        <f aca="false">F69/10</f>
        <v>0</v>
      </c>
      <c r="H29" s="23" t="b">
        <f aca="false">FALSE()</f>
        <v>0</v>
      </c>
      <c r="I29" s="11" t="n">
        <f aca="false">H69/10</f>
        <v>0</v>
      </c>
      <c r="J29" s="23" t="b">
        <f aca="false">FALSE()</f>
        <v>0</v>
      </c>
      <c r="K29" s="11" t="n">
        <f aca="false">J69/10</f>
        <v>0</v>
      </c>
      <c r="L29" s="23" t="b">
        <f aca="false">FALSE()</f>
        <v>0</v>
      </c>
      <c r="M29" s="11" t="n">
        <f aca="false">L69/10</f>
        <v>0</v>
      </c>
      <c r="N29" s="23" t="b">
        <f aca="false">FALSE()</f>
        <v>0</v>
      </c>
      <c r="O29" s="11" t="n">
        <f aca="false">N69/10</f>
        <v>0</v>
      </c>
      <c r="P29" s="23" t="b">
        <f aca="false">FALSE()</f>
        <v>0</v>
      </c>
      <c r="Q29" s="11" t="n">
        <f aca="false">P69/10</f>
        <v>0</v>
      </c>
    </row>
    <row r="30" customFormat="false" ht="27" hidden="false" customHeight="true" outlineLevel="0" collapsed="false">
      <c r="A30" s="8" t="s">
        <v>36</v>
      </c>
      <c r="B30" s="9" t="str">
        <f aca="false">IFERROR(INDEX(成員名單!$B$5:$B$34,MATCH($A30,成員名單!$A$5:$A$34,0))&amp;"","")</f>
        <v/>
      </c>
      <c r="C30" s="23" t="b">
        <f aca="false">FALSE()</f>
        <v>0</v>
      </c>
      <c r="D30" s="23" t="b">
        <f aca="false">FALSE()</f>
        <v>0</v>
      </c>
      <c r="E30" s="9" t="n">
        <f aca="false">D70/10</f>
        <v>0</v>
      </c>
      <c r="F30" s="23" t="b">
        <f aca="false">FALSE()</f>
        <v>0</v>
      </c>
      <c r="G30" s="9" t="n">
        <f aca="false">F70/10</f>
        <v>0</v>
      </c>
      <c r="H30" s="23" t="b">
        <f aca="false">FALSE()</f>
        <v>0</v>
      </c>
      <c r="I30" s="9" t="n">
        <f aca="false">H70/10</f>
        <v>0</v>
      </c>
      <c r="J30" s="23" t="b">
        <f aca="false">FALSE()</f>
        <v>0</v>
      </c>
      <c r="K30" s="9" t="n">
        <f aca="false">J70/10</f>
        <v>0</v>
      </c>
      <c r="L30" s="23" t="b">
        <f aca="false">FALSE()</f>
        <v>0</v>
      </c>
      <c r="M30" s="9" t="n">
        <f aca="false">L70/10</f>
        <v>0</v>
      </c>
      <c r="N30" s="23" t="b">
        <f aca="false">FALSE()</f>
        <v>0</v>
      </c>
      <c r="O30" s="9" t="n">
        <f aca="false">N70/10</f>
        <v>0</v>
      </c>
      <c r="P30" s="23" t="b">
        <f aca="false">FALSE()</f>
        <v>0</v>
      </c>
      <c r="Q30" s="9" t="n">
        <f aca="false">P70/10</f>
        <v>0</v>
      </c>
    </row>
    <row r="31" customFormat="false" ht="27" hidden="false" customHeight="true" outlineLevel="0" collapsed="false">
      <c r="A31" s="10" t="s">
        <v>37</v>
      </c>
      <c r="B31" s="11" t="str">
        <f aca="false">IFERROR(INDEX(成員名單!$B$5:$B$34,MATCH($A31,成員名單!$A$5:$A$34,0))&amp;"","")</f>
        <v/>
      </c>
      <c r="C31" s="23" t="b">
        <f aca="false">FALSE()</f>
        <v>0</v>
      </c>
      <c r="D31" s="23" t="b">
        <f aca="false">FALSE()</f>
        <v>0</v>
      </c>
      <c r="E31" s="11" t="n">
        <f aca="false">D71/10</f>
        <v>0</v>
      </c>
      <c r="F31" s="23" t="b">
        <f aca="false">FALSE()</f>
        <v>0</v>
      </c>
      <c r="G31" s="11" t="n">
        <f aca="false">F71/10</f>
        <v>0</v>
      </c>
      <c r="H31" s="23" t="b">
        <f aca="false">FALSE()</f>
        <v>0</v>
      </c>
      <c r="I31" s="11" t="n">
        <f aca="false">H71/10</f>
        <v>0</v>
      </c>
      <c r="J31" s="23" t="b">
        <f aca="false">FALSE()</f>
        <v>0</v>
      </c>
      <c r="K31" s="11" t="n">
        <f aca="false">J71/10</f>
        <v>0</v>
      </c>
      <c r="L31" s="23" t="b">
        <f aca="false">FALSE()</f>
        <v>0</v>
      </c>
      <c r="M31" s="11" t="n">
        <f aca="false">L71/10</f>
        <v>0</v>
      </c>
      <c r="N31" s="23" t="b">
        <f aca="false">FALSE()</f>
        <v>0</v>
      </c>
      <c r="O31" s="11" t="n">
        <f aca="false">N71/10</f>
        <v>0</v>
      </c>
      <c r="P31" s="23" t="b">
        <f aca="false">FALSE()</f>
        <v>0</v>
      </c>
      <c r="Q31" s="11" t="n">
        <f aca="false">P71/10</f>
        <v>0</v>
      </c>
    </row>
    <row r="32" customFormat="false" ht="27" hidden="false" customHeight="true" outlineLevel="0" collapsed="false">
      <c r="A32" s="8" t="s">
        <v>38</v>
      </c>
      <c r="B32" s="9" t="str">
        <f aca="false">IFERROR(INDEX(成員名單!$B$5:$B$34,MATCH($A32,成員名單!$A$5:$A$34,0))&amp;"","")</f>
        <v/>
      </c>
      <c r="C32" s="23" t="b">
        <f aca="false">FALSE()</f>
        <v>0</v>
      </c>
      <c r="D32" s="23" t="b">
        <f aca="false">FALSE()</f>
        <v>0</v>
      </c>
      <c r="E32" s="9" t="n">
        <f aca="false">D72/10</f>
        <v>0</v>
      </c>
      <c r="F32" s="23" t="b">
        <f aca="false">FALSE()</f>
        <v>0</v>
      </c>
      <c r="G32" s="9" t="n">
        <f aca="false">F72/10</f>
        <v>0</v>
      </c>
      <c r="H32" s="23" t="b">
        <f aca="false">FALSE()</f>
        <v>0</v>
      </c>
      <c r="I32" s="9" t="n">
        <f aca="false">H72/10</f>
        <v>0</v>
      </c>
      <c r="J32" s="23" t="b">
        <f aca="false">FALSE()</f>
        <v>0</v>
      </c>
      <c r="K32" s="9" t="n">
        <f aca="false">J72/10</f>
        <v>0</v>
      </c>
      <c r="L32" s="23" t="b">
        <f aca="false">FALSE()</f>
        <v>0</v>
      </c>
      <c r="M32" s="9" t="n">
        <f aca="false">L72/10</f>
        <v>0</v>
      </c>
      <c r="N32" s="23" t="b">
        <f aca="false">FALSE()</f>
        <v>0</v>
      </c>
      <c r="O32" s="9" t="n">
        <f aca="false">N72/10</f>
        <v>0</v>
      </c>
      <c r="P32" s="23" t="b">
        <f aca="false">FALSE()</f>
        <v>0</v>
      </c>
      <c r="Q32" s="9" t="n">
        <f aca="false">P72/10</f>
        <v>0</v>
      </c>
    </row>
    <row r="33" customFormat="false" ht="27" hidden="false" customHeight="true" outlineLevel="0" collapsed="false">
      <c r="A33" s="10" t="s">
        <v>39</v>
      </c>
      <c r="B33" s="11" t="str">
        <f aca="false">IFERROR(INDEX(成員名單!$B$5:$B$34,MATCH($A33,成員名單!$A$5:$A$34,0))&amp;"","")</f>
        <v/>
      </c>
      <c r="C33" s="23" t="b">
        <f aca="false">FALSE()</f>
        <v>0</v>
      </c>
      <c r="D33" s="23" t="b">
        <f aca="false">FALSE()</f>
        <v>0</v>
      </c>
      <c r="E33" s="11" t="n">
        <f aca="false">D73/10</f>
        <v>0</v>
      </c>
      <c r="F33" s="23" t="b">
        <f aca="false">FALSE()</f>
        <v>0</v>
      </c>
      <c r="G33" s="11" t="n">
        <f aca="false">F73/10</f>
        <v>0</v>
      </c>
      <c r="H33" s="23" t="b">
        <f aca="false">FALSE()</f>
        <v>0</v>
      </c>
      <c r="I33" s="11" t="n">
        <f aca="false">H73/10</f>
        <v>0</v>
      </c>
      <c r="J33" s="23" t="b">
        <f aca="false">FALSE()</f>
        <v>0</v>
      </c>
      <c r="K33" s="11" t="n">
        <f aca="false">J73/10</f>
        <v>0</v>
      </c>
      <c r="L33" s="23" t="b">
        <f aca="false">FALSE()</f>
        <v>0</v>
      </c>
      <c r="M33" s="11" t="n">
        <f aca="false">L73/10</f>
        <v>0</v>
      </c>
      <c r="N33" s="23" t="b">
        <f aca="false">FALSE()</f>
        <v>0</v>
      </c>
      <c r="O33" s="11" t="n">
        <f aca="false">N73/10</f>
        <v>0</v>
      </c>
      <c r="P33" s="23" t="b">
        <f aca="false">FALSE()</f>
        <v>0</v>
      </c>
      <c r="Q33" s="11" t="n">
        <f aca="false">P73/10</f>
        <v>0</v>
      </c>
    </row>
    <row r="34" customFormat="false" ht="27" hidden="false" customHeight="true" outlineLevel="0" collapsed="false">
      <c r="A34" s="8" t="s">
        <v>40</v>
      </c>
      <c r="B34" s="9" t="str">
        <f aca="false">IFERROR(INDEX(成員名單!$B$5:$B$34,MATCH($A34,成員名單!$A$5:$A$34,0))&amp;"","")</f>
        <v/>
      </c>
      <c r="C34" s="23" t="b">
        <f aca="false">FALSE()</f>
        <v>0</v>
      </c>
      <c r="D34" s="23" t="b">
        <f aca="false">FALSE()</f>
        <v>0</v>
      </c>
      <c r="E34" s="9" t="n">
        <f aca="false">D74/10</f>
        <v>0</v>
      </c>
      <c r="F34" s="23" t="b">
        <f aca="false">FALSE()</f>
        <v>0</v>
      </c>
      <c r="G34" s="9" t="n">
        <f aca="false">F74/10</f>
        <v>0</v>
      </c>
      <c r="H34" s="23" t="b">
        <f aca="false">FALSE()</f>
        <v>0</v>
      </c>
      <c r="I34" s="9" t="n">
        <f aca="false">H74/10</f>
        <v>0</v>
      </c>
      <c r="J34" s="23" t="b">
        <f aca="false">FALSE()</f>
        <v>0</v>
      </c>
      <c r="K34" s="9" t="n">
        <f aca="false">J74/10</f>
        <v>0</v>
      </c>
      <c r="L34" s="23" t="b">
        <f aca="false">FALSE()</f>
        <v>0</v>
      </c>
      <c r="M34" s="9" t="n">
        <f aca="false">L74/10</f>
        <v>0</v>
      </c>
      <c r="N34" s="23" t="b">
        <f aca="false">FALSE()</f>
        <v>0</v>
      </c>
      <c r="O34" s="9" t="n">
        <f aca="false">N74/10</f>
        <v>0</v>
      </c>
      <c r="P34" s="23" t="b">
        <f aca="false">FALSE()</f>
        <v>0</v>
      </c>
      <c r="Q34" s="9" t="n">
        <f aca="false">P74/10</f>
        <v>0</v>
      </c>
    </row>
    <row r="35" customFormat="false" ht="27" hidden="false" customHeight="true" outlineLevel="0" collapsed="false">
      <c r="A35" s="10" t="s">
        <v>41</v>
      </c>
      <c r="B35" s="11" t="str">
        <f aca="false">IFERROR(INDEX(成員名單!$B$5:$B$34,MATCH($A35,成員名單!$A$5:$A$34,0))&amp;"","")</f>
        <v/>
      </c>
      <c r="C35" s="23" t="b">
        <f aca="false">FALSE()</f>
        <v>0</v>
      </c>
      <c r="D35" s="23" t="b">
        <f aca="false">FALSE()</f>
        <v>0</v>
      </c>
      <c r="E35" s="11" t="n">
        <f aca="false">D75/10</f>
        <v>0</v>
      </c>
      <c r="F35" s="23" t="b">
        <f aca="false">FALSE()</f>
        <v>0</v>
      </c>
      <c r="G35" s="11" t="n">
        <f aca="false">F75/10</f>
        <v>0</v>
      </c>
      <c r="H35" s="23" t="b">
        <f aca="false">FALSE()</f>
        <v>0</v>
      </c>
      <c r="I35" s="11" t="n">
        <f aca="false">H75/10</f>
        <v>0</v>
      </c>
      <c r="J35" s="23" t="b">
        <f aca="false">FALSE()</f>
        <v>0</v>
      </c>
      <c r="K35" s="11" t="n">
        <f aca="false">J75/10</f>
        <v>0</v>
      </c>
      <c r="L35" s="23" t="b">
        <f aca="false">FALSE()</f>
        <v>0</v>
      </c>
      <c r="M35" s="11" t="n">
        <f aca="false">L75/10</f>
        <v>0</v>
      </c>
      <c r="N35" s="23" t="b">
        <f aca="false">FALSE()</f>
        <v>0</v>
      </c>
      <c r="O35" s="11" t="n">
        <f aca="false">N75/10</f>
        <v>0</v>
      </c>
      <c r="P35" s="23" t="b">
        <f aca="false">FALSE()</f>
        <v>0</v>
      </c>
      <c r="Q35" s="11" t="n">
        <f aca="false">P75/10</f>
        <v>0</v>
      </c>
    </row>
    <row r="36" customFormat="false" ht="27" hidden="false" customHeight="true" outlineLevel="0" collapsed="false">
      <c r="A36" s="8" t="s">
        <v>42</v>
      </c>
      <c r="B36" s="9" t="str">
        <f aca="false">IFERROR(INDEX(成員名單!$B$5:$B$34,MATCH($A36,成員名單!$A$5:$A$34,0))&amp;"","")</f>
        <v/>
      </c>
      <c r="C36" s="23" t="b">
        <f aca="false">FALSE()</f>
        <v>0</v>
      </c>
      <c r="D36" s="23" t="b">
        <f aca="false">FALSE()</f>
        <v>0</v>
      </c>
      <c r="E36" s="9" t="n">
        <f aca="false">D76/10</f>
        <v>0</v>
      </c>
      <c r="F36" s="23" t="b">
        <f aca="false">FALSE()</f>
        <v>0</v>
      </c>
      <c r="G36" s="9" t="n">
        <f aca="false">F76/10</f>
        <v>0</v>
      </c>
      <c r="H36" s="23" t="b">
        <f aca="false">FALSE()</f>
        <v>0</v>
      </c>
      <c r="I36" s="9" t="n">
        <f aca="false">H76/10</f>
        <v>0</v>
      </c>
      <c r="J36" s="23" t="b">
        <f aca="false">FALSE()</f>
        <v>0</v>
      </c>
      <c r="K36" s="9" t="n">
        <f aca="false">J76/10</f>
        <v>0</v>
      </c>
      <c r="L36" s="23" t="b">
        <f aca="false">FALSE()</f>
        <v>0</v>
      </c>
      <c r="M36" s="9" t="n">
        <f aca="false">L76/10</f>
        <v>0</v>
      </c>
      <c r="N36" s="23" t="b">
        <f aca="false">FALSE()</f>
        <v>0</v>
      </c>
      <c r="O36" s="9" t="n">
        <f aca="false">N76/10</f>
        <v>0</v>
      </c>
      <c r="P36" s="23" t="b">
        <f aca="false">FALSE()</f>
        <v>0</v>
      </c>
      <c r="Q36" s="9" t="n">
        <f aca="false">P76/10</f>
        <v>0</v>
      </c>
    </row>
    <row r="37" customFormat="false" ht="27" hidden="false" customHeight="true" outlineLevel="0" collapsed="false">
      <c r="A37" s="10" t="s">
        <v>43</v>
      </c>
      <c r="B37" s="11" t="str">
        <f aca="false">IFERROR(INDEX(成員名單!$B$5:$B$34,MATCH($A37,成員名單!$A$5:$A$34,0))&amp;"","")</f>
        <v/>
      </c>
      <c r="C37" s="23" t="b">
        <f aca="false">FALSE()</f>
        <v>0</v>
      </c>
      <c r="D37" s="23" t="b">
        <f aca="false">FALSE()</f>
        <v>0</v>
      </c>
      <c r="E37" s="11" t="n">
        <f aca="false">D77/10</f>
        <v>0</v>
      </c>
      <c r="F37" s="23" t="b">
        <f aca="false">FALSE()</f>
        <v>0</v>
      </c>
      <c r="G37" s="11" t="n">
        <f aca="false">F77/10</f>
        <v>0</v>
      </c>
      <c r="H37" s="23" t="b">
        <f aca="false">FALSE()</f>
        <v>0</v>
      </c>
      <c r="I37" s="11" t="n">
        <f aca="false">H77/10</f>
        <v>0</v>
      </c>
      <c r="J37" s="23" t="b">
        <f aca="false">FALSE()</f>
        <v>0</v>
      </c>
      <c r="K37" s="11" t="n">
        <f aca="false">J77/10</f>
        <v>0</v>
      </c>
      <c r="L37" s="23" t="b">
        <f aca="false">FALSE()</f>
        <v>0</v>
      </c>
      <c r="M37" s="11" t="n">
        <f aca="false">L77/10</f>
        <v>0</v>
      </c>
      <c r="N37" s="23" t="b">
        <f aca="false">FALSE()</f>
        <v>0</v>
      </c>
      <c r="O37" s="11" t="n">
        <f aca="false">N77/10</f>
        <v>0</v>
      </c>
      <c r="P37" s="23" t="b">
        <f aca="false">FALSE()</f>
        <v>0</v>
      </c>
      <c r="Q37" s="11" t="n">
        <f aca="false">P77/10</f>
        <v>0</v>
      </c>
    </row>
    <row r="38" customFormat="false" ht="27" hidden="false" customHeight="true" outlineLevel="0" collapsed="false">
      <c r="A38" s="8" t="s">
        <v>44</v>
      </c>
      <c r="B38" s="9" t="str">
        <f aca="false">IFERROR(INDEX(成員名單!$B$5:$B$34,MATCH($A38,成員名單!$A$5:$A$34,0))&amp;"","")</f>
        <v/>
      </c>
      <c r="C38" s="23" t="b">
        <f aca="false">FALSE()</f>
        <v>0</v>
      </c>
      <c r="D38" s="23" t="b">
        <f aca="false">FALSE()</f>
        <v>0</v>
      </c>
      <c r="E38" s="9" t="n">
        <f aca="false">D78/10</f>
        <v>0</v>
      </c>
      <c r="F38" s="23" t="b">
        <f aca="false">FALSE()</f>
        <v>0</v>
      </c>
      <c r="G38" s="9" t="n">
        <f aca="false">F78/10</f>
        <v>0</v>
      </c>
      <c r="H38" s="23" t="b">
        <f aca="false">FALSE()</f>
        <v>0</v>
      </c>
      <c r="I38" s="9" t="n">
        <f aca="false">H78/10</f>
        <v>0</v>
      </c>
      <c r="J38" s="23" t="b">
        <f aca="false">FALSE()</f>
        <v>0</v>
      </c>
      <c r="K38" s="9" t="n">
        <f aca="false">J78/10</f>
        <v>0</v>
      </c>
      <c r="L38" s="23" t="b">
        <f aca="false">FALSE()</f>
        <v>0</v>
      </c>
      <c r="M38" s="9" t="n">
        <f aca="false">L78/10</f>
        <v>0</v>
      </c>
      <c r="N38" s="23" t="b">
        <f aca="false">FALSE()</f>
        <v>0</v>
      </c>
      <c r="O38" s="9" t="n">
        <f aca="false">N78/10</f>
        <v>0</v>
      </c>
      <c r="P38" s="23" t="b">
        <f aca="false">FALSE()</f>
        <v>0</v>
      </c>
      <c r="Q38" s="9" t="n">
        <f aca="false">P78/10</f>
        <v>0</v>
      </c>
    </row>
    <row r="39" customFormat="false" ht="27" hidden="false" customHeight="true" outlineLevel="0" collapsed="false">
      <c r="A39" s="10" t="s">
        <v>45</v>
      </c>
      <c r="B39" s="11" t="str">
        <f aca="false">IFERROR(INDEX(成員名單!$B$5:$B$34,MATCH($A39,成員名單!$A$5:$A$34,0))&amp;"","")</f>
        <v/>
      </c>
      <c r="C39" s="23" t="b">
        <f aca="false">FALSE()</f>
        <v>0</v>
      </c>
      <c r="D39" s="23" t="b">
        <f aca="false">FALSE()</f>
        <v>0</v>
      </c>
      <c r="E39" s="11" t="n">
        <f aca="false">D79/10</f>
        <v>0</v>
      </c>
      <c r="F39" s="23" t="b">
        <f aca="false">FALSE()</f>
        <v>0</v>
      </c>
      <c r="G39" s="11" t="n">
        <f aca="false">F79/10</f>
        <v>0</v>
      </c>
      <c r="H39" s="23" t="b">
        <f aca="false">FALSE()</f>
        <v>0</v>
      </c>
      <c r="I39" s="11" t="n">
        <f aca="false">H79/10</f>
        <v>0</v>
      </c>
      <c r="J39" s="23" t="b">
        <f aca="false">FALSE()</f>
        <v>0</v>
      </c>
      <c r="K39" s="11" t="n">
        <f aca="false">J79/10</f>
        <v>0</v>
      </c>
      <c r="L39" s="23" t="b">
        <f aca="false">FALSE()</f>
        <v>0</v>
      </c>
      <c r="M39" s="11" t="n">
        <f aca="false">L79/10</f>
        <v>0</v>
      </c>
      <c r="N39" s="23" t="b">
        <f aca="false">FALSE()</f>
        <v>0</v>
      </c>
      <c r="O39" s="11" t="n">
        <f aca="false">N79/10</f>
        <v>0</v>
      </c>
      <c r="P39" s="23" t="b">
        <f aca="false">FALSE()</f>
        <v>0</v>
      </c>
      <c r="Q39" s="11" t="n">
        <f aca="false">P79/10</f>
        <v>0</v>
      </c>
    </row>
    <row r="40" customFormat="false" ht="27" hidden="false" customHeight="true" outlineLevel="0" collapsed="false">
      <c r="A40" s="8" t="s">
        <v>46</v>
      </c>
      <c r="B40" s="9" t="str">
        <f aca="false">IFERROR(INDEX(成員名單!$B$5:$B$34,MATCH($A40,成員名單!$A$5:$A$34,0))&amp;"","")</f>
        <v/>
      </c>
      <c r="C40" s="23" t="b">
        <f aca="false">FALSE()</f>
        <v>0</v>
      </c>
      <c r="D40" s="23" t="b">
        <f aca="false">FALSE()</f>
        <v>0</v>
      </c>
      <c r="E40" s="9" t="n">
        <f aca="false">D80/10</f>
        <v>0</v>
      </c>
      <c r="F40" s="23" t="b">
        <f aca="false">FALSE()</f>
        <v>0</v>
      </c>
      <c r="G40" s="9" t="n">
        <f aca="false">F80/10</f>
        <v>0</v>
      </c>
      <c r="H40" s="23" t="b">
        <f aca="false">FALSE()</f>
        <v>0</v>
      </c>
      <c r="I40" s="9" t="n">
        <f aca="false">H80/10</f>
        <v>0</v>
      </c>
      <c r="J40" s="23" t="b">
        <f aca="false">FALSE()</f>
        <v>0</v>
      </c>
      <c r="K40" s="9" t="n">
        <f aca="false">J80/10</f>
        <v>0</v>
      </c>
      <c r="L40" s="23" t="b">
        <f aca="false">FALSE()</f>
        <v>0</v>
      </c>
      <c r="M40" s="9" t="n">
        <f aca="false">L80/10</f>
        <v>0</v>
      </c>
      <c r="N40" s="23" t="b">
        <f aca="false">FALSE()</f>
        <v>0</v>
      </c>
      <c r="O40" s="9" t="n">
        <f aca="false">N80/10</f>
        <v>0</v>
      </c>
      <c r="P40" s="23" t="b">
        <f aca="false">FALSE()</f>
        <v>0</v>
      </c>
      <c r="Q40" s="9" t="n">
        <f aca="false">P80/10</f>
        <v>0</v>
      </c>
    </row>
    <row r="41" customFormat="false" ht="27" hidden="false" customHeight="true" outlineLevel="0" collapsed="false">
      <c r="A41" s="10" t="s">
        <v>47</v>
      </c>
      <c r="B41" s="11" t="str">
        <f aca="false">IFERROR(INDEX(成員名單!$B$5:$B$34,MATCH($A41,成員名單!$A$5:$A$34,0))&amp;"","")</f>
        <v/>
      </c>
      <c r="C41" s="23" t="b">
        <f aca="false">FALSE()</f>
        <v>0</v>
      </c>
      <c r="D41" s="23" t="b">
        <f aca="false">FALSE()</f>
        <v>0</v>
      </c>
      <c r="E41" s="11" t="n">
        <f aca="false">D81/10</f>
        <v>0</v>
      </c>
      <c r="F41" s="23" t="b">
        <f aca="false">FALSE()</f>
        <v>0</v>
      </c>
      <c r="G41" s="11" t="n">
        <f aca="false">F81/10</f>
        <v>0</v>
      </c>
      <c r="H41" s="23" t="b">
        <f aca="false">FALSE()</f>
        <v>0</v>
      </c>
      <c r="I41" s="11" t="n">
        <f aca="false">H81/10</f>
        <v>0</v>
      </c>
      <c r="J41" s="23" t="b">
        <f aca="false">FALSE()</f>
        <v>0</v>
      </c>
      <c r="K41" s="11" t="n">
        <f aca="false">J81/10</f>
        <v>0</v>
      </c>
      <c r="L41" s="23" t="b">
        <f aca="false">FALSE()</f>
        <v>0</v>
      </c>
      <c r="M41" s="11" t="n">
        <f aca="false">L81/10</f>
        <v>0</v>
      </c>
      <c r="N41" s="23" t="b">
        <f aca="false">FALSE()</f>
        <v>0</v>
      </c>
      <c r="O41" s="11" t="n">
        <f aca="false">N81/10</f>
        <v>0</v>
      </c>
      <c r="P41" s="23" t="b">
        <f aca="false">FALSE()</f>
        <v>0</v>
      </c>
      <c r="Q41" s="11" t="n">
        <f aca="false">P81/10</f>
        <v>0</v>
      </c>
    </row>
    <row r="42" customFormat="false" ht="27" hidden="false" customHeight="true" outlineLevel="0" collapsed="false">
      <c r="A42" s="12"/>
      <c r="B42" s="8" t="s">
        <v>88</v>
      </c>
      <c r="C42" s="12"/>
      <c r="D42" s="12"/>
      <c r="E42" s="9" t="n">
        <f aca="false">D51/10</f>
        <v>0</v>
      </c>
      <c r="F42" s="12"/>
      <c r="G42" s="9" t="n">
        <f aca="false">F51/10</f>
        <v>0</v>
      </c>
      <c r="H42" s="12"/>
      <c r="I42" s="9" t="n">
        <f aca="false">H51/10</f>
        <v>0</v>
      </c>
      <c r="J42" s="12"/>
      <c r="K42" s="9" t="n">
        <f aca="false">J51/10</f>
        <v>0</v>
      </c>
      <c r="L42" s="12"/>
      <c r="M42" s="9" t="n">
        <f aca="false">L51/10</f>
        <v>0</v>
      </c>
      <c r="N42" s="12"/>
      <c r="O42" s="9" t="n">
        <f aca="false">N51/10</f>
        <v>0</v>
      </c>
      <c r="P42" s="12"/>
      <c r="Q42" s="9" t="n">
        <f aca="false">P51/10</f>
        <v>0</v>
      </c>
    </row>
    <row r="46" customFormat="false" ht="15" hidden="true" customHeight="false" outlineLevel="0" collapsed="false">
      <c r="D46" s="14" t="n">
        <f aca="false">IFERROR(IF(D$47,ROUND(D$6*10,0),0),0)</f>
        <v>0</v>
      </c>
      <c r="F46" s="14" t="n">
        <f aca="false">IFERROR(IF(F$47,ROUND(F$6*10,0),0),0)</f>
        <v>0</v>
      </c>
      <c r="H46" s="14" t="n">
        <f aca="false">IFERROR(IF(H$47,ROUND(H$6*10,0),0),0)</f>
        <v>0</v>
      </c>
      <c r="J46" s="14" t="n">
        <f aca="false">IFERROR(IF(J$47,ROUND(J$6*10,0),0),0)</f>
        <v>0</v>
      </c>
      <c r="L46" s="14" t="n">
        <f aca="false">IFERROR(IF(L$47,ROUND(L$6*10,0),0),0)</f>
        <v>0</v>
      </c>
      <c r="N46" s="14" t="n">
        <f aca="false">IFERROR(IF(N$47,ROUND(N$6*10,0),0),0)</f>
        <v>0</v>
      </c>
      <c r="P46" s="14" t="n">
        <f aca="false">IFERROR(IF(P$47,ROUND(P$6*10,0),0),0)</f>
        <v>0</v>
      </c>
    </row>
    <row r="47" customFormat="false" ht="15" hidden="true" customHeight="false" outlineLevel="0" collapsed="false">
      <c r="D47" s="14" t="n">
        <f aca="false">IF(LEN(TRIM(D$6&amp;""))=0,TRUE(),IFERROR(AND(ISNUMBER(D$6),D$6&gt;=0,D$6&lt;=100000000,ROUND(D$6,1)=D$6),FALSE()))</f>
        <v>1</v>
      </c>
      <c r="F47" s="14" t="n">
        <f aca="false">IF(LEN(TRIM(F$6&amp;""))=0,TRUE(),IFERROR(AND(ISNUMBER(F$6),F$6&gt;=0,F$6&lt;=100000000,ROUND(F$6,1)=F$6),FALSE()))</f>
        <v>1</v>
      </c>
      <c r="H47" s="14" t="n">
        <f aca="false">IF(LEN(TRIM(H$6&amp;""))=0,TRUE(),IFERROR(AND(ISNUMBER(H$6),H$6&gt;=0,H$6&lt;=100000000,ROUND(H$6,1)=H$6),FALSE()))</f>
        <v>1</v>
      </c>
      <c r="J47" s="14" t="n">
        <f aca="false">IF(LEN(TRIM(J$6&amp;""))=0,TRUE(),IFERROR(AND(ISNUMBER(J$6),J$6&gt;=0,J$6&lt;=100000000,ROUND(J$6,1)=J$6),FALSE()))</f>
        <v>1</v>
      </c>
      <c r="L47" s="14" t="n">
        <f aca="false">IF(LEN(TRIM(L$6&amp;""))=0,TRUE(),IFERROR(AND(ISNUMBER(L$6),L$6&gt;=0,L$6&lt;=100000000,ROUND(L$6,1)=L$6),FALSE()))</f>
        <v>1</v>
      </c>
      <c r="N47" s="14" t="n">
        <f aca="false">IF(LEN(TRIM(N$6&amp;""))=0,TRUE(),IFERROR(AND(ISNUMBER(N$6),N$6&gt;=0,N$6&lt;=100000000,ROUND(N$6,1)=N$6),FALSE()))</f>
        <v>1</v>
      </c>
      <c r="P47" s="14" t="n">
        <f aca="false">IF(LEN(TRIM(P$6&amp;""))=0,TRUE(),IFERROR(AND(ISNUMBER(P$6),P$6&gt;=0,P$6&lt;=100000000,ROUND(P$6,1)=P$6),FALSE()))</f>
        <v>1</v>
      </c>
    </row>
    <row r="48" customFormat="false" ht="15" hidden="true" customHeight="false" outlineLevel="0" collapsed="false">
      <c r="D48" s="14" t="n">
        <f aca="false">IF(D$50,IF(AND($C$3=TRUE(),$C$49&gt;0),SUMPRODUCT(--(LEN(TRIM($B$12:$B$41))&gt;0),--(D$12:D$41=TRUE()),--($C$12:$C$41&lt;&gt;TRUE())),0),SUMPRODUCT(--(LEN(TRIM($B$12:$B$41))&gt;0),--(D$12:D$41=TRUE())))</f>
        <v>0</v>
      </c>
      <c r="F48" s="14" t="n">
        <f aca="false">IF(F$50,IF(AND($C$3=TRUE(),$C$49&gt;0),SUMPRODUCT(--(LEN(TRIM($B$12:$B$41))&gt;0),--(F$12:F$41=TRUE()),--($C$12:$C$41&lt;&gt;TRUE())),0),SUMPRODUCT(--(LEN(TRIM($B$12:$B$41))&gt;0),--(F$12:F$41=TRUE())))</f>
        <v>0</v>
      </c>
      <c r="H48" s="14" t="n">
        <f aca="false">IF(H$50,IF(AND($C$3=TRUE(),$C$49&gt;0),SUMPRODUCT(--(LEN(TRIM($B$12:$B$41))&gt;0),--(H$12:H$41=TRUE()),--($C$12:$C$41&lt;&gt;TRUE())),0),SUMPRODUCT(--(LEN(TRIM($B$12:$B$41))&gt;0),--(H$12:H$41=TRUE())))</f>
        <v>0</v>
      </c>
      <c r="J48" s="14" t="n">
        <f aca="false">IF(J$50,IF(AND($C$3=TRUE(),$C$49&gt;0),SUMPRODUCT(--(LEN(TRIM($B$12:$B$41))&gt;0),--(J$12:J$41=TRUE()),--($C$12:$C$41&lt;&gt;TRUE())),0),SUMPRODUCT(--(LEN(TRIM($B$12:$B$41))&gt;0),--(J$12:J$41=TRUE())))</f>
        <v>0</v>
      </c>
      <c r="L48" s="14" t="n">
        <f aca="false">IF(L$50,IF(AND($C$3=TRUE(),$C$49&gt;0),SUMPRODUCT(--(LEN(TRIM($B$12:$B$41))&gt;0),--(L$12:L$41=TRUE()),--($C$12:$C$41&lt;&gt;TRUE())),0),SUMPRODUCT(--(LEN(TRIM($B$12:$B$41))&gt;0),--(L$12:L$41=TRUE())))</f>
        <v>0</v>
      </c>
      <c r="N48" s="14" t="n">
        <f aca="false">IF(N$50,IF(AND($C$3=TRUE(),$C$49&gt;0),SUMPRODUCT(--(LEN(TRIM($B$12:$B$41))&gt;0),--(N$12:N$41=TRUE()),--($C$12:$C$41&lt;&gt;TRUE())),0),SUMPRODUCT(--(LEN(TRIM($B$12:$B$41))&gt;0),--(N$12:N$41=TRUE())))</f>
        <v>0</v>
      </c>
      <c r="P48" s="14" t="n">
        <f aca="false">IF(P$50,IF(AND($C$3=TRUE(),$C$49&gt;0),SUMPRODUCT(--(LEN(TRIM($B$12:$B$41))&gt;0),--(P$12:P$41=TRUE()),--($C$12:$C$41&lt;&gt;TRUE())),0),SUMPRODUCT(--(LEN(TRIM($B$12:$B$41))&gt;0),--(P$12:P$41=TRUE())))</f>
        <v>0</v>
      </c>
    </row>
    <row r="49" customFormat="false" ht="15" hidden="true" customHeight="false" outlineLevel="0" collapsed="false">
      <c r="C49" s="14" t="n">
        <f aca="false">SUMPRODUCT(--(LEN(TRIM($B$12:$B$41))&gt;0),--($C$12:$C$41=TRUE()))</f>
        <v>0</v>
      </c>
    </row>
    <row r="50" customFormat="false" ht="15" hidden="true" customHeight="false" outlineLevel="0" collapsed="false">
      <c r="D50" s="14" t="n">
        <f aca="false">OR(D$5="油錢",D$5="租車費")</f>
        <v>0</v>
      </c>
      <c r="F50" s="14" t="n">
        <f aca="false">OR(F$5="油錢",F$5="租車費")</f>
        <v>0</v>
      </c>
      <c r="H50" s="14" t="n">
        <f aca="false">OR(H$5="油錢",H$5="租車費")</f>
        <v>0</v>
      </c>
      <c r="J50" s="14" t="n">
        <f aca="false">OR(J$5="油錢",J$5="租車費")</f>
        <v>1</v>
      </c>
      <c r="L50" s="14" t="n">
        <f aca="false">OR(L$5="油錢",L$5="租車費")</f>
        <v>1</v>
      </c>
      <c r="N50" s="14" t="n">
        <f aca="false">OR(N$5="油錢",N$5="租車費")</f>
        <v>0</v>
      </c>
      <c r="P50" s="14" t="n">
        <f aca="false">OR(P$5="油錢",P$5="租車費")</f>
        <v>0</v>
      </c>
    </row>
    <row r="51" customFormat="false" ht="15" hidden="true" customHeight="false" outlineLevel="0" collapsed="false">
      <c r="D51" s="14" t="n">
        <f aca="false">SUM(D52:D81)</f>
        <v>0</v>
      </c>
      <c r="F51" s="14" t="n">
        <f aca="false">SUM(F52:F81)</f>
        <v>0</v>
      </c>
      <c r="H51" s="14" t="n">
        <f aca="false">SUM(H52:H81)</f>
        <v>0</v>
      </c>
      <c r="J51" s="14" t="n">
        <f aca="false">SUM(J52:J81)</f>
        <v>0</v>
      </c>
      <c r="L51" s="14" t="n">
        <f aca="false">SUM(L52:L81)</f>
        <v>0</v>
      </c>
      <c r="N51" s="14" t="n">
        <f aca="false">SUM(N52:N81)</f>
        <v>0</v>
      </c>
      <c r="P51" s="14" t="n">
        <f aca="false">SUM(P52:P81)</f>
        <v>0</v>
      </c>
    </row>
    <row r="52" customFormat="false" ht="15" hidden="true" customHeight="false" outlineLevel="0" collapsed="false">
      <c r="A52" s="13" t="s">
        <v>18</v>
      </c>
      <c r="D52" s="14" t="n">
        <f aca="false">IF(AND(D$47,D$48&gt;0,LEN(TRIM($B12))&gt;0,D12=TRUE(),IF(D$50,$C12&lt;&gt;TRUE(),TRUE())),QUOTIENT(D$46,MAX(1,D$48))+IF(IF(D$50,SUMPRODUCT(--(LEN(TRIM($B$12:$B12))&gt;0),--(D$12:D12=TRUE()),--($C$12:$C12&lt;&gt;TRUE())),SUMPRODUCT(--(LEN(TRIM($B$12:$B12))&gt;0),--(D$12:D12=TRUE())))&lt;=MOD(D$46,MAX(1,D$48)),1,0),0)</f>
        <v>0</v>
      </c>
      <c r="F52" s="14" t="n">
        <f aca="false">IF(AND(F$47,F$48&gt;0,LEN(TRIM($B12))&gt;0,F12=TRUE(),IF(F$50,$C12&lt;&gt;TRUE(),TRUE())),QUOTIENT(F$46,MAX(1,F$48))+IF(IF(F$50,SUMPRODUCT(--(LEN(TRIM($B$12:$B12))&gt;0),--(F$12:F12=TRUE()),--($C$12:$C12&lt;&gt;TRUE())),SUMPRODUCT(--(LEN(TRIM($B$12:$B12))&gt;0),--(F$12:F12=TRUE())))&lt;=MOD(F$46,MAX(1,F$48)),1,0),0)</f>
        <v>0</v>
      </c>
      <c r="H52" s="14" t="n">
        <f aca="false">IF(AND(H$47,H$48&gt;0,LEN(TRIM($B12))&gt;0,H12=TRUE(),IF(H$50,$C12&lt;&gt;TRUE(),TRUE())),QUOTIENT(H$46,MAX(1,H$48))+IF(IF(H$50,SUMPRODUCT(--(LEN(TRIM($B$12:$B12))&gt;0),--(H$12:H12=TRUE()),--($C$12:$C12&lt;&gt;TRUE())),SUMPRODUCT(--(LEN(TRIM($B$12:$B12))&gt;0),--(H$12:H12=TRUE())))&lt;=MOD(H$46,MAX(1,H$48)),1,0),0)</f>
        <v>0</v>
      </c>
      <c r="J52" s="14" t="n">
        <f aca="false">IF(AND(J$47,J$48&gt;0,LEN(TRIM($B12))&gt;0,J12=TRUE(),IF(J$50,$C12&lt;&gt;TRUE(),TRUE())),QUOTIENT(J$46,MAX(1,J$48))+IF(IF(J$50,SUMPRODUCT(--(LEN(TRIM($B$12:$B12))&gt;0),--(J$12:J12=TRUE()),--($C$12:$C12&lt;&gt;TRUE())),SUMPRODUCT(--(LEN(TRIM($B$12:$B12))&gt;0),--(J$12:J12=TRUE())))&lt;=MOD(J$46,MAX(1,J$48)),1,0),0)</f>
        <v>0</v>
      </c>
      <c r="L52" s="14" t="n">
        <f aca="false">IF(AND(L$47,L$48&gt;0,LEN(TRIM($B12))&gt;0,L12=TRUE(),IF(L$50,$C12&lt;&gt;TRUE(),TRUE())),QUOTIENT(L$46,MAX(1,L$48))+IF(IF(L$50,SUMPRODUCT(--(LEN(TRIM($B$12:$B12))&gt;0),--(L$12:L12=TRUE()),--($C$12:$C12&lt;&gt;TRUE())),SUMPRODUCT(--(LEN(TRIM($B$12:$B12))&gt;0),--(L$12:L12=TRUE())))&lt;=MOD(L$46,MAX(1,L$48)),1,0),0)</f>
        <v>0</v>
      </c>
      <c r="N52" s="14" t="n">
        <f aca="false">IF(AND(N$47,N$48&gt;0,LEN(TRIM($B12))&gt;0,N12=TRUE(),IF(N$50,$C12&lt;&gt;TRUE(),TRUE())),QUOTIENT(N$46,MAX(1,N$48))+IF(IF(N$50,SUMPRODUCT(--(LEN(TRIM($B$12:$B12))&gt;0),--(N$12:N12=TRUE()),--($C$12:$C12&lt;&gt;TRUE())),SUMPRODUCT(--(LEN(TRIM($B$12:$B12))&gt;0),--(N$12:N12=TRUE())))&lt;=MOD(N$46,MAX(1,N$48)),1,0),0)</f>
        <v>0</v>
      </c>
      <c r="P52" s="14" t="n">
        <f aca="false">IF(AND(P$47,P$48&gt;0,LEN(TRIM($B12))&gt;0,P12=TRUE(),IF(P$50,$C12&lt;&gt;TRUE(),TRUE())),QUOTIENT(P$46,MAX(1,P$48))+IF(IF(P$50,SUMPRODUCT(--(LEN(TRIM($B$12:$B12))&gt;0),--(P$12:P12=TRUE()),--($C$12:$C12&lt;&gt;TRUE())),SUMPRODUCT(--(LEN(TRIM($B$12:$B12))&gt;0),--(P$12:P12=TRUE())))&lt;=MOD(P$46,MAX(1,P$48)),1,0),0)</f>
        <v>0</v>
      </c>
    </row>
    <row r="53" customFormat="false" ht="15" hidden="true" customHeight="false" outlineLevel="0" collapsed="false">
      <c r="A53" s="13" t="s">
        <v>19</v>
      </c>
      <c r="D53" s="14" t="n">
        <f aca="false">IF(AND(D$47,D$48&gt;0,LEN(TRIM($B13))&gt;0,D13=TRUE(),IF(D$50,$C13&lt;&gt;TRUE(),TRUE())),QUOTIENT(D$46,MAX(1,D$48))+IF(IF(D$50,SUMPRODUCT(--(LEN(TRIM($B$12:$B13))&gt;0),--(D$12:D13=TRUE()),--($C$12:$C13&lt;&gt;TRUE())),SUMPRODUCT(--(LEN(TRIM($B$12:$B13))&gt;0),--(D$12:D13=TRUE())))&lt;=MOD(D$46,MAX(1,D$48)),1,0),0)</f>
        <v>0</v>
      </c>
      <c r="F53" s="14" t="n">
        <f aca="false">IF(AND(F$47,F$48&gt;0,LEN(TRIM($B13))&gt;0,F13=TRUE(),IF(F$50,$C13&lt;&gt;TRUE(),TRUE())),QUOTIENT(F$46,MAX(1,F$48))+IF(IF(F$50,SUMPRODUCT(--(LEN(TRIM($B$12:$B13))&gt;0),--(F$12:F13=TRUE()),--($C$12:$C13&lt;&gt;TRUE())),SUMPRODUCT(--(LEN(TRIM($B$12:$B13))&gt;0),--(F$12:F13=TRUE())))&lt;=MOD(F$46,MAX(1,F$48)),1,0),0)</f>
        <v>0</v>
      </c>
      <c r="H53" s="14" t="n">
        <f aca="false">IF(AND(H$47,H$48&gt;0,LEN(TRIM($B13))&gt;0,H13=TRUE(),IF(H$50,$C13&lt;&gt;TRUE(),TRUE())),QUOTIENT(H$46,MAX(1,H$48))+IF(IF(H$50,SUMPRODUCT(--(LEN(TRIM($B$12:$B13))&gt;0),--(H$12:H13=TRUE()),--($C$12:$C13&lt;&gt;TRUE())),SUMPRODUCT(--(LEN(TRIM($B$12:$B13))&gt;0),--(H$12:H13=TRUE())))&lt;=MOD(H$46,MAX(1,H$48)),1,0),0)</f>
        <v>0</v>
      </c>
      <c r="J53" s="14" t="n">
        <f aca="false">IF(AND(J$47,J$48&gt;0,LEN(TRIM($B13))&gt;0,J13=TRUE(),IF(J$50,$C13&lt;&gt;TRUE(),TRUE())),QUOTIENT(J$46,MAX(1,J$48))+IF(IF(J$50,SUMPRODUCT(--(LEN(TRIM($B$12:$B13))&gt;0),--(J$12:J13=TRUE()),--($C$12:$C13&lt;&gt;TRUE())),SUMPRODUCT(--(LEN(TRIM($B$12:$B13))&gt;0),--(J$12:J13=TRUE())))&lt;=MOD(J$46,MAX(1,J$48)),1,0),0)</f>
        <v>0</v>
      </c>
      <c r="L53" s="14" t="n">
        <f aca="false">IF(AND(L$47,L$48&gt;0,LEN(TRIM($B13))&gt;0,L13=TRUE(),IF(L$50,$C13&lt;&gt;TRUE(),TRUE())),QUOTIENT(L$46,MAX(1,L$48))+IF(IF(L$50,SUMPRODUCT(--(LEN(TRIM($B$12:$B13))&gt;0),--(L$12:L13=TRUE()),--($C$12:$C13&lt;&gt;TRUE())),SUMPRODUCT(--(LEN(TRIM($B$12:$B13))&gt;0),--(L$12:L13=TRUE())))&lt;=MOD(L$46,MAX(1,L$48)),1,0),0)</f>
        <v>0</v>
      </c>
      <c r="N53" s="14" t="n">
        <f aca="false">IF(AND(N$47,N$48&gt;0,LEN(TRIM($B13))&gt;0,N13=TRUE(),IF(N$50,$C13&lt;&gt;TRUE(),TRUE())),QUOTIENT(N$46,MAX(1,N$48))+IF(IF(N$50,SUMPRODUCT(--(LEN(TRIM($B$12:$B13))&gt;0),--(N$12:N13=TRUE()),--($C$12:$C13&lt;&gt;TRUE())),SUMPRODUCT(--(LEN(TRIM($B$12:$B13))&gt;0),--(N$12:N13=TRUE())))&lt;=MOD(N$46,MAX(1,N$48)),1,0),0)</f>
        <v>0</v>
      </c>
      <c r="P53" s="14" t="n">
        <f aca="false">IF(AND(P$47,P$48&gt;0,LEN(TRIM($B13))&gt;0,P13=TRUE(),IF(P$50,$C13&lt;&gt;TRUE(),TRUE())),QUOTIENT(P$46,MAX(1,P$48))+IF(IF(P$50,SUMPRODUCT(--(LEN(TRIM($B$12:$B13))&gt;0),--(P$12:P13=TRUE()),--($C$12:$C13&lt;&gt;TRUE())),SUMPRODUCT(--(LEN(TRIM($B$12:$B13))&gt;0),--(P$12:P13=TRUE())))&lt;=MOD(P$46,MAX(1,P$48)),1,0),0)</f>
        <v>0</v>
      </c>
    </row>
    <row r="54" customFormat="false" ht="15" hidden="true" customHeight="false" outlineLevel="0" collapsed="false">
      <c r="A54" s="13" t="s">
        <v>20</v>
      </c>
      <c r="D54" s="14" t="n">
        <f aca="false">IF(AND(D$47,D$48&gt;0,LEN(TRIM($B14))&gt;0,D14=TRUE(),IF(D$50,$C14&lt;&gt;TRUE(),TRUE())),QUOTIENT(D$46,MAX(1,D$48))+IF(IF(D$50,SUMPRODUCT(--(LEN(TRIM($B$12:$B14))&gt;0),--(D$12:D14=TRUE()),--($C$12:$C14&lt;&gt;TRUE())),SUMPRODUCT(--(LEN(TRIM($B$12:$B14))&gt;0),--(D$12:D14=TRUE())))&lt;=MOD(D$46,MAX(1,D$48)),1,0),0)</f>
        <v>0</v>
      </c>
      <c r="F54" s="14" t="n">
        <f aca="false">IF(AND(F$47,F$48&gt;0,LEN(TRIM($B14))&gt;0,F14=TRUE(),IF(F$50,$C14&lt;&gt;TRUE(),TRUE())),QUOTIENT(F$46,MAX(1,F$48))+IF(IF(F$50,SUMPRODUCT(--(LEN(TRIM($B$12:$B14))&gt;0),--(F$12:F14=TRUE()),--($C$12:$C14&lt;&gt;TRUE())),SUMPRODUCT(--(LEN(TRIM($B$12:$B14))&gt;0),--(F$12:F14=TRUE())))&lt;=MOD(F$46,MAX(1,F$48)),1,0),0)</f>
        <v>0</v>
      </c>
      <c r="H54" s="14" t="n">
        <f aca="false">IF(AND(H$47,H$48&gt;0,LEN(TRIM($B14))&gt;0,H14=TRUE(),IF(H$50,$C14&lt;&gt;TRUE(),TRUE())),QUOTIENT(H$46,MAX(1,H$48))+IF(IF(H$50,SUMPRODUCT(--(LEN(TRIM($B$12:$B14))&gt;0),--(H$12:H14=TRUE()),--($C$12:$C14&lt;&gt;TRUE())),SUMPRODUCT(--(LEN(TRIM($B$12:$B14))&gt;0),--(H$12:H14=TRUE())))&lt;=MOD(H$46,MAX(1,H$48)),1,0),0)</f>
        <v>0</v>
      </c>
      <c r="J54" s="14" t="n">
        <f aca="false">IF(AND(J$47,J$48&gt;0,LEN(TRIM($B14))&gt;0,J14=TRUE(),IF(J$50,$C14&lt;&gt;TRUE(),TRUE())),QUOTIENT(J$46,MAX(1,J$48))+IF(IF(J$50,SUMPRODUCT(--(LEN(TRIM($B$12:$B14))&gt;0),--(J$12:J14=TRUE()),--($C$12:$C14&lt;&gt;TRUE())),SUMPRODUCT(--(LEN(TRIM($B$12:$B14))&gt;0),--(J$12:J14=TRUE())))&lt;=MOD(J$46,MAX(1,J$48)),1,0),0)</f>
        <v>0</v>
      </c>
      <c r="L54" s="14" t="n">
        <f aca="false">IF(AND(L$47,L$48&gt;0,LEN(TRIM($B14))&gt;0,L14=TRUE(),IF(L$50,$C14&lt;&gt;TRUE(),TRUE())),QUOTIENT(L$46,MAX(1,L$48))+IF(IF(L$50,SUMPRODUCT(--(LEN(TRIM($B$12:$B14))&gt;0),--(L$12:L14=TRUE()),--($C$12:$C14&lt;&gt;TRUE())),SUMPRODUCT(--(LEN(TRIM($B$12:$B14))&gt;0),--(L$12:L14=TRUE())))&lt;=MOD(L$46,MAX(1,L$48)),1,0),0)</f>
        <v>0</v>
      </c>
      <c r="N54" s="14" t="n">
        <f aca="false">IF(AND(N$47,N$48&gt;0,LEN(TRIM($B14))&gt;0,N14=TRUE(),IF(N$50,$C14&lt;&gt;TRUE(),TRUE())),QUOTIENT(N$46,MAX(1,N$48))+IF(IF(N$50,SUMPRODUCT(--(LEN(TRIM($B$12:$B14))&gt;0),--(N$12:N14=TRUE()),--($C$12:$C14&lt;&gt;TRUE())),SUMPRODUCT(--(LEN(TRIM($B$12:$B14))&gt;0),--(N$12:N14=TRUE())))&lt;=MOD(N$46,MAX(1,N$48)),1,0),0)</f>
        <v>0</v>
      </c>
      <c r="P54" s="14" t="n">
        <f aca="false">IF(AND(P$47,P$48&gt;0,LEN(TRIM($B14))&gt;0,P14=TRUE(),IF(P$50,$C14&lt;&gt;TRUE(),TRUE())),QUOTIENT(P$46,MAX(1,P$48))+IF(IF(P$50,SUMPRODUCT(--(LEN(TRIM($B$12:$B14))&gt;0),--(P$12:P14=TRUE()),--($C$12:$C14&lt;&gt;TRUE())),SUMPRODUCT(--(LEN(TRIM($B$12:$B14))&gt;0),--(P$12:P14=TRUE())))&lt;=MOD(P$46,MAX(1,P$48)),1,0),0)</f>
        <v>0</v>
      </c>
    </row>
    <row r="55" customFormat="false" ht="15" hidden="true" customHeight="false" outlineLevel="0" collapsed="false">
      <c r="A55" s="13" t="s">
        <v>21</v>
      </c>
      <c r="D55" s="14" t="n">
        <f aca="false">IF(AND(D$47,D$48&gt;0,LEN(TRIM($B15))&gt;0,D15=TRUE(),IF(D$50,$C15&lt;&gt;TRUE(),TRUE())),QUOTIENT(D$46,MAX(1,D$48))+IF(IF(D$50,SUMPRODUCT(--(LEN(TRIM($B$12:$B15))&gt;0),--(D$12:D15=TRUE()),--($C$12:$C15&lt;&gt;TRUE())),SUMPRODUCT(--(LEN(TRIM($B$12:$B15))&gt;0),--(D$12:D15=TRUE())))&lt;=MOD(D$46,MAX(1,D$48)),1,0),0)</f>
        <v>0</v>
      </c>
      <c r="F55" s="14" t="n">
        <f aca="false">IF(AND(F$47,F$48&gt;0,LEN(TRIM($B15))&gt;0,F15=TRUE(),IF(F$50,$C15&lt;&gt;TRUE(),TRUE())),QUOTIENT(F$46,MAX(1,F$48))+IF(IF(F$50,SUMPRODUCT(--(LEN(TRIM($B$12:$B15))&gt;0),--(F$12:F15=TRUE()),--($C$12:$C15&lt;&gt;TRUE())),SUMPRODUCT(--(LEN(TRIM($B$12:$B15))&gt;0),--(F$12:F15=TRUE())))&lt;=MOD(F$46,MAX(1,F$48)),1,0),0)</f>
        <v>0</v>
      </c>
      <c r="H55" s="14" t="n">
        <f aca="false">IF(AND(H$47,H$48&gt;0,LEN(TRIM($B15))&gt;0,H15=TRUE(),IF(H$50,$C15&lt;&gt;TRUE(),TRUE())),QUOTIENT(H$46,MAX(1,H$48))+IF(IF(H$50,SUMPRODUCT(--(LEN(TRIM($B$12:$B15))&gt;0),--(H$12:H15=TRUE()),--($C$12:$C15&lt;&gt;TRUE())),SUMPRODUCT(--(LEN(TRIM($B$12:$B15))&gt;0),--(H$12:H15=TRUE())))&lt;=MOD(H$46,MAX(1,H$48)),1,0),0)</f>
        <v>0</v>
      </c>
      <c r="J55" s="14" t="n">
        <f aca="false">IF(AND(J$47,J$48&gt;0,LEN(TRIM($B15))&gt;0,J15=TRUE(),IF(J$50,$C15&lt;&gt;TRUE(),TRUE())),QUOTIENT(J$46,MAX(1,J$48))+IF(IF(J$50,SUMPRODUCT(--(LEN(TRIM($B$12:$B15))&gt;0),--(J$12:J15=TRUE()),--($C$12:$C15&lt;&gt;TRUE())),SUMPRODUCT(--(LEN(TRIM($B$12:$B15))&gt;0),--(J$12:J15=TRUE())))&lt;=MOD(J$46,MAX(1,J$48)),1,0),0)</f>
        <v>0</v>
      </c>
      <c r="L55" s="14" t="n">
        <f aca="false">IF(AND(L$47,L$48&gt;0,LEN(TRIM($B15))&gt;0,L15=TRUE(),IF(L$50,$C15&lt;&gt;TRUE(),TRUE())),QUOTIENT(L$46,MAX(1,L$48))+IF(IF(L$50,SUMPRODUCT(--(LEN(TRIM($B$12:$B15))&gt;0),--(L$12:L15=TRUE()),--($C$12:$C15&lt;&gt;TRUE())),SUMPRODUCT(--(LEN(TRIM($B$12:$B15))&gt;0),--(L$12:L15=TRUE())))&lt;=MOD(L$46,MAX(1,L$48)),1,0),0)</f>
        <v>0</v>
      </c>
      <c r="N55" s="14" t="n">
        <f aca="false">IF(AND(N$47,N$48&gt;0,LEN(TRIM($B15))&gt;0,N15=TRUE(),IF(N$50,$C15&lt;&gt;TRUE(),TRUE())),QUOTIENT(N$46,MAX(1,N$48))+IF(IF(N$50,SUMPRODUCT(--(LEN(TRIM($B$12:$B15))&gt;0),--(N$12:N15=TRUE()),--($C$12:$C15&lt;&gt;TRUE())),SUMPRODUCT(--(LEN(TRIM($B$12:$B15))&gt;0),--(N$12:N15=TRUE())))&lt;=MOD(N$46,MAX(1,N$48)),1,0),0)</f>
        <v>0</v>
      </c>
      <c r="P55" s="14" t="n">
        <f aca="false">IF(AND(P$47,P$48&gt;0,LEN(TRIM($B15))&gt;0,P15=TRUE(),IF(P$50,$C15&lt;&gt;TRUE(),TRUE())),QUOTIENT(P$46,MAX(1,P$48))+IF(IF(P$50,SUMPRODUCT(--(LEN(TRIM($B$12:$B15))&gt;0),--(P$12:P15=TRUE()),--($C$12:$C15&lt;&gt;TRUE())),SUMPRODUCT(--(LEN(TRIM($B$12:$B15))&gt;0),--(P$12:P15=TRUE())))&lt;=MOD(P$46,MAX(1,P$48)),1,0),0)</f>
        <v>0</v>
      </c>
    </row>
    <row r="56" customFormat="false" ht="15" hidden="true" customHeight="false" outlineLevel="0" collapsed="false">
      <c r="A56" s="13" t="s">
        <v>22</v>
      </c>
      <c r="D56" s="14" t="n">
        <f aca="false">IF(AND(D$47,D$48&gt;0,LEN(TRIM($B16))&gt;0,D16=TRUE(),IF(D$50,$C16&lt;&gt;TRUE(),TRUE())),QUOTIENT(D$46,MAX(1,D$48))+IF(IF(D$50,SUMPRODUCT(--(LEN(TRIM($B$12:$B16))&gt;0),--(D$12:D16=TRUE()),--($C$12:$C16&lt;&gt;TRUE())),SUMPRODUCT(--(LEN(TRIM($B$12:$B16))&gt;0),--(D$12:D16=TRUE())))&lt;=MOD(D$46,MAX(1,D$48)),1,0),0)</f>
        <v>0</v>
      </c>
      <c r="F56" s="14" t="n">
        <f aca="false">IF(AND(F$47,F$48&gt;0,LEN(TRIM($B16))&gt;0,F16=TRUE(),IF(F$50,$C16&lt;&gt;TRUE(),TRUE())),QUOTIENT(F$46,MAX(1,F$48))+IF(IF(F$50,SUMPRODUCT(--(LEN(TRIM($B$12:$B16))&gt;0),--(F$12:F16=TRUE()),--($C$12:$C16&lt;&gt;TRUE())),SUMPRODUCT(--(LEN(TRIM($B$12:$B16))&gt;0),--(F$12:F16=TRUE())))&lt;=MOD(F$46,MAX(1,F$48)),1,0),0)</f>
        <v>0</v>
      </c>
      <c r="H56" s="14" t="n">
        <f aca="false">IF(AND(H$47,H$48&gt;0,LEN(TRIM($B16))&gt;0,H16=TRUE(),IF(H$50,$C16&lt;&gt;TRUE(),TRUE())),QUOTIENT(H$46,MAX(1,H$48))+IF(IF(H$50,SUMPRODUCT(--(LEN(TRIM($B$12:$B16))&gt;0),--(H$12:H16=TRUE()),--($C$12:$C16&lt;&gt;TRUE())),SUMPRODUCT(--(LEN(TRIM($B$12:$B16))&gt;0),--(H$12:H16=TRUE())))&lt;=MOD(H$46,MAX(1,H$48)),1,0),0)</f>
        <v>0</v>
      </c>
      <c r="J56" s="14" t="n">
        <f aca="false">IF(AND(J$47,J$48&gt;0,LEN(TRIM($B16))&gt;0,J16=TRUE(),IF(J$50,$C16&lt;&gt;TRUE(),TRUE())),QUOTIENT(J$46,MAX(1,J$48))+IF(IF(J$50,SUMPRODUCT(--(LEN(TRIM($B$12:$B16))&gt;0),--(J$12:J16=TRUE()),--($C$12:$C16&lt;&gt;TRUE())),SUMPRODUCT(--(LEN(TRIM($B$12:$B16))&gt;0),--(J$12:J16=TRUE())))&lt;=MOD(J$46,MAX(1,J$48)),1,0),0)</f>
        <v>0</v>
      </c>
      <c r="L56" s="14" t="n">
        <f aca="false">IF(AND(L$47,L$48&gt;0,LEN(TRIM($B16))&gt;0,L16=TRUE(),IF(L$50,$C16&lt;&gt;TRUE(),TRUE())),QUOTIENT(L$46,MAX(1,L$48))+IF(IF(L$50,SUMPRODUCT(--(LEN(TRIM($B$12:$B16))&gt;0),--(L$12:L16=TRUE()),--($C$12:$C16&lt;&gt;TRUE())),SUMPRODUCT(--(LEN(TRIM($B$12:$B16))&gt;0),--(L$12:L16=TRUE())))&lt;=MOD(L$46,MAX(1,L$48)),1,0),0)</f>
        <v>0</v>
      </c>
      <c r="N56" s="14" t="n">
        <f aca="false">IF(AND(N$47,N$48&gt;0,LEN(TRIM($B16))&gt;0,N16=TRUE(),IF(N$50,$C16&lt;&gt;TRUE(),TRUE())),QUOTIENT(N$46,MAX(1,N$48))+IF(IF(N$50,SUMPRODUCT(--(LEN(TRIM($B$12:$B16))&gt;0),--(N$12:N16=TRUE()),--($C$12:$C16&lt;&gt;TRUE())),SUMPRODUCT(--(LEN(TRIM($B$12:$B16))&gt;0),--(N$12:N16=TRUE())))&lt;=MOD(N$46,MAX(1,N$48)),1,0),0)</f>
        <v>0</v>
      </c>
      <c r="P56" s="14" t="n">
        <f aca="false">IF(AND(P$47,P$48&gt;0,LEN(TRIM($B16))&gt;0,P16=TRUE(),IF(P$50,$C16&lt;&gt;TRUE(),TRUE())),QUOTIENT(P$46,MAX(1,P$48))+IF(IF(P$50,SUMPRODUCT(--(LEN(TRIM($B$12:$B16))&gt;0),--(P$12:P16=TRUE()),--($C$12:$C16&lt;&gt;TRUE())),SUMPRODUCT(--(LEN(TRIM($B$12:$B16))&gt;0),--(P$12:P16=TRUE())))&lt;=MOD(P$46,MAX(1,P$48)),1,0),0)</f>
        <v>0</v>
      </c>
    </row>
    <row r="57" customFormat="false" ht="15" hidden="true" customHeight="false" outlineLevel="0" collapsed="false">
      <c r="A57" s="13" t="s">
        <v>23</v>
      </c>
      <c r="D57" s="14" t="n">
        <f aca="false">IF(AND(D$47,D$48&gt;0,LEN(TRIM($B17))&gt;0,D17=TRUE(),IF(D$50,$C17&lt;&gt;TRUE(),TRUE())),QUOTIENT(D$46,MAX(1,D$48))+IF(IF(D$50,SUMPRODUCT(--(LEN(TRIM($B$12:$B17))&gt;0),--(D$12:D17=TRUE()),--($C$12:$C17&lt;&gt;TRUE())),SUMPRODUCT(--(LEN(TRIM($B$12:$B17))&gt;0),--(D$12:D17=TRUE())))&lt;=MOD(D$46,MAX(1,D$48)),1,0),0)</f>
        <v>0</v>
      </c>
      <c r="F57" s="14" t="n">
        <f aca="false">IF(AND(F$47,F$48&gt;0,LEN(TRIM($B17))&gt;0,F17=TRUE(),IF(F$50,$C17&lt;&gt;TRUE(),TRUE())),QUOTIENT(F$46,MAX(1,F$48))+IF(IF(F$50,SUMPRODUCT(--(LEN(TRIM($B$12:$B17))&gt;0),--(F$12:F17=TRUE()),--($C$12:$C17&lt;&gt;TRUE())),SUMPRODUCT(--(LEN(TRIM($B$12:$B17))&gt;0),--(F$12:F17=TRUE())))&lt;=MOD(F$46,MAX(1,F$48)),1,0),0)</f>
        <v>0</v>
      </c>
      <c r="H57" s="14" t="n">
        <f aca="false">IF(AND(H$47,H$48&gt;0,LEN(TRIM($B17))&gt;0,H17=TRUE(),IF(H$50,$C17&lt;&gt;TRUE(),TRUE())),QUOTIENT(H$46,MAX(1,H$48))+IF(IF(H$50,SUMPRODUCT(--(LEN(TRIM($B$12:$B17))&gt;0),--(H$12:H17=TRUE()),--($C$12:$C17&lt;&gt;TRUE())),SUMPRODUCT(--(LEN(TRIM($B$12:$B17))&gt;0),--(H$12:H17=TRUE())))&lt;=MOD(H$46,MAX(1,H$48)),1,0),0)</f>
        <v>0</v>
      </c>
      <c r="J57" s="14" t="n">
        <f aca="false">IF(AND(J$47,J$48&gt;0,LEN(TRIM($B17))&gt;0,J17=TRUE(),IF(J$50,$C17&lt;&gt;TRUE(),TRUE())),QUOTIENT(J$46,MAX(1,J$48))+IF(IF(J$50,SUMPRODUCT(--(LEN(TRIM($B$12:$B17))&gt;0),--(J$12:J17=TRUE()),--($C$12:$C17&lt;&gt;TRUE())),SUMPRODUCT(--(LEN(TRIM($B$12:$B17))&gt;0),--(J$12:J17=TRUE())))&lt;=MOD(J$46,MAX(1,J$48)),1,0),0)</f>
        <v>0</v>
      </c>
      <c r="L57" s="14" t="n">
        <f aca="false">IF(AND(L$47,L$48&gt;0,LEN(TRIM($B17))&gt;0,L17=TRUE(),IF(L$50,$C17&lt;&gt;TRUE(),TRUE())),QUOTIENT(L$46,MAX(1,L$48))+IF(IF(L$50,SUMPRODUCT(--(LEN(TRIM($B$12:$B17))&gt;0),--(L$12:L17=TRUE()),--($C$12:$C17&lt;&gt;TRUE())),SUMPRODUCT(--(LEN(TRIM($B$12:$B17))&gt;0),--(L$12:L17=TRUE())))&lt;=MOD(L$46,MAX(1,L$48)),1,0),0)</f>
        <v>0</v>
      </c>
      <c r="N57" s="14" t="n">
        <f aca="false">IF(AND(N$47,N$48&gt;0,LEN(TRIM($B17))&gt;0,N17=TRUE(),IF(N$50,$C17&lt;&gt;TRUE(),TRUE())),QUOTIENT(N$46,MAX(1,N$48))+IF(IF(N$50,SUMPRODUCT(--(LEN(TRIM($B$12:$B17))&gt;0),--(N$12:N17=TRUE()),--($C$12:$C17&lt;&gt;TRUE())),SUMPRODUCT(--(LEN(TRIM($B$12:$B17))&gt;0),--(N$12:N17=TRUE())))&lt;=MOD(N$46,MAX(1,N$48)),1,0),0)</f>
        <v>0</v>
      </c>
      <c r="P57" s="14" t="n">
        <f aca="false">IF(AND(P$47,P$48&gt;0,LEN(TRIM($B17))&gt;0,P17=TRUE(),IF(P$50,$C17&lt;&gt;TRUE(),TRUE())),QUOTIENT(P$46,MAX(1,P$48))+IF(IF(P$50,SUMPRODUCT(--(LEN(TRIM($B$12:$B17))&gt;0),--(P$12:P17=TRUE()),--($C$12:$C17&lt;&gt;TRUE())),SUMPRODUCT(--(LEN(TRIM($B$12:$B17))&gt;0),--(P$12:P17=TRUE())))&lt;=MOD(P$46,MAX(1,P$48)),1,0),0)</f>
        <v>0</v>
      </c>
    </row>
    <row r="58" customFormat="false" ht="15" hidden="true" customHeight="false" outlineLevel="0" collapsed="false">
      <c r="A58" s="13" t="s">
        <v>24</v>
      </c>
      <c r="D58" s="14" t="n">
        <f aca="false">IF(AND(D$47,D$48&gt;0,LEN(TRIM($B18))&gt;0,D18=TRUE(),IF(D$50,$C18&lt;&gt;TRUE(),TRUE())),QUOTIENT(D$46,MAX(1,D$48))+IF(IF(D$50,SUMPRODUCT(--(LEN(TRIM($B$12:$B18))&gt;0),--(D$12:D18=TRUE()),--($C$12:$C18&lt;&gt;TRUE())),SUMPRODUCT(--(LEN(TRIM($B$12:$B18))&gt;0),--(D$12:D18=TRUE())))&lt;=MOD(D$46,MAX(1,D$48)),1,0),0)</f>
        <v>0</v>
      </c>
      <c r="F58" s="14" t="n">
        <f aca="false">IF(AND(F$47,F$48&gt;0,LEN(TRIM($B18))&gt;0,F18=TRUE(),IF(F$50,$C18&lt;&gt;TRUE(),TRUE())),QUOTIENT(F$46,MAX(1,F$48))+IF(IF(F$50,SUMPRODUCT(--(LEN(TRIM($B$12:$B18))&gt;0),--(F$12:F18=TRUE()),--($C$12:$C18&lt;&gt;TRUE())),SUMPRODUCT(--(LEN(TRIM($B$12:$B18))&gt;0),--(F$12:F18=TRUE())))&lt;=MOD(F$46,MAX(1,F$48)),1,0),0)</f>
        <v>0</v>
      </c>
      <c r="H58" s="14" t="n">
        <f aca="false">IF(AND(H$47,H$48&gt;0,LEN(TRIM($B18))&gt;0,H18=TRUE(),IF(H$50,$C18&lt;&gt;TRUE(),TRUE())),QUOTIENT(H$46,MAX(1,H$48))+IF(IF(H$50,SUMPRODUCT(--(LEN(TRIM($B$12:$B18))&gt;0),--(H$12:H18=TRUE()),--($C$12:$C18&lt;&gt;TRUE())),SUMPRODUCT(--(LEN(TRIM($B$12:$B18))&gt;0),--(H$12:H18=TRUE())))&lt;=MOD(H$46,MAX(1,H$48)),1,0),0)</f>
        <v>0</v>
      </c>
      <c r="J58" s="14" t="n">
        <f aca="false">IF(AND(J$47,J$48&gt;0,LEN(TRIM($B18))&gt;0,J18=TRUE(),IF(J$50,$C18&lt;&gt;TRUE(),TRUE())),QUOTIENT(J$46,MAX(1,J$48))+IF(IF(J$50,SUMPRODUCT(--(LEN(TRIM($B$12:$B18))&gt;0),--(J$12:J18=TRUE()),--($C$12:$C18&lt;&gt;TRUE())),SUMPRODUCT(--(LEN(TRIM($B$12:$B18))&gt;0),--(J$12:J18=TRUE())))&lt;=MOD(J$46,MAX(1,J$48)),1,0),0)</f>
        <v>0</v>
      </c>
      <c r="L58" s="14" t="n">
        <f aca="false">IF(AND(L$47,L$48&gt;0,LEN(TRIM($B18))&gt;0,L18=TRUE(),IF(L$50,$C18&lt;&gt;TRUE(),TRUE())),QUOTIENT(L$46,MAX(1,L$48))+IF(IF(L$50,SUMPRODUCT(--(LEN(TRIM($B$12:$B18))&gt;0),--(L$12:L18=TRUE()),--($C$12:$C18&lt;&gt;TRUE())),SUMPRODUCT(--(LEN(TRIM($B$12:$B18))&gt;0),--(L$12:L18=TRUE())))&lt;=MOD(L$46,MAX(1,L$48)),1,0),0)</f>
        <v>0</v>
      </c>
      <c r="N58" s="14" t="n">
        <f aca="false">IF(AND(N$47,N$48&gt;0,LEN(TRIM($B18))&gt;0,N18=TRUE(),IF(N$50,$C18&lt;&gt;TRUE(),TRUE())),QUOTIENT(N$46,MAX(1,N$48))+IF(IF(N$50,SUMPRODUCT(--(LEN(TRIM($B$12:$B18))&gt;0),--(N$12:N18=TRUE()),--($C$12:$C18&lt;&gt;TRUE())),SUMPRODUCT(--(LEN(TRIM($B$12:$B18))&gt;0),--(N$12:N18=TRUE())))&lt;=MOD(N$46,MAX(1,N$48)),1,0),0)</f>
        <v>0</v>
      </c>
      <c r="P58" s="14" t="n">
        <f aca="false">IF(AND(P$47,P$48&gt;0,LEN(TRIM($B18))&gt;0,P18=TRUE(),IF(P$50,$C18&lt;&gt;TRUE(),TRUE())),QUOTIENT(P$46,MAX(1,P$48))+IF(IF(P$50,SUMPRODUCT(--(LEN(TRIM($B$12:$B18))&gt;0),--(P$12:P18=TRUE()),--($C$12:$C18&lt;&gt;TRUE())),SUMPRODUCT(--(LEN(TRIM($B$12:$B18))&gt;0),--(P$12:P18=TRUE())))&lt;=MOD(P$46,MAX(1,P$48)),1,0),0)</f>
        <v>0</v>
      </c>
    </row>
    <row r="59" customFormat="false" ht="15" hidden="true" customHeight="false" outlineLevel="0" collapsed="false">
      <c r="A59" s="13" t="s">
        <v>25</v>
      </c>
      <c r="D59" s="14" t="n">
        <f aca="false">IF(AND(D$47,D$48&gt;0,LEN(TRIM($B19))&gt;0,D19=TRUE(),IF(D$50,$C19&lt;&gt;TRUE(),TRUE())),QUOTIENT(D$46,MAX(1,D$48))+IF(IF(D$50,SUMPRODUCT(--(LEN(TRIM($B$12:$B19))&gt;0),--(D$12:D19=TRUE()),--($C$12:$C19&lt;&gt;TRUE())),SUMPRODUCT(--(LEN(TRIM($B$12:$B19))&gt;0),--(D$12:D19=TRUE())))&lt;=MOD(D$46,MAX(1,D$48)),1,0),0)</f>
        <v>0</v>
      </c>
      <c r="F59" s="14" t="n">
        <f aca="false">IF(AND(F$47,F$48&gt;0,LEN(TRIM($B19))&gt;0,F19=TRUE(),IF(F$50,$C19&lt;&gt;TRUE(),TRUE())),QUOTIENT(F$46,MAX(1,F$48))+IF(IF(F$50,SUMPRODUCT(--(LEN(TRIM($B$12:$B19))&gt;0),--(F$12:F19=TRUE()),--($C$12:$C19&lt;&gt;TRUE())),SUMPRODUCT(--(LEN(TRIM($B$12:$B19))&gt;0),--(F$12:F19=TRUE())))&lt;=MOD(F$46,MAX(1,F$48)),1,0),0)</f>
        <v>0</v>
      </c>
      <c r="H59" s="14" t="n">
        <f aca="false">IF(AND(H$47,H$48&gt;0,LEN(TRIM($B19))&gt;0,H19=TRUE(),IF(H$50,$C19&lt;&gt;TRUE(),TRUE())),QUOTIENT(H$46,MAX(1,H$48))+IF(IF(H$50,SUMPRODUCT(--(LEN(TRIM($B$12:$B19))&gt;0),--(H$12:H19=TRUE()),--($C$12:$C19&lt;&gt;TRUE())),SUMPRODUCT(--(LEN(TRIM($B$12:$B19))&gt;0),--(H$12:H19=TRUE())))&lt;=MOD(H$46,MAX(1,H$48)),1,0),0)</f>
        <v>0</v>
      </c>
      <c r="J59" s="14" t="n">
        <f aca="false">IF(AND(J$47,J$48&gt;0,LEN(TRIM($B19))&gt;0,J19=TRUE(),IF(J$50,$C19&lt;&gt;TRUE(),TRUE())),QUOTIENT(J$46,MAX(1,J$48))+IF(IF(J$50,SUMPRODUCT(--(LEN(TRIM($B$12:$B19))&gt;0),--(J$12:J19=TRUE()),--($C$12:$C19&lt;&gt;TRUE())),SUMPRODUCT(--(LEN(TRIM($B$12:$B19))&gt;0),--(J$12:J19=TRUE())))&lt;=MOD(J$46,MAX(1,J$48)),1,0),0)</f>
        <v>0</v>
      </c>
      <c r="L59" s="14" t="n">
        <f aca="false">IF(AND(L$47,L$48&gt;0,LEN(TRIM($B19))&gt;0,L19=TRUE(),IF(L$50,$C19&lt;&gt;TRUE(),TRUE())),QUOTIENT(L$46,MAX(1,L$48))+IF(IF(L$50,SUMPRODUCT(--(LEN(TRIM($B$12:$B19))&gt;0),--(L$12:L19=TRUE()),--($C$12:$C19&lt;&gt;TRUE())),SUMPRODUCT(--(LEN(TRIM($B$12:$B19))&gt;0),--(L$12:L19=TRUE())))&lt;=MOD(L$46,MAX(1,L$48)),1,0),0)</f>
        <v>0</v>
      </c>
      <c r="N59" s="14" t="n">
        <f aca="false">IF(AND(N$47,N$48&gt;0,LEN(TRIM($B19))&gt;0,N19=TRUE(),IF(N$50,$C19&lt;&gt;TRUE(),TRUE())),QUOTIENT(N$46,MAX(1,N$48))+IF(IF(N$50,SUMPRODUCT(--(LEN(TRIM($B$12:$B19))&gt;0),--(N$12:N19=TRUE()),--($C$12:$C19&lt;&gt;TRUE())),SUMPRODUCT(--(LEN(TRIM($B$12:$B19))&gt;0),--(N$12:N19=TRUE())))&lt;=MOD(N$46,MAX(1,N$48)),1,0),0)</f>
        <v>0</v>
      </c>
      <c r="P59" s="14" t="n">
        <f aca="false">IF(AND(P$47,P$48&gt;0,LEN(TRIM($B19))&gt;0,P19=TRUE(),IF(P$50,$C19&lt;&gt;TRUE(),TRUE())),QUOTIENT(P$46,MAX(1,P$48))+IF(IF(P$50,SUMPRODUCT(--(LEN(TRIM($B$12:$B19))&gt;0),--(P$12:P19=TRUE()),--($C$12:$C19&lt;&gt;TRUE())),SUMPRODUCT(--(LEN(TRIM($B$12:$B19))&gt;0),--(P$12:P19=TRUE())))&lt;=MOD(P$46,MAX(1,P$48)),1,0),0)</f>
        <v>0</v>
      </c>
    </row>
    <row r="60" customFormat="false" ht="15" hidden="true" customHeight="false" outlineLevel="0" collapsed="false">
      <c r="A60" s="13" t="s">
        <v>26</v>
      </c>
      <c r="D60" s="14" t="n">
        <f aca="false">IF(AND(D$47,D$48&gt;0,LEN(TRIM($B20))&gt;0,D20=TRUE(),IF(D$50,$C20&lt;&gt;TRUE(),TRUE())),QUOTIENT(D$46,MAX(1,D$48))+IF(IF(D$50,SUMPRODUCT(--(LEN(TRIM($B$12:$B20))&gt;0),--(D$12:D20=TRUE()),--($C$12:$C20&lt;&gt;TRUE())),SUMPRODUCT(--(LEN(TRIM($B$12:$B20))&gt;0),--(D$12:D20=TRUE())))&lt;=MOD(D$46,MAX(1,D$48)),1,0),0)</f>
        <v>0</v>
      </c>
      <c r="F60" s="14" t="n">
        <f aca="false">IF(AND(F$47,F$48&gt;0,LEN(TRIM($B20))&gt;0,F20=TRUE(),IF(F$50,$C20&lt;&gt;TRUE(),TRUE())),QUOTIENT(F$46,MAX(1,F$48))+IF(IF(F$50,SUMPRODUCT(--(LEN(TRIM($B$12:$B20))&gt;0),--(F$12:F20=TRUE()),--($C$12:$C20&lt;&gt;TRUE())),SUMPRODUCT(--(LEN(TRIM($B$12:$B20))&gt;0),--(F$12:F20=TRUE())))&lt;=MOD(F$46,MAX(1,F$48)),1,0),0)</f>
        <v>0</v>
      </c>
      <c r="H60" s="14" t="n">
        <f aca="false">IF(AND(H$47,H$48&gt;0,LEN(TRIM($B20))&gt;0,H20=TRUE(),IF(H$50,$C20&lt;&gt;TRUE(),TRUE())),QUOTIENT(H$46,MAX(1,H$48))+IF(IF(H$50,SUMPRODUCT(--(LEN(TRIM($B$12:$B20))&gt;0),--(H$12:H20=TRUE()),--($C$12:$C20&lt;&gt;TRUE())),SUMPRODUCT(--(LEN(TRIM($B$12:$B20))&gt;0),--(H$12:H20=TRUE())))&lt;=MOD(H$46,MAX(1,H$48)),1,0),0)</f>
        <v>0</v>
      </c>
      <c r="J60" s="14" t="n">
        <f aca="false">IF(AND(J$47,J$48&gt;0,LEN(TRIM($B20))&gt;0,J20=TRUE(),IF(J$50,$C20&lt;&gt;TRUE(),TRUE())),QUOTIENT(J$46,MAX(1,J$48))+IF(IF(J$50,SUMPRODUCT(--(LEN(TRIM($B$12:$B20))&gt;0),--(J$12:J20=TRUE()),--($C$12:$C20&lt;&gt;TRUE())),SUMPRODUCT(--(LEN(TRIM($B$12:$B20))&gt;0),--(J$12:J20=TRUE())))&lt;=MOD(J$46,MAX(1,J$48)),1,0),0)</f>
        <v>0</v>
      </c>
      <c r="L60" s="14" t="n">
        <f aca="false">IF(AND(L$47,L$48&gt;0,LEN(TRIM($B20))&gt;0,L20=TRUE(),IF(L$50,$C20&lt;&gt;TRUE(),TRUE())),QUOTIENT(L$46,MAX(1,L$48))+IF(IF(L$50,SUMPRODUCT(--(LEN(TRIM($B$12:$B20))&gt;0),--(L$12:L20=TRUE()),--($C$12:$C20&lt;&gt;TRUE())),SUMPRODUCT(--(LEN(TRIM($B$12:$B20))&gt;0),--(L$12:L20=TRUE())))&lt;=MOD(L$46,MAX(1,L$48)),1,0),0)</f>
        <v>0</v>
      </c>
      <c r="N60" s="14" t="n">
        <f aca="false">IF(AND(N$47,N$48&gt;0,LEN(TRIM($B20))&gt;0,N20=TRUE(),IF(N$50,$C20&lt;&gt;TRUE(),TRUE())),QUOTIENT(N$46,MAX(1,N$48))+IF(IF(N$50,SUMPRODUCT(--(LEN(TRIM($B$12:$B20))&gt;0),--(N$12:N20=TRUE()),--($C$12:$C20&lt;&gt;TRUE())),SUMPRODUCT(--(LEN(TRIM($B$12:$B20))&gt;0),--(N$12:N20=TRUE())))&lt;=MOD(N$46,MAX(1,N$48)),1,0),0)</f>
        <v>0</v>
      </c>
      <c r="P60" s="14" t="n">
        <f aca="false">IF(AND(P$47,P$48&gt;0,LEN(TRIM($B20))&gt;0,P20=TRUE(),IF(P$50,$C20&lt;&gt;TRUE(),TRUE())),QUOTIENT(P$46,MAX(1,P$48))+IF(IF(P$50,SUMPRODUCT(--(LEN(TRIM($B$12:$B20))&gt;0),--(P$12:P20=TRUE()),--($C$12:$C20&lt;&gt;TRUE())),SUMPRODUCT(--(LEN(TRIM($B$12:$B20))&gt;0),--(P$12:P20=TRUE())))&lt;=MOD(P$46,MAX(1,P$48)),1,0),0)</f>
        <v>0</v>
      </c>
    </row>
    <row r="61" customFormat="false" ht="15" hidden="true" customHeight="false" outlineLevel="0" collapsed="false">
      <c r="A61" s="13" t="s">
        <v>27</v>
      </c>
      <c r="D61" s="14" t="n">
        <f aca="false">IF(AND(D$47,D$48&gt;0,LEN(TRIM($B21))&gt;0,D21=TRUE(),IF(D$50,$C21&lt;&gt;TRUE(),TRUE())),QUOTIENT(D$46,MAX(1,D$48))+IF(IF(D$50,SUMPRODUCT(--(LEN(TRIM($B$12:$B21))&gt;0),--(D$12:D21=TRUE()),--($C$12:$C21&lt;&gt;TRUE())),SUMPRODUCT(--(LEN(TRIM($B$12:$B21))&gt;0),--(D$12:D21=TRUE())))&lt;=MOD(D$46,MAX(1,D$48)),1,0),0)</f>
        <v>0</v>
      </c>
      <c r="F61" s="14" t="n">
        <f aca="false">IF(AND(F$47,F$48&gt;0,LEN(TRIM($B21))&gt;0,F21=TRUE(),IF(F$50,$C21&lt;&gt;TRUE(),TRUE())),QUOTIENT(F$46,MAX(1,F$48))+IF(IF(F$50,SUMPRODUCT(--(LEN(TRIM($B$12:$B21))&gt;0),--(F$12:F21=TRUE()),--($C$12:$C21&lt;&gt;TRUE())),SUMPRODUCT(--(LEN(TRIM($B$12:$B21))&gt;0),--(F$12:F21=TRUE())))&lt;=MOD(F$46,MAX(1,F$48)),1,0),0)</f>
        <v>0</v>
      </c>
      <c r="H61" s="14" t="n">
        <f aca="false">IF(AND(H$47,H$48&gt;0,LEN(TRIM($B21))&gt;0,H21=TRUE(),IF(H$50,$C21&lt;&gt;TRUE(),TRUE())),QUOTIENT(H$46,MAX(1,H$48))+IF(IF(H$50,SUMPRODUCT(--(LEN(TRIM($B$12:$B21))&gt;0),--(H$12:H21=TRUE()),--($C$12:$C21&lt;&gt;TRUE())),SUMPRODUCT(--(LEN(TRIM($B$12:$B21))&gt;0),--(H$12:H21=TRUE())))&lt;=MOD(H$46,MAX(1,H$48)),1,0),0)</f>
        <v>0</v>
      </c>
      <c r="J61" s="14" t="n">
        <f aca="false">IF(AND(J$47,J$48&gt;0,LEN(TRIM($B21))&gt;0,J21=TRUE(),IF(J$50,$C21&lt;&gt;TRUE(),TRUE())),QUOTIENT(J$46,MAX(1,J$48))+IF(IF(J$50,SUMPRODUCT(--(LEN(TRIM($B$12:$B21))&gt;0),--(J$12:J21=TRUE()),--($C$12:$C21&lt;&gt;TRUE())),SUMPRODUCT(--(LEN(TRIM($B$12:$B21))&gt;0),--(J$12:J21=TRUE())))&lt;=MOD(J$46,MAX(1,J$48)),1,0),0)</f>
        <v>0</v>
      </c>
      <c r="L61" s="14" t="n">
        <f aca="false">IF(AND(L$47,L$48&gt;0,LEN(TRIM($B21))&gt;0,L21=TRUE(),IF(L$50,$C21&lt;&gt;TRUE(),TRUE())),QUOTIENT(L$46,MAX(1,L$48))+IF(IF(L$50,SUMPRODUCT(--(LEN(TRIM($B$12:$B21))&gt;0),--(L$12:L21=TRUE()),--($C$12:$C21&lt;&gt;TRUE())),SUMPRODUCT(--(LEN(TRIM($B$12:$B21))&gt;0),--(L$12:L21=TRUE())))&lt;=MOD(L$46,MAX(1,L$48)),1,0),0)</f>
        <v>0</v>
      </c>
      <c r="N61" s="14" t="n">
        <f aca="false">IF(AND(N$47,N$48&gt;0,LEN(TRIM($B21))&gt;0,N21=TRUE(),IF(N$50,$C21&lt;&gt;TRUE(),TRUE())),QUOTIENT(N$46,MAX(1,N$48))+IF(IF(N$50,SUMPRODUCT(--(LEN(TRIM($B$12:$B21))&gt;0),--(N$12:N21=TRUE()),--($C$12:$C21&lt;&gt;TRUE())),SUMPRODUCT(--(LEN(TRIM($B$12:$B21))&gt;0),--(N$12:N21=TRUE())))&lt;=MOD(N$46,MAX(1,N$48)),1,0),0)</f>
        <v>0</v>
      </c>
      <c r="P61" s="14" t="n">
        <f aca="false">IF(AND(P$47,P$48&gt;0,LEN(TRIM($B21))&gt;0,P21=TRUE(),IF(P$50,$C21&lt;&gt;TRUE(),TRUE())),QUOTIENT(P$46,MAX(1,P$48))+IF(IF(P$50,SUMPRODUCT(--(LEN(TRIM($B$12:$B21))&gt;0),--(P$12:P21=TRUE()),--($C$12:$C21&lt;&gt;TRUE())),SUMPRODUCT(--(LEN(TRIM($B$12:$B21))&gt;0),--(P$12:P21=TRUE())))&lt;=MOD(P$46,MAX(1,P$48)),1,0),0)</f>
        <v>0</v>
      </c>
    </row>
    <row r="62" customFormat="false" ht="15" hidden="true" customHeight="false" outlineLevel="0" collapsed="false">
      <c r="A62" s="13" t="s">
        <v>28</v>
      </c>
      <c r="D62" s="14" t="n">
        <f aca="false">IF(AND(D$47,D$48&gt;0,LEN(TRIM($B22))&gt;0,D22=TRUE(),IF(D$50,$C22&lt;&gt;TRUE(),TRUE())),QUOTIENT(D$46,MAX(1,D$48))+IF(IF(D$50,SUMPRODUCT(--(LEN(TRIM($B$12:$B22))&gt;0),--(D$12:D22=TRUE()),--($C$12:$C22&lt;&gt;TRUE())),SUMPRODUCT(--(LEN(TRIM($B$12:$B22))&gt;0),--(D$12:D22=TRUE())))&lt;=MOD(D$46,MAX(1,D$48)),1,0),0)</f>
        <v>0</v>
      </c>
      <c r="F62" s="14" t="n">
        <f aca="false">IF(AND(F$47,F$48&gt;0,LEN(TRIM($B22))&gt;0,F22=TRUE(),IF(F$50,$C22&lt;&gt;TRUE(),TRUE())),QUOTIENT(F$46,MAX(1,F$48))+IF(IF(F$50,SUMPRODUCT(--(LEN(TRIM($B$12:$B22))&gt;0),--(F$12:F22=TRUE()),--($C$12:$C22&lt;&gt;TRUE())),SUMPRODUCT(--(LEN(TRIM($B$12:$B22))&gt;0),--(F$12:F22=TRUE())))&lt;=MOD(F$46,MAX(1,F$48)),1,0),0)</f>
        <v>0</v>
      </c>
      <c r="H62" s="14" t="n">
        <f aca="false">IF(AND(H$47,H$48&gt;0,LEN(TRIM($B22))&gt;0,H22=TRUE(),IF(H$50,$C22&lt;&gt;TRUE(),TRUE())),QUOTIENT(H$46,MAX(1,H$48))+IF(IF(H$50,SUMPRODUCT(--(LEN(TRIM($B$12:$B22))&gt;0),--(H$12:H22=TRUE()),--($C$12:$C22&lt;&gt;TRUE())),SUMPRODUCT(--(LEN(TRIM($B$12:$B22))&gt;0),--(H$12:H22=TRUE())))&lt;=MOD(H$46,MAX(1,H$48)),1,0),0)</f>
        <v>0</v>
      </c>
      <c r="J62" s="14" t="n">
        <f aca="false">IF(AND(J$47,J$48&gt;0,LEN(TRIM($B22))&gt;0,J22=TRUE(),IF(J$50,$C22&lt;&gt;TRUE(),TRUE())),QUOTIENT(J$46,MAX(1,J$48))+IF(IF(J$50,SUMPRODUCT(--(LEN(TRIM($B$12:$B22))&gt;0),--(J$12:J22=TRUE()),--($C$12:$C22&lt;&gt;TRUE())),SUMPRODUCT(--(LEN(TRIM($B$12:$B22))&gt;0),--(J$12:J22=TRUE())))&lt;=MOD(J$46,MAX(1,J$48)),1,0),0)</f>
        <v>0</v>
      </c>
      <c r="L62" s="14" t="n">
        <f aca="false">IF(AND(L$47,L$48&gt;0,LEN(TRIM($B22))&gt;0,L22=TRUE(),IF(L$50,$C22&lt;&gt;TRUE(),TRUE())),QUOTIENT(L$46,MAX(1,L$48))+IF(IF(L$50,SUMPRODUCT(--(LEN(TRIM($B$12:$B22))&gt;0),--(L$12:L22=TRUE()),--($C$12:$C22&lt;&gt;TRUE())),SUMPRODUCT(--(LEN(TRIM($B$12:$B22))&gt;0),--(L$12:L22=TRUE())))&lt;=MOD(L$46,MAX(1,L$48)),1,0),0)</f>
        <v>0</v>
      </c>
      <c r="N62" s="14" t="n">
        <f aca="false">IF(AND(N$47,N$48&gt;0,LEN(TRIM($B22))&gt;0,N22=TRUE(),IF(N$50,$C22&lt;&gt;TRUE(),TRUE())),QUOTIENT(N$46,MAX(1,N$48))+IF(IF(N$50,SUMPRODUCT(--(LEN(TRIM($B$12:$B22))&gt;0),--(N$12:N22=TRUE()),--($C$12:$C22&lt;&gt;TRUE())),SUMPRODUCT(--(LEN(TRIM($B$12:$B22))&gt;0),--(N$12:N22=TRUE())))&lt;=MOD(N$46,MAX(1,N$48)),1,0),0)</f>
        <v>0</v>
      </c>
      <c r="P62" s="14" t="n">
        <f aca="false">IF(AND(P$47,P$48&gt;0,LEN(TRIM($B22))&gt;0,P22=TRUE(),IF(P$50,$C22&lt;&gt;TRUE(),TRUE())),QUOTIENT(P$46,MAX(1,P$48))+IF(IF(P$50,SUMPRODUCT(--(LEN(TRIM($B$12:$B22))&gt;0),--(P$12:P22=TRUE()),--($C$12:$C22&lt;&gt;TRUE())),SUMPRODUCT(--(LEN(TRIM($B$12:$B22))&gt;0),--(P$12:P22=TRUE())))&lt;=MOD(P$46,MAX(1,P$48)),1,0),0)</f>
        <v>0</v>
      </c>
    </row>
    <row r="63" customFormat="false" ht="15" hidden="true" customHeight="false" outlineLevel="0" collapsed="false">
      <c r="A63" s="13" t="s">
        <v>29</v>
      </c>
      <c r="D63" s="14" t="n">
        <f aca="false">IF(AND(D$47,D$48&gt;0,LEN(TRIM($B23))&gt;0,D23=TRUE(),IF(D$50,$C23&lt;&gt;TRUE(),TRUE())),QUOTIENT(D$46,MAX(1,D$48))+IF(IF(D$50,SUMPRODUCT(--(LEN(TRIM($B$12:$B23))&gt;0),--(D$12:D23=TRUE()),--($C$12:$C23&lt;&gt;TRUE())),SUMPRODUCT(--(LEN(TRIM($B$12:$B23))&gt;0),--(D$12:D23=TRUE())))&lt;=MOD(D$46,MAX(1,D$48)),1,0),0)</f>
        <v>0</v>
      </c>
      <c r="F63" s="14" t="n">
        <f aca="false">IF(AND(F$47,F$48&gt;0,LEN(TRIM($B23))&gt;0,F23=TRUE(),IF(F$50,$C23&lt;&gt;TRUE(),TRUE())),QUOTIENT(F$46,MAX(1,F$48))+IF(IF(F$50,SUMPRODUCT(--(LEN(TRIM($B$12:$B23))&gt;0),--(F$12:F23=TRUE()),--($C$12:$C23&lt;&gt;TRUE())),SUMPRODUCT(--(LEN(TRIM($B$12:$B23))&gt;0),--(F$12:F23=TRUE())))&lt;=MOD(F$46,MAX(1,F$48)),1,0),0)</f>
        <v>0</v>
      </c>
      <c r="H63" s="14" t="n">
        <f aca="false">IF(AND(H$47,H$48&gt;0,LEN(TRIM($B23))&gt;0,H23=TRUE(),IF(H$50,$C23&lt;&gt;TRUE(),TRUE())),QUOTIENT(H$46,MAX(1,H$48))+IF(IF(H$50,SUMPRODUCT(--(LEN(TRIM($B$12:$B23))&gt;0),--(H$12:H23=TRUE()),--($C$12:$C23&lt;&gt;TRUE())),SUMPRODUCT(--(LEN(TRIM($B$12:$B23))&gt;0),--(H$12:H23=TRUE())))&lt;=MOD(H$46,MAX(1,H$48)),1,0),0)</f>
        <v>0</v>
      </c>
      <c r="J63" s="14" t="n">
        <f aca="false">IF(AND(J$47,J$48&gt;0,LEN(TRIM($B23))&gt;0,J23=TRUE(),IF(J$50,$C23&lt;&gt;TRUE(),TRUE())),QUOTIENT(J$46,MAX(1,J$48))+IF(IF(J$50,SUMPRODUCT(--(LEN(TRIM($B$12:$B23))&gt;0),--(J$12:J23=TRUE()),--($C$12:$C23&lt;&gt;TRUE())),SUMPRODUCT(--(LEN(TRIM($B$12:$B23))&gt;0),--(J$12:J23=TRUE())))&lt;=MOD(J$46,MAX(1,J$48)),1,0),0)</f>
        <v>0</v>
      </c>
      <c r="L63" s="14" t="n">
        <f aca="false">IF(AND(L$47,L$48&gt;0,LEN(TRIM($B23))&gt;0,L23=TRUE(),IF(L$50,$C23&lt;&gt;TRUE(),TRUE())),QUOTIENT(L$46,MAX(1,L$48))+IF(IF(L$50,SUMPRODUCT(--(LEN(TRIM($B$12:$B23))&gt;0),--(L$12:L23=TRUE()),--($C$12:$C23&lt;&gt;TRUE())),SUMPRODUCT(--(LEN(TRIM($B$12:$B23))&gt;0),--(L$12:L23=TRUE())))&lt;=MOD(L$46,MAX(1,L$48)),1,0),0)</f>
        <v>0</v>
      </c>
      <c r="N63" s="14" t="n">
        <f aca="false">IF(AND(N$47,N$48&gt;0,LEN(TRIM($B23))&gt;0,N23=TRUE(),IF(N$50,$C23&lt;&gt;TRUE(),TRUE())),QUOTIENT(N$46,MAX(1,N$48))+IF(IF(N$50,SUMPRODUCT(--(LEN(TRIM($B$12:$B23))&gt;0),--(N$12:N23=TRUE()),--($C$12:$C23&lt;&gt;TRUE())),SUMPRODUCT(--(LEN(TRIM($B$12:$B23))&gt;0),--(N$12:N23=TRUE())))&lt;=MOD(N$46,MAX(1,N$48)),1,0),0)</f>
        <v>0</v>
      </c>
      <c r="P63" s="14" t="n">
        <f aca="false">IF(AND(P$47,P$48&gt;0,LEN(TRIM($B23))&gt;0,P23=TRUE(),IF(P$50,$C23&lt;&gt;TRUE(),TRUE())),QUOTIENT(P$46,MAX(1,P$48))+IF(IF(P$50,SUMPRODUCT(--(LEN(TRIM($B$12:$B23))&gt;0),--(P$12:P23=TRUE()),--($C$12:$C23&lt;&gt;TRUE())),SUMPRODUCT(--(LEN(TRIM($B$12:$B23))&gt;0),--(P$12:P23=TRUE())))&lt;=MOD(P$46,MAX(1,P$48)),1,0),0)</f>
        <v>0</v>
      </c>
    </row>
    <row r="64" customFormat="false" ht="15" hidden="true" customHeight="false" outlineLevel="0" collapsed="false">
      <c r="A64" s="13" t="s">
        <v>30</v>
      </c>
      <c r="D64" s="14" t="n">
        <f aca="false">IF(AND(D$47,D$48&gt;0,LEN(TRIM($B24))&gt;0,D24=TRUE(),IF(D$50,$C24&lt;&gt;TRUE(),TRUE())),QUOTIENT(D$46,MAX(1,D$48))+IF(IF(D$50,SUMPRODUCT(--(LEN(TRIM($B$12:$B24))&gt;0),--(D$12:D24=TRUE()),--($C$12:$C24&lt;&gt;TRUE())),SUMPRODUCT(--(LEN(TRIM($B$12:$B24))&gt;0),--(D$12:D24=TRUE())))&lt;=MOD(D$46,MAX(1,D$48)),1,0),0)</f>
        <v>0</v>
      </c>
      <c r="F64" s="14" t="n">
        <f aca="false">IF(AND(F$47,F$48&gt;0,LEN(TRIM($B24))&gt;0,F24=TRUE(),IF(F$50,$C24&lt;&gt;TRUE(),TRUE())),QUOTIENT(F$46,MAX(1,F$48))+IF(IF(F$50,SUMPRODUCT(--(LEN(TRIM($B$12:$B24))&gt;0),--(F$12:F24=TRUE()),--($C$12:$C24&lt;&gt;TRUE())),SUMPRODUCT(--(LEN(TRIM($B$12:$B24))&gt;0),--(F$12:F24=TRUE())))&lt;=MOD(F$46,MAX(1,F$48)),1,0),0)</f>
        <v>0</v>
      </c>
      <c r="H64" s="14" t="n">
        <f aca="false">IF(AND(H$47,H$48&gt;0,LEN(TRIM($B24))&gt;0,H24=TRUE(),IF(H$50,$C24&lt;&gt;TRUE(),TRUE())),QUOTIENT(H$46,MAX(1,H$48))+IF(IF(H$50,SUMPRODUCT(--(LEN(TRIM($B$12:$B24))&gt;0),--(H$12:H24=TRUE()),--($C$12:$C24&lt;&gt;TRUE())),SUMPRODUCT(--(LEN(TRIM($B$12:$B24))&gt;0),--(H$12:H24=TRUE())))&lt;=MOD(H$46,MAX(1,H$48)),1,0),0)</f>
        <v>0</v>
      </c>
      <c r="J64" s="14" t="n">
        <f aca="false">IF(AND(J$47,J$48&gt;0,LEN(TRIM($B24))&gt;0,J24=TRUE(),IF(J$50,$C24&lt;&gt;TRUE(),TRUE())),QUOTIENT(J$46,MAX(1,J$48))+IF(IF(J$50,SUMPRODUCT(--(LEN(TRIM($B$12:$B24))&gt;0),--(J$12:J24=TRUE()),--($C$12:$C24&lt;&gt;TRUE())),SUMPRODUCT(--(LEN(TRIM($B$12:$B24))&gt;0),--(J$12:J24=TRUE())))&lt;=MOD(J$46,MAX(1,J$48)),1,0),0)</f>
        <v>0</v>
      </c>
      <c r="L64" s="14" t="n">
        <f aca="false">IF(AND(L$47,L$48&gt;0,LEN(TRIM($B24))&gt;0,L24=TRUE(),IF(L$50,$C24&lt;&gt;TRUE(),TRUE())),QUOTIENT(L$46,MAX(1,L$48))+IF(IF(L$50,SUMPRODUCT(--(LEN(TRIM($B$12:$B24))&gt;0),--(L$12:L24=TRUE()),--($C$12:$C24&lt;&gt;TRUE())),SUMPRODUCT(--(LEN(TRIM($B$12:$B24))&gt;0),--(L$12:L24=TRUE())))&lt;=MOD(L$46,MAX(1,L$48)),1,0),0)</f>
        <v>0</v>
      </c>
      <c r="N64" s="14" t="n">
        <f aca="false">IF(AND(N$47,N$48&gt;0,LEN(TRIM($B24))&gt;0,N24=TRUE(),IF(N$50,$C24&lt;&gt;TRUE(),TRUE())),QUOTIENT(N$46,MAX(1,N$48))+IF(IF(N$50,SUMPRODUCT(--(LEN(TRIM($B$12:$B24))&gt;0),--(N$12:N24=TRUE()),--($C$12:$C24&lt;&gt;TRUE())),SUMPRODUCT(--(LEN(TRIM($B$12:$B24))&gt;0),--(N$12:N24=TRUE())))&lt;=MOD(N$46,MAX(1,N$48)),1,0),0)</f>
        <v>0</v>
      </c>
      <c r="P64" s="14" t="n">
        <f aca="false">IF(AND(P$47,P$48&gt;0,LEN(TRIM($B24))&gt;0,P24=TRUE(),IF(P$50,$C24&lt;&gt;TRUE(),TRUE())),QUOTIENT(P$46,MAX(1,P$48))+IF(IF(P$50,SUMPRODUCT(--(LEN(TRIM($B$12:$B24))&gt;0),--(P$12:P24=TRUE()),--($C$12:$C24&lt;&gt;TRUE())),SUMPRODUCT(--(LEN(TRIM($B$12:$B24))&gt;0),--(P$12:P24=TRUE())))&lt;=MOD(P$46,MAX(1,P$48)),1,0),0)</f>
        <v>0</v>
      </c>
    </row>
    <row r="65" customFormat="false" ht="15" hidden="true" customHeight="false" outlineLevel="0" collapsed="false">
      <c r="A65" s="13" t="s">
        <v>31</v>
      </c>
      <c r="D65" s="14" t="n">
        <f aca="false">IF(AND(D$47,D$48&gt;0,LEN(TRIM($B25))&gt;0,D25=TRUE(),IF(D$50,$C25&lt;&gt;TRUE(),TRUE())),QUOTIENT(D$46,MAX(1,D$48))+IF(IF(D$50,SUMPRODUCT(--(LEN(TRIM($B$12:$B25))&gt;0),--(D$12:D25=TRUE()),--($C$12:$C25&lt;&gt;TRUE())),SUMPRODUCT(--(LEN(TRIM($B$12:$B25))&gt;0),--(D$12:D25=TRUE())))&lt;=MOD(D$46,MAX(1,D$48)),1,0),0)</f>
        <v>0</v>
      </c>
      <c r="F65" s="14" t="n">
        <f aca="false">IF(AND(F$47,F$48&gt;0,LEN(TRIM($B25))&gt;0,F25=TRUE(),IF(F$50,$C25&lt;&gt;TRUE(),TRUE())),QUOTIENT(F$46,MAX(1,F$48))+IF(IF(F$50,SUMPRODUCT(--(LEN(TRIM($B$12:$B25))&gt;0),--(F$12:F25=TRUE()),--($C$12:$C25&lt;&gt;TRUE())),SUMPRODUCT(--(LEN(TRIM($B$12:$B25))&gt;0),--(F$12:F25=TRUE())))&lt;=MOD(F$46,MAX(1,F$48)),1,0),0)</f>
        <v>0</v>
      </c>
      <c r="H65" s="14" t="n">
        <f aca="false">IF(AND(H$47,H$48&gt;0,LEN(TRIM($B25))&gt;0,H25=TRUE(),IF(H$50,$C25&lt;&gt;TRUE(),TRUE())),QUOTIENT(H$46,MAX(1,H$48))+IF(IF(H$50,SUMPRODUCT(--(LEN(TRIM($B$12:$B25))&gt;0),--(H$12:H25=TRUE()),--($C$12:$C25&lt;&gt;TRUE())),SUMPRODUCT(--(LEN(TRIM($B$12:$B25))&gt;0),--(H$12:H25=TRUE())))&lt;=MOD(H$46,MAX(1,H$48)),1,0),0)</f>
        <v>0</v>
      </c>
      <c r="J65" s="14" t="n">
        <f aca="false">IF(AND(J$47,J$48&gt;0,LEN(TRIM($B25))&gt;0,J25=TRUE(),IF(J$50,$C25&lt;&gt;TRUE(),TRUE())),QUOTIENT(J$46,MAX(1,J$48))+IF(IF(J$50,SUMPRODUCT(--(LEN(TRIM($B$12:$B25))&gt;0),--(J$12:J25=TRUE()),--($C$12:$C25&lt;&gt;TRUE())),SUMPRODUCT(--(LEN(TRIM($B$12:$B25))&gt;0),--(J$12:J25=TRUE())))&lt;=MOD(J$46,MAX(1,J$48)),1,0),0)</f>
        <v>0</v>
      </c>
      <c r="L65" s="14" t="n">
        <f aca="false">IF(AND(L$47,L$48&gt;0,LEN(TRIM($B25))&gt;0,L25=TRUE(),IF(L$50,$C25&lt;&gt;TRUE(),TRUE())),QUOTIENT(L$46,MAX(1,L$48))+IF(IF(L$50,SUMPRODUCT(--(LEN(TRIM($B$12:$B25))&gt;0),--(L$12:L25=TRUE()),--($C$12:$C25&lt;&gt;TRUE())),SUMPRODUCT(--(LEN(TRIM($B$12:$B25))&gt;0),--(L$12:L25=TRUE())))&lt;=MOD(L$46,MAX(1,L$48)),1,0),0)</f>
        <v>0</v>
      </c>
      <c r="N65" s="14" t="n">
        <f aca="false">IF(AND(N$47,N$48&gt;0,LEN(TRIM($B25))&gt;0,N25=TRUE(),IF(N$50,$C25&lt;&gt;TRUE(),TRUE())),QUOTIENT(N$46,MAX(1,N$48))+IF(IF(N$50,SUMPRODUCT(--(LEN(TRIM($B$12:$B25))&gt;0),--(N$12:N25=TRUE()),--($C$12:$C25&lt;&gt;TRUE())),SUMPRODUCT(--(LEN(TRIM($B$12:$B25))&gt;0),--(N$12:N25=TRUE())))&lt;=MOD(N$46,MAX(1,N$48)),1,0),0)</f>
        <v>0</v>
      </c>
      <c r="P65" s="14" t="n">
        <f aca="false">IF(AND(P$47,P$48&gt;0,LEN(TRIM($B25))&gt;0,P25=TRUE(),IF(P$50,$C25&lt;&gt;TRUE(),TRUE())),QUOTIENT(P$46,MAX(1,P$48))+IF(IF(P$50,SUMPRODUCT(--(LEN(TRIM($B$12:$B25))&gt;0),--(P$12:P25=TRUE()),--($C$12:$C25&lt;&gt;TRUE())),SUMPRODUCT(--(LEN(TRIM($B$12:$B25))&gt;0),--(P$12:P25=TRUE())))&lt;=MOD(P$46,MAX(1,P$48)),1,0),0)</f>
        <v>0</v>
      </c>
    </row>
    <row r="66" customFormat="false" ht="15" hidden="true" customHeight="false" outlineLevel="0" collapsed="false">
      <c r="A66" s="13" t="s">
        <v>32</v>
      </c>
      <c r="D66" s="14" t="n">
        <f aca="false">IF(AND(D$47,D$48&gt;0,LEN(TRIM($B26))&gt;0,D26=TRUE(),IF(D$50,$C26&lt;&gt;TRUE(),TRUE())),QUOTIENT(D$46,MAX(1,D$48))+IF(IF(D$50,SUMPRODUCT(--(LEN(TRIM($B$12:$B26))&gt;0),--(D$12:D26=TRUE()),--($C$12:$C26&lt;&gt;TRUE())),SUMPRODUCT(--(LEN(TRIM($B$12:$B26))&gt;0),--(D$12:D26=TRUE())))&lt;=MOD(D$46,MAX(1,D$48)),1,0),0)</f>
        <v>0</v>
      </c>
      <c r="F66" s="14" t="n">
        <f aca="false">IF(AND(F$47,F$48&gt;0,LEN(TRIM($B26))&gt;0,F26=TRUE(),IF(F$50,$C26&lt;&gt;TRUE(),TRUE())),QUOTIENT(F$46,MAX(1,F$48))+IF(IF(F$50,SUMPRODUCT(--(LEN(TRIM($B$12:$B26))&gt;0),--(F$12:F26=TRUE()),--($C$12:$C26&lt;&gt;TRUE())),SUMPRODUCT(--(LEN(TRIM($B$12:$B26))&gt;0),--(F$12:F26=TRUE())))&lt;=MOD(F$46,MAX(1,F$48)),1,0),0)</f>
        <v>0</v>
      </c>
      <c r="H66" s="14" t="n">
        <f aca="false">IF(AND(H$47,H$48&gt;0,LEN(TRIM($B26))&gt;0,H26=TRUE(),IF(H$50,$C26&lt;&gt;TRUE(),TRUE())),QUOTIENT(H$46,MAX(1,H$48))+IF(IF(H$50,SUMPRODUCT(--(LEN(TRIM($B$12:$B26))&gt;0),--(H$12:H26=TRUE()),--($C$12:$C26&lt;&gt;TRUE())),SUMPRODUCT(--(LEN(TRIM($B$12:$B26))&gt;0),--(H$12:H26=TRUE())))&lt;=MOD(H$46,MAX(1,H$48)),1,0),0)</f>
        <v>0</v>
      </c>
      <c r="J66" s="14" t="n">
        <f aca="false">IF(AND(J$47,J$48&gt;0,LEN(TRIM($B26))&gt;0,J26=TRUE(),IF(J$50,$C26&lt;&gt;TRUE(),TRUE())),QUOTIENT(J$46,MAX(1,J$48))+IF(IF(J$50,SUMPRODUCT(--(LEN(TRIM($B$12:$B26))&gt;0),--(J$12:J26=TRUE()),--($C$12:$C26&lt;&gt;TRUE())),SUMPRODUCT(--(LEN(TRIM($B$12:$B26))&gt;0),--(J$12:J26=TRUE())))&lt;=MOD(J$46,MAX(1,J$48)),1,0),0)</f>
        <v>0</v>
      </c>
      <c r="L66" s="14" t="n">
        <f aca="false">IF(AND(L$47,L$48&gt;0,LEN(TRIM($B26))&gt;0,L26=TRUE(),IF(L$50,$C26&lt;&gt;TRUE(),TRUE())),QUOTIENT(L$46,MAX(1,L$48))+IF(IF(L$50,SUMPRODUCT(--(LEN(TRIM($B$12:$B26))&gt;0),--(L$12:L26=TRUE()),--($C$12:$C26&lt;&gt;TRUE())),SUMPRODUCT(--(LEN(TRIM($B$12:$B26))&gt;0),--(L$12:L26=TRUE())))&lt;=MOD(L$46,MAX(1,L$48)),1,0),0)</f>
        <v>0</v>
      </c>
      <c r="N66" s="14" t="n">
        <f aca="false">IF(AND(N$47,N$48&gt;0,LEN(TRIM($B26))&gt;0,N26=TRUE(),IF(N$50,$C26&lt;&gt;TRUE(),TRUE())),QUOTIENT(N$46,MAX(1,N$48))+IF(IF(N$50,SUMPRODUCT(--(LEN(TRIM($B$12:$B26))&gt;0),--(N$12:N26=TRUE()),--($C$12:$C26&lt;&gt;TRUE())),SUMPRODUCT(--(LEN(TRIM($B$12:$B26))&gt;0),--(N$12:N26=TRUE())))&lt;=MOD(N$46,MAX(1,N$48)),1,0),0)</f>
        <v>0</v>
      </c>
      <c r="P66" s="14" t="n">
        <f aca="false">IF(AND(P$47,P$48&gt;0,LEN(TRIM($B26))&gt;0,P26=TRUE(),IF(P$50,$C26&lt;&gt;TRUE(),TRUE())),QUOTIENT(P$46,MAX(1,P$48))+IF(IF(P$50,SUMPRODUCT(--(LEN(TRIM($B$12:$B26))&gt;0),--(P$12:P26=TRUE()),--($C$12:$C26&lt;&gt;TRUE())),SUMPRODUCT(--(LEN(TRIM($B$12:$B26))&gt;0),--(P$12:P26=TRUE())))&lt;=MOD(P$46,MAX(1,P$48)),1,0),0)</f>
        <v>0</v>
      </c>
    </row>
    <row r="67" customFormat="false" ht="15" hidden="true" customHeight="false" outlineLevel="0" collapsed="false">
      <c r="A67" s="13" t="s">
        <v>33</v>
      </c>
      <c r="D67" s="14" t="n">
        <f aca="false">IF(AND(D$47,D$48&gt;0,LEN(TRIM($B27))&gt;0,D27=TRUE(),IF(D$50,$C27&lt;&gt;TRUE(),TRUE())),QUOTIENT(D$46,MAX(1,D$48))+IF(IF(D$50,SUMPRODUCT(--(LEN(TRIM($B$12:$B27))&gt;0),--(D$12:D27=TRUE()),--($C$12:$C27&lt;&gt;TRUE())),SUMPRODUCT(--(LEN(TRIM($B$12:$B27))&gt;0),--(D$12:D27=TRUE())))&lt;=MOD(D$46,MAX(1,D$48)),1,0),0)</f>
        <v>0</v>
      </c>
      <c r="F67" s="14" t="n">
        <f aca="false">IF(AND(F$47,F$48&gt;0,LEN(TRIM($B27))&gt;0,F27=TRUE(),IF(F$50,$C27&lt;&gt;TRUE(),TRUE())),QUOTIENT(F$46,MAX(1,F$48))+IF(IF(F$50,SUMPRODUCT(--(LEN(TRIM($B$12:$B27))&gt;0),--(F$12:F27=TRUE()),--($C$12:$C27&lt;&gt;TRUE())),SUMPRODUCT(--(LEN(TRIM($B$12:$B27))&gt;0),--(F$12:F27=TRUE())))&lt;=MOD(F$46,MAX(1,F$48)),1,0),0)</f>
        <v>0</v>
      </c>
      <c r="H67" s="14" t="n">
        <f aca="false">IF(AND(H$47,H$48&gt;0,LEN(TRIM($B27))&gt;0,H27=TRUE(),IF(H$50,$C27&lt;&gt;TRUE(),TRUE())),QUOTIENT(H$46,MAX(1,H$48))+IF(IF(H$50,SUMPRODUCT(--(LEN(TRIM($B$12:$B27))&gt;0),--(H$12:H27=TRUE()),--($C$12:$C27&lt;&gt;TRUE())),SUMPRODUCT(--(LEN(TRIM($B$12:$B27))&gt;0),--(H$12:H27=TRUE())))&lt;=MOD(H$46,MAX(1,H$48)),1,0),0)</f>
        <v>0</v>
      </c>
      <c r="J67" s="14" t="n">
        <f aca="false">IF(AND(J$47,J$48&gt;0,LEN(TRIM($B27))&gt;0,J27=TRUE(),IF(J$50,$C27&lt;&gt;TRUE(),TRUE())),QUOTIENT(J$46,MAX(1,J$48))+IF(IF(J$50,SUMPRODUCT(--(LEN(TRIM($B$12:$B27))&gt;0),--(J$12:J27=TRUE()),--($C$12:$C27&lt;&gt;TRUE())),SUMPRODUCT(--(LEN(TRIM($B$12:$B27))&gt;0),--(J$12:J27=TRUE())))&lt;=MOD(J$46,MAX(1,J$48)),1,0),0)</f>
        <v>0</v>
      </c>
      <c r="L67" s="14" t="n">
        <f aca="false">IF(AND(L$47,L$48&gt;0,LEN(TRIM($B27))&gt;0,L27=TRUE(),IF(L$50,$C27&lt;&gt;TRUE(),TRUE())),QUOTIENT(L$46,MAX(1,L$48))+IF(IF(L$50,SUMPRODUCT(--(LEN(TRIM($B$12:$B27))&gt;0),--(L$12:L27=TRUE()),--($C$12:$C27&lt;&gt;TRUE())),SUMPRODUCT(--(LEN(TRIM($B$12:$B27))&gt;0),--(L$12:L27=TRUE())))&lt;=MOD(L$46,MAX(1,L$48)),1,0),0)</f>
        <v>0</v>
      </c>
      <c r="N67" s="14" t="n">
        <f aca="false">IF(AND(N$47,N$48&gt;0,LEN(TRIM($B27))&gt;0,N27=TRUE(),IF(N$50,$C27&lt;&gt;TRUE(),TRUE())),QUOTIENT(N$46,MAX(1,N$48))+IF(IF(N$50,SUMPRODUCT(--(LEN(TRIM($B$12:$B27))&gt;0),--(N$12:N27=TRUE()),--($C$12:$C27&lt;&gt;TRUE())),SUMPRODUCT(--(LEN(TRIM($B$12:$B27))&gt;0),--(N$12:N27=TRUE())))&lt;=MOD(N$46,MAX(1,N$48)),1,0),0)</f>
        <v>0</v>
      </c>
      <c r="P67" s="14" t="n">
        <f aca="false">IF(AND(P$47,P$48&gt;0,LEN(TRIM($B27))&gt;0,P27=TRUE(),IF(P$50,$C27&lt;&gt;TRUE(),TRUE())),QUOTIENT(P$46,MAX(1,P$48))+IF(IF(P$50,SUMPRODUCT(--(LEN(TRIM($B$12:$B27))&gt;0),--(P$12:P27=TRUE()),--($C$12:$C27&lt;&gt;TRUE())),SUMPRODUCT(--(LEN(TRIM($B$12:$B27))&gt;0),--(P$12:P27=TRUE())))&lt;=MOD(P$46,MAX(1,P$48)),1,0),0)</f>
        <v>0</v>
      </c>
    </row>
    <row r="68" customFormat="false" ht="15" hidden="true" customHeight="false" outlineLevel="0" collapsed="false">
      <c r="A68" s="13" t="s">
        <v>34</v>
      </c>
      <c r="D68" s="14" t="n">
        <f aca="false">IF(AND(D$47,D$48&gt;0,LEN(TRIM($B28))&gt;0,D28=TRUE(),IF(D$50,$C28&lt;&gt;TRUE(),TRUE())),QUOTIENT(D$46,MAX(1,D$48))+IF(IF(D$50,SUMPRODUCT(--(LEN(TRIM($B$12:$B28))&gt;0),--(D$12:D28=TRUE()),--($C$12:$C28&lt;&gt;TRUE())),SUMPRODUCT(--(LEN(TRIM($B$12:$B28))&gt;0),--(D$12:D28=TRUE())))&lt;=MOD(D$46,MAX(1,D$48)),1,0),0)</f>
        <v>0</v>
      </c>
      <c r="F68" s="14" t="n">
        <f aca="false">IF(AND(F$47,F$48&gt;0,LEN(TRIM($B28))&gt;0,F28=TRUE(),IF(F$50,$C28&lt;&gt;TRUE(),TRUE())),QUOTIENT(F$46,MAX(1,F$48))+IF(IF(F$50,SUMPRODUCT(--(LEN(TRIM($B$12:$B28))&gt;0),--(F$12:F28=TRUE()),--($C$12:$C28&lt;&gt;TRUE())),SUMPRODUCT(--(LEN(TRIM($B$12:$B28))&gt;0),--(F$12:F28=TRUE())))&lt;=MOD(F$46,MAX(1,F$48)),1,0),0)</f>
        <v>0</v>
      </c>
      <c r="H68" s="14" t="n">
        <f aca="false">IF(AND(H$47,H$48&gt;0,LEN(TRIM($B28))&gt;0,H28=TRUE(),IF(H$50,$C28&lt;&gt;TRUE(),TRUE())),QUOTIENT(H$46,MAX(1,H$48))+IF(IF(H$50,SUMPRODUCT(--(LEN(TRIM($B$12:$B28))&gt;0),--(H$12:H28=TRUE()),--($C$12:$C28&lt;&gt;TRUE())),SUMPRODUCT(--(LEN(TRIM($B$12:$B28))&gt;0),--(H$12:H28=TRUE())))&lt;=MOD(H$46,MAX(1,H$48)),1,0),0)</f>
        <v>0</v>
      </c>
      <c r="J68" s="14" t="n">
        <f aca="false">IF(AND(J$47,J$48&gt;0,LEN(TRIM($B28))&gt;0,J28=TRUE(),IF(J$50,$C28&lt;&gt;TRUE(),TRUE())),QUOTIENT(J$46,MAX(1,J$48))+IF(IF(J$50,SUMPRODUCT(--(LEN(TRIM($B$12:$B28))&gt;0),--(J$12:J28=TRUE()),--($C$12:$C28&lt;&gt;TRUE())),SUMPRODUCT(--(LEN(TRIM($B$12:$B28))&gt;0),--(J$12:J28=TRUE())))&lt;=MOD(J$46,MAX(1,J$48)),1,0),0)</f>
        <v>0</v>
      </c>
      <c r="L68" s="14" t="n">
        <f aca="false">IF(AND(L$47,L$48&gt;0,LEN(TRIM($B28))&gt;0,L28=TRUE(),IF(L$50,$C28&lt;&gt;TRUE(),TRUE())),QUOTIENT(L$46,MAX(1,L$48))+IF(IF(L$50,SUMPRODUCT(--(LEN(TRIM($B$12:$B28))&gt;0),--(L$12:L28=TRUE()),--($C$12:$C28&lt;&gt;TRUE())),SUMPRODUCT(--(LEN(TRIM($B$12:$B28))&gt;0),--(L$12:L28=TRUE())))&lt;=MOD(L$46,MAX(1,L$48)),1,0),0)</f>
        <v>0</v>
      </c>
      <c r="N68" s="14" t="n">
        <f aca="false">IF(AND(N$47,N$48&gt;0,LEN(TRIM($B28))&gt;0,N28=TRUE(),IF(N$50,$C28&lt;&gt;TRUE(),TRUE())),QUOTIENT(N$46,MAX(1,N$48))+IF(IF(N$50,SUMPRODUCT(--(LEN(TRIM($B$12:$B28))&gt;0),--(N$12:N28=TRUE()),--($C$12:$C28&lt;&gt;TRUE())),SUMPRODUCT(--(LEN(TRIM($B$12:$B28))&gt;0),--(N$12:N28=TRUE())))&lt;=MOD(N$46,MAX(1,N$48)),1,0),0)</f>
        <v>0</v>
      </c>
      <c r="P68" s="14" t="n">
        <f aca="false">IF(AND(P$47,P$48&gt;0,LEN(TRIM($B28))&gt;0,P28=TRUE(),IF(P$50,$C28&lt;&gt;TRUE(),TRUE())),QUOTIENT(P$46,MAX(1,P$48))+IF(IF(P$50,SUMPRODUCT(--(LEN(TRIM($B$12:$B28))&gt;0),--(P$12:P28=TRUE()),--($C$12:$C28&lt;&gt;TRUE())),SUMPRODUCT(--(LEN(TRIM($B$12:$B28))&gt;0),--(P$12:P28=TRUE())))&lt;=MOD(P$46,MAX(1,P$48)),1,0),0)</f>
        <v>0</v>
      </c>
    </row>
    <row r="69" customFormat="false" ht="15" hidden="true" customHeight="false" outlineLevel="0" collapsed="false">
      <c r="A69" s="13" t="s">
        <v>35</v>
      </c>
      <c r="D69" s="14" t="n">
        <f aca="false">IF(AND(D$47,D$48&gt;0,LEN(TRIM($B29))&gt;0,D29=TRUE(),IF(D$50,$C29&lt;&gt;TRUE(),TRUE())),QUOTIENT(D$46,MAX(1,D$48))+IF(IF(D$50,SUMPRODUCT(--(LEN(TRIM($B$12:$B29))&gt;0),--(D$12:D29=TRUE()),--($C$12:$C29&lt;&gt;TRUE())),SUMPRODUCT(--(LEN(TRIM($B$12:$B29))&gt;0),--(D$12:D29=TRUE())))&lt;=MOD(D$46,MAX(1,D$48)),1,0),0)</f>
        <v>0</v>
      </c>
      <c r="F69" s="14" t="n">
        <f aca="false">IF(AND(F$47,F$48&gt;0,LEN(TRIM($B29))&gt;0,F29=TRUE(),IF(F$50,$C29&lt;&gt;TRUE(),TRUE())),QUOTIENT(F$46,MAX(1,F$48))+IF(IF(F$50,SUMPRODUCT(--(LEN(TRIM($B$12:$B29))&gt;0),--(F$12:F29=TRUE()),--($C$12:$C29&lt;&gt;TRUE())),SUMPRODUCT(--(LEN(TRIM($B$12:$B29))&gt;0),--(F$12:F29=TRUE())))&lt;=MOD(F$46,MAX(1,F$48)),1,0),0)</f>
        <v>0</v>
      </c>
      <c r="H69" s="14" t="n">
        <f aca="false">IF(AND(H$47,H$48&gt;0,LEN(TRIM($B29))&gt;0,H29=TRUE(),IF(H$50,$C29&lt;&gt;TRUE(),TRUE())),QUOTIENT(H$46,MAX(1,H$48))+IF(IF(H$50,SUMPRODUCT(--(LEN(TRIM($B$12:$B29))&gt;0),--(H$12:H29=TRUE()),--($C$12:$C29&lt;&gt;TRUE())),SUMPRODUCT(--(LEN(TRIM($B$12:$B29))&gt;0),--(H$12:H29=TRUE())))&lt;=MOD(H$46,MAX(1,H$48)),1,0),0)</f>
        <v>0</v>
      </c>
      <c r="J69" s="14" t="n">
        <f aca="false">IF(AND(J$47,J$48&gt;0,LEN(TRIM($B29))&gt;0,J29=TRUE(),IF(J$50,$C29&lt;&gt;TRUE(),TRUE())),QUOTIENT(J$46,MAX(1,J$48))+IF(IF(J$50,SUMPRODUCT(--(LEN(TRIM($B$12:$B29))&gt;0),--(J$12:J29=TRUE()),--($C$12:$C29&lt;&gt;TRUE())),SUMPRODUCT(--(LEN(TRIM($B$12:$B29))&gt;0),--(J$12:J29=TRUE())))&lt;=MOD(J$46,MAX(1,J$48)),1,0),0)</f>
        <v>0</v>
      </c>
      <c r="L69" s="14" t="n">
        <f aca="false">IF(AND(L$47,L$48&gt;0,LEN(TRIM($B29))&gt;0,L29=TRUE(),IF(L$50,$C29&lt;&gt;TRUE(),TRUE())),QUOTIENT(L$46,MAX(1,L$48))+IF(IF(L$50,SUMPRODUCT(--(LEN(TRIM($B$12:$B29))&gt;0),--(L$12:L29=TRUE()),--($C$12:$C29&lt;&gt;TRUE())),SUMPRODUCT(--(LEN(TRIM($B$12:$B29))&gt;0),--(L$12:L29=TRUE())))&lt;=MOD(L$46,MAX(1,L$48)),1,0),0)</f>
        <v>0</v>
      </c>
      <c r="N69" s="14" t="n">
        <f aca="false">IF(AND(N$47,N$48&gt;0,LEN(TRIM($B29))&gt;0,N29=TRUE(),IF(N$50,$C29&lt;&gt;TRUE(),TRUE())),QUOTIENT(N$46,MAX(1,N$48))+IF(IF(N$50,SUMPRODUCT(--(LEN(TRIM($B$12:$B29))&gt;0),--(N$12:N29=TRUE()),--($C$12:$C29&lt;&gt;TRUE())),SUMPRODUCT(--(LEN(TRIM($B$12:$B29))&gt;0),--(N$12:N29=TRUE())))&lt;=MOD(N$46,MAX(1,N$48)),1,0),0)</f>
        <v>0</v>
      </c>
      <c r="P69" s="14" t="n">
        <f aca="false">IF(AND(P$47,P$48&gt;0,LEN(TRIM($B29))&gt;0,P29=TRUE(),IF(P$50,$C29&lt;&gt;TRUE(),TRUE())),QUOTIENT(P$46,MAX(1,P$48))+IF(IF(P$50,SUMPRODUCT(--(LEN(TRIM($B$12:$B29))&gt;0),--(P$12:P29=TRUE()),--($C$12:$C29&lt;&gt;TRUE())),SUMPRODUCT(--(LEN(TRIM($B$12:$B29))&gt;0),--(P$12:P29=TRUE())))&lt;=MOD(P$46,MAX(1,P$48)),1,0),0)</f>
        <v>0</v>
      </c>
    </row>
    <row r="70" customFormat="false" ht="15" hidden="true" customHeight="false" outlineLevel="0" collapsed="false">
      <c r="A70" s="13" t="s">
        <v>36</v>
      </c>
      <c r="D70" s="14" t="n">
        <f aca="false">IF(AND(D$47,D$48&gt;0,LEN(TRIM($B30))&gt;0,D30=TRUE(),IF(D$50,$C30&lt;&gt;TRUE(),TRUE())),QUOTIENT(D$46,MAX(1,D$48))+IF(IF(D$50,SUMPRODUCT(--(LEN(TRIM($B$12:$B30))&gt;0),--(D$12:D30=TRUE()),--($C$12:$C30&lt;&gt;TRUE())),SUMPRODUCT(--(LEN(TRIM($B$12:$B30))&gt;0),--(D$12:D30=TRUE())))&lt;=MOD(D$46,MAX(1,D$48)),1,0),0)</f>
        <v>0</v>
      </c>
      <c r="F70" s="14" t="n">
        <f aca="false">IF(AND(F$47,F$48&gt;0,LEN(TRIM($B30))&gt;0,F30=TRUE(),IF(F$50,$C30&lt;&gt;TRUE(),TRUE())),QUOTIENT(F$46,MAX(1,F$48))+IF(IF(F$50,SUMPRODUCT(--(LEN(TRIM($B$12:$B30))&gt;0),--(F$12:F30=TRUE()),--($C$12:$C30&lt;&gt;TRUE())),SUMPRODUCT(--(LEN(TRIM($B$12:$B30))&gt;0),--(F$12:F30=TRUE())))&lt;=MOD(F$46,MAX(1,F$48)),1,0),0)</f>
        <v>0</v>
      </c>
      <c r="H70" s="14" t="n">
        <f aca="false">IF(AND(H$47,H$48&gt;0,LEN(TRIM($B30))&gt;0,H30=TRUE(),IF(H$50,$C30&lt;&gt;TRUE(),TRUE())),QUOTIENT(H$46,MAX(1,H$48))+IF(IF(H$50,SUMPRODUCT(--(LEN(TRIM($B$12:$B30))&gt;0),--(H$12:H30=TRUE()),--($C$12:$C30&lt;&gt;TRUE())),SUMPRODUCT(--(LEN(TRIM($B$12:$B30))&gt;0),--(H$12:H30=TRUE())))&lt;=MOD(H$46,MAX(1,H$48)),1,0),0)</f>
        <v>0</v>
      </c>
      <c r="J70" s="14" t="n">
        <f aca="false">IF(AND(J$47,J$48&gt;0,LEN(TRIM($B30))&gt;0,J30=TRUE(),IF(J$50,$C30&lt;&gt;TRUE(),TRUE())),QUOTIENT(J$46,MAX(1,J$48))+IF(IF(J$50,SUMPRODUCT(--(LEN(TRIM($B$12:$B30))&gt;0),--(J$12:J30=TRUE()),--($C$12:$C30&lt;&gt;TRUE())),SUMPRODUCT(--(LEN(TRIM($B$12:$B30))&gt;0),--(J$12:J30=TRUE())))&lt;=MOD(J$46,MAX(1,J$48)),1,0),0)</f>
        <v>0</v>
      </c>
      <c r="L70" s="14" t="n">
        <f aca="false">IF(AND(L$47,L$48&gt;0,LEN(TRIM($B30))&gt;0,L30=TRUE(),IF(L$50,$C30&lt;&gt;TRUE(),TRUE())),QUOTIENT(L$46,MAX(1,L$48))+IF(IF(L$50,SUMPRODUCT(--(LEN(TRIM($B$12:$B30))&gt;0),--(L$12:L30=TRUE()),--($C$12:$C30&lt;&gt;TRUE())),SUMPRODUCT(--(LEN(TRIM($B$12:$B30))&gt;0),--(L$12:L30=TRUE())))&lt;=MOD(L$46,MAX(1,L$48)),1,0),0)</f>
        <v>0</v>
      </c>
      <c r="N70" s="14" t="n">
        <f aca="false">IF(AND(N$47,N$48&gt;0,LEN(TRIM($B30))&gt;0,N30=TRUE(),IF(N$50,$C30&lt;&gt;TRUE(),TRUE())),QUOTIENT(N$46,MAX(1,N$48))+IF(IF(N$50,SUMPRODUCT(--(LEN(TRIM($B$12:$B30))&gt;0),--(N$12:N30=TRUE()),--($C$12:$C30&lt;&gt;TRUE())),SUMPRODUCT(--(LEN(TRIM($B$12:$B30))&gt;0),--(N$12:N30=TRUE())))&lt;=MOD(N$46,MAX(1,N$48)),1,0),0)</f>
        <v>0</v>
      </c>
      <c r="P70" s="14" t="n">
        <f aca="false">IF(AND(P$47,P$48&gt;0,LEN(TRIM($B30))&gt;0,P30=TRUE(),IF(P$50,$C30&lt;&gt;TRUE(),TRUE())),QUOTIENT(P$46,MAX(1,P$48))+IF(IF(P$50,SUMPRODUCT(--(LEN(TRIM($B$12:$B30))&gt;0),--(P$12:P30=TRUE()),--($C$12:$C30&lt;&gt;TRUE())),SUMPRODUCT(--(LEN(TRIM($B$12:$B30))&gt;0),--(P$12:P30=TRUE())))&lt;=MOD(P$46,MAX(1,P$48)),1,0),0)</f>
        <v>0</v>
      </c>
    </row>
    <row r="71" customFormat="false" ht="15" hidden="true" customHeight="false" outlineLevel="0" collapsed="false">
      <c r="A71" s="13" t="s">
        <v>37</v>
      </c>
      <c r="D71" s="14" t="n">
        <f aca="false">IF(AND(D$47,D$48&gt;0,LEN(TRIM($B31))&gt;0,D31=TRUE(),IF(D$50,$C31&lt;&gt;TRUE(),TRUE())),QUOTIENT(D$46,MAX(1,D$48))+IF(IF(D$50,SUMPRODUCT(--(LEN(TRIM($B$12:$B31))&gt;0),--(D$12:D31=TRUE()),--($C$12:$C31&lt;&gt;TRUE())),SUMPRODUCT(--(LEN(TRIM($B$12:$B31))&gt;0),--(D$12:D31=TRUE())))&lt;=MOD(D$46,MAX(1,D$48)),1,0),0)</f>
        <v>0</v>
      </c>
      <c r="F71" s="14" t="n">
        <f aca="false">IF(AND(F$47,F$48&gt;0,LEN(TRIM($B31))&gt;0,F31=TRUE(),IF(F$50,$C31&lt;&gt;TRUE(),TRUE())),QUOTIENT(F$46,MAX(1,F$48))+IF(IF(F$50,SUMPRODUCT(--(LEN(TRIM($B$12:$B31))&gt;0),--(F$12:F31=TRUE()),--($C$12:$C31&lt;&gt;TRUE())),SUMPRODUCT(--(LEN(TRIM($B$12:$B31))&gt;0),--(F$12:F31=TRUE())))&lt;=MOD(F$46,MAX(1,F$48)),1,0),0)</f>
        <v>0</v>
      </c>
      <c r="H71" s="14" t="n">
        <f aca="false">IF(AND(H$47,H$48&gt;0,LEN(TRIM($B31))&gt;0,H31=TRUE(),IF(H$50,$C31&lt;&gt;TRUE(),TRUE())),QUOTIENT(H$46,MAX(1,H$48))+IF(IF(H$50,SUMPRODUCT(--(LEN(TRIM($B$12:$B31))&gt;0),--(H$12:H31=TRUE()),--($C$12:$C31&lt;&gt;TRUE())),SUMPRODUCT(--(LEN(TRIM($B$12:$B31))&gt;0),--(H$12:H31=TRUE())))&lt;=MOD(H$46,MAX(1,H$48)),1,0),0)</f>
        <v>0</v>
      </c>
      <c r="J71" s="14" t="n">
        <f aca="false">IF(AND(J$47,J$48&gt;0,LEN(TRIM($B31))&gt;0,J31=TRUE(),IF(J$50,$C31&lt;&gt;TRUE(),TRUE())),QUOTIENT(J$46,MAX(1,J$48))+IF(IF(J$50,SUMPRODUCT(--(LEN(TRIM($B$12:$B31))&gt;0),--(J$12:J31=TRUE()),--($C$12:$C31&lt;&gt;TRUE())),SUMPRODUCT(--(LEN(TRIM($B$12:$B31))&gt;0),--(J$12:J31=TRUE())))&lt;=MOD(J$46,MAX(1,J$48)),1,0),0)</f>
        <v>0</v>
      </c>
      <c r="L71" s="14" t="n">
        <f aca="false">IF(AND(L$47,L$48&gt;0,LEN(TRIM($B31))&gt;0,L31=TRUE(),IF(L$50,$C31&lt;&gt;TRUE(),TRUE())),QUOTIENT(L$46,MAX(1,L$48))+IF(IF(L$50,SUMPRODUCT(--(LEN(TRIM($B$12:$B31))&gt;0),--(L$12:L31=TRUE()),--($C$12:$C31&lt;&gt;TRUE())),SUMPRODUCT(--(LEN(TRIM($B$12:$B31))&gt;0),--(L$12:L31=TRUE())))&lt;=MOD(L$46,MAX(1,L$48)),1,0),0)</f>
        <v>0</v>
      </c>
      <c r="N71" s="14" t="n">
        <f aca="false">IF(AND(N$47,N$48&gt;0,LEN(TRIM($B31))&gt;0,N31=TRUE(),IF(N$50,$C31&lt;&gt;TRUE(),TRUE())),QUOTIENT(N$46,MAX(1,N$48))+IF(IF(N$50,SUMPRODUCT(--(LEN(TRIM($B$12:$B31))&gt;0),--(N$12:N31=TRUE()),--($C$12:$C31&lt;&gt;TRUE())),SUMPRODUCT(--(LEN(TRIM($B$12:$B31))&gt;0),--(N$12:N31=TRUE())))&lt;=MOD(N$46,MAX(1,N$48)),1,0),0)</f>
        <v>0</v>
      </c>
      <c r="P71" s="14" t="n">
        <f aca="false">IF(AND(P$47,P$48&gt;0,LEN(TRIM($B31))&gt;0,P31=TRUE(),IF(P$50,$C31&lt;&gt;TRUE(),TRUE())),QUOTIENT(P$46,MAX(1,P$48))+IF(IF(P$50,SUMPRODUCT(--(LEN(TRIM($B$12:$B31))&gt;0),--(P$12:P31=TRUE()),--($C$12:$C31&lt;&gt;TRUE())),SUMPRODUCT(--(LEN(TRIM($B$12:$B31))&gt;0),--(P$12:P31=TRUE())))&lt;=MOD(P$46,MAX(1,P$48)),1,0),0)</f>
        <v>0</v>
      </c>
    </row>
    <row r="72" customFormat="false" ht="15" hidden="true" customHeight="false" outlineLevel="0" collapsed="false">
      <c r="A72" s="13" t="s">
        <v>38</v>
      </c>
      <c r="D72" s="14" t="n">
        <f aca="false">IF(AND(D$47,D$48&gt;0,LEN(TRIM($B32))&gt;0,D32=TRUE(),IF(D$50,$C32&lt;&gt;TRUE(),TRUE())),QUOTIENT(D$46,MAX(1,D$48))+IF(IF(D$50,SUMPRODUCT(--(LEN(TRIM($B$12:$B32))&gt;0),--(D$12:D32=TRUE()),--($C$12:$C32&lt;&gt;TRUE())),SUMPRODUCT(--(LEN(TRIM($B$12:$B32))&gt;0),--(D$12:D32=TRUE())))&lt;=MOD(D$46,MAX(1,D$48)),1,0),0)</f>
        <v>0</v>
      </c>
      <c r="F72" s="14" t="n">
        <f aca="false">IF(AND(F$47,F$48&gt;0,LEN(TRIM($B32))&gt;0,F32=TRUE(),IF(F$50,$C32&lt;&gt;TRUE(),TRUE())),QUOTIENT(F$46,MAX(1,F$48))+IF(IF(F$50,SUMPRODUCT(--(LEN(TRIM($B$12:$B32))&gt;0),--(F$12:F32=TRUE()),--($C$12:$C32&lt;&gt;TRUE())),SUMPRODUCT(--(LEN(TRIM($B$12:$B32))&gt;0),--(F$12:F32=TRUE())))&lt;=MOD(F$46,MAX(1,F$48)),1,0),0)</f>
        <v>0</v>
      </c>
      <c r="H72" s="14" t="n">
        <f aca="false">IF(AND(H$47,H$48&gt;0,LEN(TRIM($B32))&gt;0,H32=TRUE(),IF(H$50,$C32&lt;&gt;TRUE(),TRUE())),QUOTIENT(H$46,MAX(1,H$48))+IF(IF(H$50,SUMPRODUCT(--(LEN(TRIM($B$12:$B32))&gt;0),--(H$12:H32=TRUE()),--($C$12:$C32&lt;&gt;TRUE())),SUMPRODUCT(--(LEN(TRIM($B$12:$B32))&gt;0),--(H$12:H32=TRUE())))&lt;=MOD(H$46,MAX(1,H$48)),1,0),0)</f>
        <v>0</v>
      </c>
      <c r="J72" s="14" t="n">
        <f aca="false">IF(AND(J$47,J$48&gt;0,LEN(TRIM($B32))&gt;0,J32=TRUE(),IF(J$50,$C32&lt;&gt;TRUE(),TRUE())),QUOTIENT(J$46,MAX(1,J$48))+IF(IF(J$50,SUMPRODUCT(--(LEN(TRIM($B$12:$B32))&gt;0),--(J$12:J32=TRUE()),--($C$12:$C32&lt;&gt;TRUE())),SUMPRODUCT(--(LEN(TRIM($B$12:$B32))&gt;0),--(J$12:J32=TRUE())))&lt;=MOD(J$46,MAX(1,J$48)),1,0),0)</f>
        <v>0</v>
      </c>
      <c r="L72" s="14" t="n">
        <f aca="false">IF(AND(L$47,L$48&gt;0,LEN(TRIM($B32))&gt;0,L32=TRUE(),IF(L$50,$C32&lt;&gt;TRUE(),TRUE())),QUOTIENT(L$46,MAX(1,L$48))+IF(IF(L$50,SUMPRODUCT(--(LEN(TRIM($B$12:$B32))&gt;0),--(L$12:L32=TRUE()),--($C$12:$C32&lt;&gt;TRUE())),SUMPRODUCT(--(LEN(TRIM($B$12:$B32))&gt;0),--(L$12:L32=TRUE())))&lt;=MOD(L$46,MAX(1,L$48)),1,0),0)</f>
        <v>0</v>
      </c>
      <c r="N72" s="14" t="n">
        <f aca="false">IF(AND(N$47,N$48&gt;0,LEN(TRIM($B32))&gt;0,N32=TRUE(),IF(N$50,$C32&lt;&gt;TRUE(),TRUE())),QUOTIENT(N$46,MAX(1,N$48))+IF(IF(N$50,SUMPRODUCT(--(LEN(TRIM($B$12:$B32))&gt;0),--(N$12:N32=TRUE()),--($C$12:$C32&lt;&gt;TRUE())),SUMPRODUCT(--(LEN(TRIM($B$12:$B32))&gt;0),--(N$12:N32=TRUE())))&lt;=MOD(N$46,MAX(1,N$48)),1,0),0)</f>
        <v>0</v>
      </c>
      <c r="P72" s="14" t="n">
        <f aca="false">IF(AND(P$47,P$48&gt;0,LEN(TRIM($B32))&gt;0,P32=TRUE(),IF(P$50,$C32&lt;&gt;TRUE(),TRUE())),QUOTIENT(P$46,MAX(1,P$48))+IF(IF(P$50,SUMPRODUCT(--(LEN(TRIM($B$12:$B32))&gt;0),--(P$12:P32=TRUE()),--($C$12:$C32&lt;&gt;TRUE())),SUMPRODUCT(--(LEN(TRIM($B$12:$B32))&gt;0),--(P$12:P32=TRUE())))&lt;=MOD(P$46,MAX(1,P$48)),1,0),0)</f>
        <v>0</v>
      </c>
    </row>
    <row r="73" customFormat="false" ht="15" hidden="true" customHeight="false" outlineLevel="0" collapsed="false">
      <c r="A73" s="13" t="s">
        <v>39</v>
      </c>
      <c r="D73" s="14" t="n">
        <f aca="false">IF(AND(D$47,D$48&gt;0,LEN(TRIM($B33))&gt;0,D33=TRUE(),IF(D$50,$C33&lt;&gt;TRUE(),TRUE())),QUOTIENT(D$46,MAX(1,D$48))+IF(IF(D$50,SUMPRODUCT(--(LEN(TRIM($B$12:$B33))&gt;0),--(D$12:D33=TRUE()),--($C$12:$C33&lt;&gt;TRUE())),SUMPRODUCT(--(LEN(TRIM($B$12:$B33))&gt;0),--(D$12:D33=TRUE())))&lt;=MOD(D$46,MAX(1,D$48)),1,0),0)</f>
        <v>0</v>
      </c>
      <c r="F73" s="14" t="n">
        <f aca="false">IF(AND(F$47,F$48&gt;0,LEN(TRIM($B33))&gt;0,F33=TRUE(),IF(F$50,$C33&lt;&gt;TRUE(),TRUE())),QUOTIENT(F$46,MAX(1,F$48))+IF(IF(F$50,SUMPRODUCT(--(LEN(TRIM($B$12:$B33))&gt;0),--(F$12:F33=TRUE()),--($C$12:$C33&lt;&gt;TRUE())),SUMPRODUCT(--(LEN(TRIM($B$12:$B33))&gt;0),--(F$12:F33=TRUE())))&lt;=MOD(F$46,MAX(1,F$48)),1,0),0)</f>
        <v>0</v>
      </c>
      <c r="H73" s="14" t="n">
        <f aca="false">IF(AND(H$47,H$48&gt;0,LEN(TRIM($B33))&gt;0,H33=TRUE(),IF(H$50,$C33&lt;&gt;TRUE(),TRUE())),QUOTIENT(H$46,MAX(1,H$48))+IF(IF(H$50,SUMPRODUCT(--(LEN(TRIM($B$12:$B33))&gt;0),--(H$12:H33=TRUE()),--($C$12:$C33&lt;&gt;TRUE())),SUMPRODUCT(--(LEN(TRIM($B$12:$B33))&gt;0),--(H$12:H33=TRUE())))&lt;=MOD(H$46,MAX(1,H$48)),1,0),0)</f>
        <v>0</v>
      </c>
      <c r="J73" s="14" t="n">
        <f aca="false">IF(AND(J$47,J$48&gt;0,LEN(TRIM($B33))&gt;0,J33=TRUE(),IF(J$50,$C33&lt;&gt;TRUE(),TRUE())),QUOTIENT(J$46,MAX(1,J$48))+IF(IF(J$50,SUMPRODUCT(--(LEN(TRIM($B$12:$B33))&gt;0),--(J$12:J33=TRUE()),--($C$12:$C33&lt;&gt;TRUE())),SUMPRODUCT(--(LEN(TRIM($B$12:$B33))&gt;0),--(J$12:J33=TRUE())))&lt;=MOD(J$46,MAX(1,J$48)),1,0),0)</f>
        <v>0</v>
      </c>
      <c r="L73" s="14" t="n">
        <f aca="false">IF(AND(L$47,L$48&gt;0,LEN(TRIM($B33))&gt;0,L33=TRUE(),IF(L$50,$C33&lt;&gt;TRUE(),TRUE())),QUOTIENT(L$46,MAX(1,L$48))+IF(IF(L$50,SUMPRODUCT(--(LEN(TRIM($B$12:$B33))&gt;0),--(L$12:L33=TRUE()),--($C$12:$C33&lt;&gt;TRUE())),SUMPRODUCT(--(LEN(TRIM($B$12:$B33))&gt;0),--(L$12:L33=TRUE())))&lt;=MOD(L$46,MAX(1,L$48)),1,0),0)</f>
        <v>0</v>
      </c>
      <c r="N73" s="14" t="n">
        <f aca="false">IF(AND(N$47,N$48&gt;0,LEN(TRIM($B33))&gt;0,N33=TRUE(),IF(N$50,$C33&lt;&gt;TRUE(),TRUE())),QUOTIENT(N$46,MAX(1,N$48))+IF(IF(N$50,SUMPRODUCT(--(LEN(TRIM($B$12:$B33))&gt;0),--(N$12:N33=TRUE()),--($C$12:$C33&lt;&gt;TRUE())),SUMPRODUCT(--(LEN(TRIM($B$12:$B33))&gt;0),--(N$12:N33=TRUE())))&lt;=MOD(N$46,MAX(1,N$48)),1,0),0)</f>
        <v>0</v>
      </c>
      <c r="P73" s="14" t="n">
        <f aca="false">IF(AND(P$47,P$48&gt;0,LEN(TRIM($B33))&gt;0,P33=TRUE(),IF(P$50,$C33&lt;&gt;TRUE(),TRUE())),QUOTIENT(P$46,MAX(1,P$48))+IF(IF(P$50,SUMPRODUCT(--(LEN(TRIM($B$12:$B33))&gt;0),--(P$12:P33=TRUE()),--($C$12:$C33&lt;&gt;TRUE())),SUMPRODUCT(--(LEN(TRIM($B$12:$B33))&gt;0),--(P$12:P33=TRUE())))&lt;=MOD(P$46,MAX(1,P$48)),1,0),0)</f>
        <v>0</v>
      </c>
    </row>
    <row r="74" customFormat="false" ht="15" hidden="true" customHeight="false" outlineLevel="0" collapsed="false">
      <c r="A74" s="13" t="s">
        <v>40</v>
      </c>
      <c r="D74" s="14" t="n">
        <f aca="false">IF(AND(D$47,D$48&gt;0,LEN(TRIM($B34))&gt;0,D34=TRUE(),IF(D$50,$C34&lt;&gt;TRUE(),TRUE())),QUOTIENT(D$46,MAX(1,D$48))+IF(IF(D$50,SUMPRODUCT(--(LEN(TRIM($B$12:$B34))&gt;0),--(D$12:D34=TRUE()),--($C$12:$C34&lt;&gt;TRUE())),SUMPRODUCT(--(LEN(TRIM($B$12:$B34))&gt;0),--(D$12:D34=TRUE())))&lt;=MOD(D$46,MAX(1,D$48)),1,0),0)</f>
        <v>0</v>
      </c>
      <c r="F74" s="14" t="n">
        <f aca="false">IF(AND(F$47,F$48&gt;0,LEN(TRIM($B34))&gt;0,F34=TRUE(),IF(F$50,$C34&lt;&gt;TRUE(),TRUE())),QUOTIENT(F$46,MAX(1,F$48))+IF(IF(F$50,SUMPRODUCT(--(LEN(TRIM($B$12:$B34))&gt;0),--(F$12:F34=TRUE()),--($C$12:$C34&lt;&gt;TRUE())),SUMPRODUCT(--(LEN(TRIM($B$12:$B34))&gt;0),--(F$12:F34=TRUE())))&lt;=MOD(F$46,MAX(1,F$48)),1,0),0)</f>
        <v>0</v>
      </c>
      <c r="H74" s="14" t="n">
        <f aca="false">IF(AND(H$47,H$48&gt;0,LEN(TRIM($B34))&gt;0,H34=TRUE(),IF(H$50,$C34&lt;&gt;TRUE(),TRUE())),QUOTIENT(H$46,MAX(1,H$48))+IF(IF(H$50,SUMPRODUCT(--(LEN(TRIM($B$12:$B34))&gt;0),--(H$12:H34=TRUE()),--($C$12:$C34&lt;&gt;TRUE())),SUMPRODUCT(--(LEN(TRIM($B$12:$B34))&gt;0),--(H$12:H34=TRUE())))&lt;=MOD(H$46,MAX(1,H$48)),1,0),0)</f>
        <v>0</v>
      </c>
      <c r="J74" s="14" t="n">
        <f aca="false">IF(AND(J$47,J$48&gt;0,LEN(TRIM($B34))&gt;0,J34=TRUE(),IF(J$50,$C34&lt;&gt;TRUE(),TRUE())),QUOTIENT(J$46,MAX(1,J$48))+IF(IF(J$50,SUMPRODUCT(--(LEN(TRIM($B$12:$B34))&gt;0),--(J$12:J34=TRUE()),--($C$12:$C34&lt;&gt;TRUE())),SUMPRODUCT(--(LEN(TRIM($B$12:$B34))&gt;0),--(J$12:J34=TRUE())))&lt;=MOD(J$46,MAX(1,J$48)),1,0),0)</f>
        <v>0</v>
      </c>
      <c r="L74" s="14" t="n">
        <f aca="false">IF(AND(L$47,L$48&gt;0,LEN(TRIM($B34))&gt;0,L34=TRUE(),IF(L$50,$C34&lt;&gt;TRUE(),TRUE())),QUOTIENT(L$46,MAX(1,L$48))+IF(IF(L$50,SUMPRODUCT(--(LEN(TRIM($B$12:$B34))&gt;0),--(L$12:L34=TRUE()),--($C$12:$C34&lt;&gt;TRUE())),SUMPRODUCT(--(LEN(TRIM($B$12:$B34))&gt;0),--(L$12:L34=TRUE())))&lt;=MOD(L$46,MAX(1,L$48)),1,0),0)</f>
        <v>0</v>
      </c>
      <c r="N74" s="14" t="n">
        <f aca="false">IF(AND(N$47,N$48&gt;0,LEN(TRIM($B34))&gt;0,N34=TRUE(),IF(N$50,$C34&lt;&gt;TRUE(),TRUE())),QUOTIENT(N$46,MAX(1,N$48))+IF(IF(N$50,SUMPRODUCT(--(LEN(TRIM($B$12:$B34))&gt;0),--(N$12:N34=TRUE()),--($C$12:$C34&lt;&gt;TRUE())),SUMPRODUCT(--(LEN(TRIM($B$12:$B34))&gt;0),--(N$12:N34=TRUE())))&lt;=MOD(N$46,MAX(1,N$48)),1,0),0)</f>
        <v>0</v>
      </c>
      <c r="P74" s="14" t="n">
        <f aca="false">IF(AND(P$47,P$48&gt;0,LEN(TRIM($B34))&gt;0,P34=TRUE(),IF(P$50,$C34&lt;&gt;TRUE(),TRUE())),QUOTIENT(P$46,MAX(1,P$48))+IF(IF(P$50,SUMPRODUCT(--(LEN(TRIM($B$12:$B34))&gt;0),--(P$12:P34=TRUE()),--($C$12:$C34&lt;&gt;TRUE())),SUMPRODUCT(--(LEN(TRIM($B$12:$B34))&gt;0),--(P$12:P34=TRUE())))&lt;=MOD(P$46,MAX(1,P$48)),1,0),0)</f>
        <v>0</v>
      </c>
    </row>
    <row r="75" customFormat="false" ht="15" hidden="true" customHeight="false" outlineLevel="0" collapsed="false">
      <c r="A75" s="13" t="s">
        <v>41</v>
      </c>
      <c r="D75" s="14" t="n">
        <f aca="false">IF(AND(D$47,D$48&gt;0,LEN(TRIM($B35))&gt;0,D35=TRUE(),IF(D$50,$C35&lt;&gt;TRUE(),TRUE())),QUOTIENT(D$46,MAX(1,D$48))+IF(IF(D$50,SUMPRODUCT(--(LEN(TRIM($B$12:$B35))&gt;0),--(D$12:D35=TRUE()),--($C$12:$C35&lt;&gt;TRUE())),SUMPRODUCT(--(LEN(TRIM($B$12:$B35))&gt;0),--(D$12:D35=TRUE())))&lt;=MOD(D$46,MAX(1,D$48)),1,0),0)</f>
        <v>0</v>
      </c>
      <c r="F75" s="14" t="n">
        <f aca="false">IF(AND(F$47,F$48&gt;0,LEN(TRIM($B35))&gt;0,F35=TRUE(),IF(F$50,$C35&lt;&gt;TRUE(),TRUE())),QUOTIENT(F$46,MAX(1,F$48))+IF(IF(F$50,SUMPRODUCT(--(LEN(TRIM($B$12:$B35))&gt;0),--(F$12:F35=TRUE()),--($C$12:$C35&lt;&gt;TRUE())),SUMPRODUCT(--(LEN(TRIM($B$12:$B35))&gt;0),--(F$12:F35=TRUE())))&lt;=MOD(F$46,MAX(1,F$48)),1,0),0)</f>
        <v>0</v>
      </c>
      <c r="H75" s="14" t="n">
        <f aca="false">IF(AND(H$47,H$48&gt;0,LEN(TRIM($B35))&gt;0,H35=TRUE(),IF(H$50,$C35&lt;&gt;TRUE(),TRUE())),QUOTIENT(H$46,MAX(1,H$48))+IF(IF(H$50,SUMPRODUCT(--(LEN(TRIM($B$12:$B35))&gt;0),--(H$12:H35=TRUE()),--($C$12:$C35&lt;&gt;TRUE())),SUMPRODUCT(--(LEN(TRIM($B$12:$B35))&gt;0),--(H$12:H35=TRUE())))&lt;=MOD(H$46,MAX(1,H$48)),1,0),0)</f>
        <v>0</v>
      </c>
      <c r="J75" s="14" t="n">
        <f aca="false">IF(AND(J$47,J$48&gt;0,LEN(TRIM($B35))&gt;0,J35=TRUE(),IF(J$50,$C35&lt;&gt;TRUE(),TRUE())),QUOTIENT(J$46,MAX(1,J$48))+IF(IF(J$50,SUMPRODUCT(--(LEN(TRIM($B$12:$B35))&gt;0),--(J$12:J35=TRUE()),--($C$12:$C35&lt;&gt;TRUE())),SUMPRODUCT(--(LEN(TRIM($B$12:$B35))&gt;0),--(J$12:J35=TRUE())))&lt;=MOD(J$46,MAX(1,J$48)),1,0),0)</f>
        <v>0</v>
      </c>
      <c r="L75" s="14" t="n">
        <f aca="false">IF(AND(L$47,L$48&gt;0,LEN(TRIM($B35))&gt;0,L35=TRUE(),IF(L$50,$C35&lt;&gt;TRUE(),TRUE())),QUOTIENT(L$46,MAX(1,L$48))+IF(IF(L$50,SUMPRODUCT(--(LEN(TRIM($B$12:$B35))&gt;0),--(L$12:L35=TRUE()),--($C$12:$C35&lt;&gt;TRUE())),SUMPRODUCT(--(LEN(TRIM($B$12:$B35))&gt;0),--(L$12:L35=TRUE())))&lt;=MOD(L$46,MAX(1,L$48)),1,0),0)</f>
        <v>0</v>
      </c>
      <c r="N75" s="14" t="n">
        <f aca="false">IF(AND(N$47,N$48&gt;0,LEN(TRIM($B35))&gt;0,N35=TRUE(),IF(N$50,$C35&lt;&gt;TRUE(),TRUE())),QUOTIENT(N$46,MAX(1,N$48))+IF(IF(N$50,SUMPRODUCT(--(LEN(TRIM($B$12:$B35))&gt;0),--(N$12:N35=TRUE()),--($C$12:$C35&lt;&gt;TRUE())),SUMPRODUCT(--(LEN(TRIM($B$12:$B35))&gt;0),--(N$12:N35=TRUE())))&lt;=MOD(N$46,MAX(1,N$48)),1,0),0)</f>
        <v>0</v>
      </c>
      <c r="P75" s="14" t="n">
        <f aca="false">IF(AND(P$47,P$48&gt;0,LEN(TRIM($B35))&gt;0,P35=TRUE(),IF(P$50,$C35&lt;&gt;TRUE(),TRUE())),QUOTIENT(P$46,MAX(1,P$48))+IF(IF(P$50,SUMPRODUCT(--(LEN(TRIM($B$12:$B35))&gt;0),--(P$12:P35=TRUE()),--($C$12:$C35&lt;&gt;TRUE())),SUMPRODUCT(--(LEN(TRIM($B$12:$B35))&gt;0),--(P$12:P35=TRUE())))&lt;=MOD(P$46,MAX(1,P$48)),1,0),0)</f>
        <v>0</v>
      </c>
    </row>
    <row r="76" customFormat="false" ht="15" hidden="true" customHeight="false" outlineLevel="0" collapsed="false">
      <c r="A76" s="13" t="s">
        <v>42</v>
      </c>
      <c r="D76" s="14" t="n">
        <f aca="false">IF(AND(D$47,D$48&gt;0,LEN(TRIM($B36))&gt;0,D36=TRUE(),IF(D$50,$C36&lt;&gt;TRUE(),TRUE())),QUOTIENT(D$46,MAX(1,D$48))+IF(IF(D$50,SUMPRODUCT(--(LEN(TRIM($B$12:$B36))&gt;0),--(D$12:D36=TRUE()),--($C$12:$C36&lt;&gt;TRUE())),SUMPRODUCT(--(LEN(TRIM($B$12:$B36))&gt;0),--(D$12:D36=TRUE())))&lt;=MOD(D$46,MAX(1,D$48)),1,0),0)</f>
        <v>0</v>
      </c>
      <c r="F76" s="14" t="n">
        <f aca="false">IF(AND(F$47,F$48&gt;0,LEN(TRIM($B36))&gt;0,F36=TRUE(),IF(F$50,$C36&lt;&gt;TRUE(),TRUE())),QUOTIENT(F$46,MAX(1,F$48))+IF(IF(F$50,SUMPRODUCT(--(LEN(TRIM($B$12:$B36))&gt;0),--(F$12:F36=TRUE()),--($C$12:$C36&lt;&gt;TRUE())),SUMPRODUCT(--(LEN(TRIM($B$12:$B36))&gt;0),--(F$12:F36=TRUE())))&lt;=MOD(F$46,MAX(1,F$48)),1,0),0)</f>
        <v>0</v>
      </c>
      <c r="H76" s="14" t="n">
        <f aca="false">IF(AND(H$47,H$48&gt;0,LEN(TRIM($B36))&gt;0,H36=TRUE(),IF(H$50,$C36&lt;&gt;TRUE(),TRUE())),QUOTIENT(H$46,MAX(1,H$48))+IF(IF(H$50,SUMPRODUCT(--(LEN(TRIM($B$12:$B36))&gt;0),--(H$12:H36=TRUE()),--($C$12:$C36&lt;&gt;TRUE())),SUMPRODUCT(--(LEN(TRIM($B$12:$B36))&gt;0),--(H$12:H36=TRUE())))&lt;=MOD(H$46,MAX(1,H$48)),1,0),0)</f>
        <v>0</v>
      </c>
      <c r="J76" s="14" t="n">
        <f aca="false">IF(AND(J$47,J$48&gt;0,LEN(TRIM($B36))&gt;0,J36=TRUE(),IF(J$50,$C36&lt;&gt;TRUE(),TRUE())),QUOTIENT(J$46,MAX(1,J$48))+IF(IF(J$50,SUMPRODUCT(--(LEN(TRIM($B$12:$B36))&gt;0),--(J$12:J36=TRUE()),--($C$12:$C36&lt;&gt;TRUE())),SUMPRODUCT(--(LEN(TRIM($B$12:$B36))&gt;0),--(J$12:J36=TRUE())))&lt;=MOD(J$46,MAX(1,J$48)),1,0),0)</f>
        <v>0</v>
      </c>
      <c r="L76" s="14" t="n">
        <f aca="false">IF(AND(L$47,L$48&gt;0,LEN(TRIM($B36))&gt;0,L36=TRUE(),IF(L$50,$C36&lt;&gt;TRUE(),TRUE())),QUOTIENT(L$46,MAX(1,L$48))+IF(IF(L$50,SUMPRODUCT(--(LEN(TRIM($B$12:$B36))&gt;0),--(L$12:L36=TRUE()),--($C$12:$C36&lt;&gt;TRUE())),SUMPRODUCT(--(LEN(TRIM($B$12:$B36))&gt;0),--(L$12:L36=TRUE())))&lt;=MOD(L$46,MAX(1,L$48)),1,0),0)</f>
        <v>0</v>
      </c>
      <c r="N76" s="14" t="n">
        <f aca="false">IF(AND(N$47,N$48&gt;0,LEN(TRIM($B36))&gt;0,N36=TRUE(),IF(N$50,$C36&lt;&gt;TRUE(),TRUE())),QUOTIENT(N$46,MAX(1,N$48))+IF(IF(N$50,SUMPRODUCT(--(LEN(TRIM($B$12:$B36))&gt;0),--(N$12:N36=TRUE()),--($C$12:$C36&lt;&gt;TRUE())),SUMPRODUCT(--(LEN(TRIM($B$12:$B36))&gt;0),--(N$12:N36=TRUE())))&lt;=MOD(N$46,MAX(1,N$48)),1,0),0)</f>
        <v>0</v>
      </c>
      <c r="P76" s="14" t="n">
        <f aca="false">IF(AND(P$47,P$48&gt;0,LEN(TRIM($B36))&gt;0,P36=TRUE(),IF(P$50,$C36&lt;&gt;TRUE(),TRUE())),QUOTIENT(P$46,MAX(1,P$48))+IF(IF(P$50,SUMPRODUCT(--(LEN(TRIM($B$12:$B36))&gt;0),--(P$12:P36=TRUE()),--($C$12:$C36&lt;&gt;TRUE())),SUMPRODUCT(--(LEN(TRIM($B$12:$B36))&gt;0),--(P$12:P36=TRUE())))&lt;=MOD(P$46,MAX(1,P$48)),1,0),0)</f>
        <v>0</v>
      </c>
    </row>
    <row r="77" customFormat="false" ht="15" hidden="true" customHeight="false" outlineLevel="0" collapsed="false">
      <c r="A77" s="13" t="s">
        <v>43</v>
      </c>
      <c r="D77" s="14" t="n">
        <f aca="false">IF(AND(D$47,D$48&gt;0,LEN(TRIM($B37))&gt;0,D37=TRUE(),IF(D$50,$C37&lt;&gt;TRUE(),TRUE())),QUOTIENT(D$46,MAX(1,D$48))+IF(IF(D$50,SUMPRODUCT(--(LEN(TRIM($B$12:$B37))&gt;0),--(D$12:D37=TRUE()),--($C$12:$C37&lt;&gt;TRUE())),SUMPRODUCT(--(LEN(TRIM($B$12:$B37))&gt;0),--(D$12:D37=TRUE())))&lt;=MOD(D$46,MAX(1,D$48)),1,0),0)</f>
        <v>0</v>
      </c>
      <c r="F77" s="14" t="n">
        <f aca="false">IF(AND(F$47,F$48&gt;0,LEN(TRIM($B37))&gt;0,F37=TRUE(),IF(F$50,$C37&lt;&gt;TRUE(),TRUE())),QUOTIENT(F$46,MAX(1,F$48))+IF(IF(F$50,SUMPRODUCT(--(LEN(TRIM($B$12:$B37))&gt;0),--(F$12:F37=TRUE()),--($C$12:$C37&lt;&gt;TRUE())),SUMPRODUCT(--(LEN(TRIM($B$12:$B37))&gt;0),--(F$12:F37=TRUE())))&lt;=MOD(F$46,MAX(1,F$48)),1,0),0)</f>
        <v>0</v>
      </c>
      <c r="H77" s="14" t="n">
        <f aca="false">IF(AND(H$47,H$48&gt;0,LEN(TRIM($B37))&gt;0,H37=TRUE(),IF(H$50,$C37&lt;&gt;TRUE(),TRUE())),QUOTIENT(H$46,MAX(1,H$48))+IF(IF(H$50,SUMPRODUCT(--(LEN(TRIM($B$12:$B37))&gt;0),--(H$12:H37=TRUE()),--($C$12:$C37&lt;&gt;TRUE())),SUMPRODUCT(--(LEN(TRIM($B$12:$B37))&gt;0),--(H$12:H37=TRUE())))&lt;=MOD(H$46,MAX(1,H$48)),1,0),0)</f>
        <v>0</v>
      </c>
      <c r="J77" s="14" t="n">
        <f aca="false">IF(AND(J$47,J$48&gt;0,LEN(TRIM($B37))&gt;0,J37=TRUE(),IF(J$50,$C37&lt;&gt;TRUE(),TRUE())),QUOTIENT(J$46,MAX(1,J$48))+IF(IF(J$50,SUMPRODUCT(--(LEN(TRIM($B$12:$B37))&gt;0),--(J$12:J37=TRUE()),--($C$12:$C37&lt;&gt;TRUE())),SUMPRODUCT(--(LEN(TRIM($B$12:$B37))&gt;0),--(J$12:J37=TRUE())))&lt;=MOD(J$46,MAX(1,J$48)),1,0),0)</f>
        <v>0</v>
      </c>
      <c r="L77" s="14" t="n">
        <f aca="false">IF(AND(L$47,L$48&gt;0,LEN(TRIM($B37))&gt;0,L37=TRUE(),IF(L$50,$C37&lt;&gt;TRUE(),TRUE())),QUOTIENT(L$46,MAX(1,L$48))+IF(IF(L$50,SUMPRODUCT(--(LEN(TRIM($B$12:$B37))&gt;0),--(L$12:L37=TRUE()),--($C$12:$C37&lt;&gt;TRUE())),SUMPRODUCT(--(LEN(TRIM($B$12:$B37))&gt;0),--(L$12:L37=TRUE())))&lt;=MOD(L$46,MAX(1,L$48)),1,0),0)</f>
        <v>0</v>
      </c>
      <c r="N77" s="14" t="n">
        <f aca="false">IF(AND(N$47,N$48&gt;0,LEN(TRIM($B37))&gt;0,N37=TRUE(),IF(N$50,$C37&lt;&gt;TRUE(),TRUE())),QUOTIENT(N$46,MAX(1,N$48))+IF(IF(N$50,SUMPRODUCT(--(LEN(TRIM($B$12:$B37))&gt;0),--(N$12:N37=TRUE()),--($C$12:$C37&lt;&gt;TRUE())),SUMPRODUCT(--(LEN(TRIM($B$12:$B37))&gt;0),--(N$12:N37=TRUE())))&lt;=MOD(N$46,MAX(1,N$48)),1,0),0)</f>
        <v>0</v>
      </c>
      <c r="P77" s="14" t="n">
        <f aca="false">IF(AND(P$47,P$48&gt;0,LEN(TRIM($B37))&gt;0,P37=TRUE(),IF(P$50,$C37&lt;&gt;TRUE(),TRUE())),QUOTIENT(P$46,MAX(1,P$48))+IF(IF(P$50,SUMPRODUCT(--(LEN(TRIM($B$12:$B37))&gt;0),--(P$12:P37=TRUE()),--($C$12:$C37&lt;&gt;TRUE())),SUMPRODUCT(--(LEN(TRIM($B$12:$B37))&gt;0),--(P$12:P37=TRUE())))&lt;=MOD(P$46,MAX(1,P$48)),1,0),0)</f>
        <v>0</v>
      </c>
    </row>
    <row r="78" customFormat="false" ht="15" hidden="true" customHeight="false" outlineLevel="0" collapsed="false">
      <c r="A78" s="13" t="s">
        <v>44</v>
      </c>
      <c r="D78" s="14" t="n">
        <f aca="false">IF(AND(D$47,D$48&gt;0,LEN(TRIM($B38))&gt;0,D38=TRUE(),IF(D$50,$C38&lt;&gt;TRUE(),TRUE())),QUOTIENT(D$46,MAX(1,D$48))+IF(IF(D$50,SUMPRODUCT(--(LEN(TRIM($B$12:$B38))&gt;0),--(D$12:D38=TRUE()),--($C$12:$C38&lt;&gt;TRUE())),SUMPRODUCT(--(LEN(TRIM($B$12:$B38))&gt;0),--(D$12:D38=TRUE())))&lt;=MOD(D$46,MAX(1,D$48)),1,0),0)</f>
        <v>0</v>
      </c>
      <c r="F78" s="14" t="n">
        <f aca="false">IF(AND(F$47,F$48&gt;0,LEN(TRIM($B38))&gt;0,F38=TRUE(),IF(F$50,$C38&lt;&gt;TRUE(),TRUE())),QUOTIENT(F$46,MAX(1,F$48))+IF(IF(F$50,SUMPRODUCT(--(LEN(TRIM($B$12:$B38))&gt;0),--(F$12:F38=TRUE()),--($C$12:$C38&lt;&gt;TRUE())),SUMPRODUCT(--(LEN(TRIM($B$12:$B38))&gt;0),--(F$12:F38=TRUE())))&lt;=MOD(F$46,MAX(1,F$48)),1,0),0)</f>
        <v>0</v>
      </c>
      <c r="H78" s="14" t="n">
        <f aca="false">IF(AND(H$47,H$48&gt;0,LEN(TRIM($B38))&gt;0,H38=TRUE(),IF(H$50,$C38&lt;&gt;TRUE(),TRUE())),QUOTIENT(H$46,MAX(1,H$48))+IF(IF(H$50,SUMPRODUCT(--(LEN(TRIM($B$12:$B38))&gt;0),--(H$12:H38=TRUE()),--($C$12:$C38&lt;&gt;TRUE())),SUMPRODUCT(--(LEN(TRIM($B$12:$B38))&gt;0),--(H$12:H38=TRUE())))&lt;=MOD(H$46,MAX(1,H$48)),1,0),0)</f>
        <v>0</v>
      </c>
      <c r="J78" s="14" t="n">
        <f aca="false">IF(AND(J$47,J$48&gt;0,LEN(TRIM($B38))&gt;0,J38=TRUE(),IF(J$50,$C38&lt;&gt;TRUE(),TRUE())),QUOTIENT(J$46,MAX(1,J$48))+IF(IF(J$50,SUMPRODUCT(--(LEN(TRIM($B$12:$B38))&gt;0),--(J$12:J38=TRUE()),--($C$12:$C38&lt;&gt;TRUE())),SUMPRODUCT(--(LEN(TRIM($B$12:$B38))&gt;0),--(J$12:J38=TRUE())))&lt;=MOD(J$46,MAX(1,J$48)),1,0),0)</f>
        <v>0</v>
      </c>
      <c r="L78" s="14" t="n">
        <f aca="false">IF(AND(L$47,L$48&gt;0,LEN(TRIM($B38))&gt;0,L38=TRUE(),IF(L$50,$C38&lt;&gt;TRUE(),TRUE())),QUOTIENT(L$46,MAX(1,L$48))+IF(IF(L$50,SUMPRODUCT(--(LEN(TRIM($B$12:$B38))&gt;0),--(L$12:L38=TRUE()),--($C$12:$C38&lt;&gt;TRUE())),SUMPRODUCT(--(LEN(TRIM($B$12:$B38))&gt;0),--(L$12:L38=TRUE())))&lt;=MOD(L$46,MAX(1,L$48)),1,0),0)</f>
        <v>0</v>
      </c>
      <c r="N78" s="14" t="n">
        <f aca="false">IF(AND(N$47,N$48&gt;0,LEN(TRIM($B38))&gt;0,N38=TRUE(),IF(N$50,$C38&lt;&gt;TRUE(),TRUE())),QUOTIENT(N$46,MAX(1,N$48))+IF(IF(N$50,SUMPRODUCT(--(LEN(TRIM($B$12:$B38))&gt;0),--(N$12:N38=TRUE()),--($C$12:$C38&lt;&gt;TRUE())),SUMPRODUCT(--(LEN(TRIM($B$12:$B38))&gt;0),--(N$12:N38=TRUE())))&lt;=MOD(N$46,MAX(1,N$48)),1,0),0)</f>
        <v>0</v>
      </c>
      <c r="P78" s="14" t="n">
        <f aca="false">IF(AND(P$47,P$48&gt;0,LEN(TRIM($B38))&gt;0,P38=TRUE(),IF(P$50,$C38&lt;&gt;TRUE(),TRUE())),QUOTIENT(P$46,MAX(1,P$48))+IF(IF(P$50,SUMPRODUCT(--(LEN(TRIM($B$12:$B38))&gt;0),--(P$12:P38=TRUE()),--($C$12:$C38&lt;&gt;TRUE())),SUMPRODUCT(--(LEN(TRIM($B$12:$B38))&gt;0),--(P$12:P38=TRUE())))&lt;=MOD(P$46,MAX(1,P$48)),1,0),0)</f>
        <v>0</v>
      </c>
    </row>
    <row r="79" customFormat="false" ht="15" hidden="true" customHeight="false" outlineLevel="0" collapsed="false">
      <c r="A79" s="13" t="s">
        <v>45</v>
      </c>
      <c r="D79" s="14" t="n">
        <f aca="false">IF(AND(D$47,D$48&gt;0,LEN(TRIM($B39))&gt;0,D39=TRUE(),IF(D$50,$C39&lt;&gt;TRUE(),TRUE())),QUOTIENT(D$46,MAX(1,D$48))+IF(IF(D$50,SUMPRODUCT(--(LEN(TRIM($B$12:$B39))&gt;0),--(D$12:D39=TRUE()),--($C$12:$C39&lt;&gt;TRUE())),SUMPRODUCT(--(LEN(TRIM($B$12:$B39))&gt;0),--(D$12:D39=TRUE())))&lt;=MOD(D$46,MAX(1,D$48)),1,0),0)</f>
        <v>0</v>
      </c>
      <c r="F79" s="14" t="n">
        <f aca="false">IF(AND(F$47,F$48&gt;0,LEN(TRIM($B39))&gt;0,F39=TRUE(),IF(F$50,$C39&lt;&gt;TRUE(),TRUE())),QUOTIENT(F$46,MAX(1,F$48))+IF(IF(F$50,SUMPRODUCT(--(LEN(TRIM($B$12:$B39))&gt;0),--(F$12:F39=TRUE()),--($C$12:$C39&lt;&gt;TRUE())),SUMPRODUCT(--(LEN(TRIM($B$12:$B39))&gt;0),--(F$12:F39=TRUE())))&lt;=MOD(F$46,MAX(1,F$48)),1,0),0)</f>
        <v>0</v>
      </c>
      <c r="H79" s="14" t="n">
        <f aca="false">IF(AND(H$47,H$48&gt;0,LEN(TRIM($B39))&gt;0,H39=TRUE(),IF(H$50,$C39&lt;&gt;TRUE(),TRUE())),QUOTIENT(H$46,MAX(1,H$48))+IF(IF(H$50,SUMPRODUCT(--(LEN(TRIM($B$12:$B39))&gt;0),--(H$12:H39=TRUE()),--($C$12:$C39&lt;&gt;TRUE())),SUMPRODUCT(--(LEN(TRIM($B$12:$B39))&gt;0),--(H$12:H39=TRUE())))&lt;=MOD(H$46,MAX(1,H$48)),1,0),0)</f>
        <v>0</v>
      </c>
      <c r="J79" s="14" t="n">
        <f aca="false">IF(AND(J$47,J$48&gt;0,LEN(TRIM($B39))&gt;0,J39=TRUE(),IF(J$50,$C39&lt;&gt;TRUE(),TRUE())),QUOTIENT(J$46,MAX(1,J$48))+IF(IF(J$50,SUMPRODUCT(--(LEN(TRIM($B$12:$B39))&gt;0),--(J$12:J39=TRUE()),--($C$12:$C39&lt;&gt;TRUE())),SUMPRODUCT(--(LEN(TRIM($B$12:$B39))&gt;0),--(J$12:J39=TRUE())))&lt;=MOD(J$46,MAX(1,J$48)),1,0),0)</f>
        <v>0</v>
      </c>
      <c r="L79" s="14" t="n">
        <f aca="false">IF(AND(L$47,L$48&gt;0,LEN(TRIM($B39))&gt;0,L39=TRUE(),IF(L$50,$C39&lt;&gt;TRUE(),TRUE())),QUOTIENT(L$46,MAX(1,L$48))+IF(IF(L$50,SUMPRODUCT(--(LEN(TRIM($B$12:$B39))&gt;0),--(L$12:L39=TRUE()),--($C$12:$C39&lt;&gt;TRUE())),SUMPRODUCT(--(LEN(TRIM($B$12:$B39))&gt;0),--(L$12:L39=TRUE())))&lt;=MOD(L$46,MAX(1,L$48)),1,0),0)</f>
        <v>0</v>
      </c>
      <c r="N79" s="14" t="n">
        <f aca="false">IF(AND(N$47,N$48&gt;0,LEN(TRIM($B39))&gt;0,N39=TRUE(),IF(N$50,$C39&lt;&gt;TRUE(),TRUE())),QUOTIENT(N$46,MAX(1,N$48))+IF(IF(N$50,SUMPRODUCT(--(LEN(TRIM($B$12:$B39))&gt;0),--(N$12:N39=TRUE()),--($C$12:$C39&lt;&gt;TRUE())),SUMPRODUCT(--(LEN(TRIM($B$12:$B39))&gt;0),--(N$12:N39=TRUE())))&lt;=MOD(N$46,MAX(1,N$48)),1,0),0)</f>
        <v>0</v>
      </c>
      <c r="P79" s="14" t="n">
        <f aca="false">IF(AND(P$47,P$48&gt;0,LEN(TRIM($B39))&gt;0,P39=TRUE(),IF(P$50,$C39&lt;&gt;TRUE(),TRUE())),QUOTIENT(P$46,MAX(1,P$48))+IF(IF(P$50,SUMPRODUCT(--(LEN(TRIM($B$12:$B39))&gt;0),--(P$12:P39=TRUE()),--($C$12:$C39&lt;&gt;TRUE())),SUMPRODUCT(--(LEN(TRIM($B$12:$B39))&gt;0),--(P$12:P39=TRUE())))&lt;=MOD(P$46,MAX(1,P$48)),1,0),0)</f>
        <v>0</v>
      </c>
    </row>
    <row r="80" customFormat="false" ht="15" hidden="true" customHeight="false" outlineLevel="0" collapsed="false">
      <c r="A80" s="13" t="s">
        <v>46</v>
      </c>
      <c r="D80" s="14" t="n">
        <f aca="false">IF(AND(D$47,D$48&gt;0,LEN(TRIM($B40))&gt;0,D40=TRUE(),IF(D$50,$C40&lt;&gt;TRUE(),TRUE())),QUOTIENT(D$46,MAX(1,D$48))+IF(IF(D$50,SUMPRODUCT(--(LEN(TRIM($B$12:$B40))&gt;0),--(D$12:D40=TRUE()),--($C$12:$C40&lt;&gt;TRUE())),SUMPRODUCT(--(LEN(TRIM($B$12:$B40))&gt;0),--(D$12:D40=TRUE())))&lt;=MOD(D$46,MAX(1,D$48)),1,0),0)</f>
        <v>0</v>
      </c>
      <c r="F80" s="14" t="n">
        <f aca="false">IF(AND(F$47,F$48&gt;0,LEN(TRIM($B40))&gt;0,F40=TRUE(),IF(F$50,$C40&lt;&gt;TRUE(),TRUE())),QUOTIENT(F$46,MAX(1,F$48))+IF(IF(F$50,SUMPRODUCT(--(LEN(TRIM($B$12:$B40))&gt;0),--(F$12:F40=TRUE()),--($C$12:$C40&lt;&gt;TRUE())),SUMPRODUCT(--(LEN(TRIM($B$12:$B40))&gt;0),--(F$12:F40=TRUE())))&lt;=MOD(F$46,MAX(1,F$48)),1,0),0)</f>
        <v>0</v>
      </c>
      <c r="H80" s="14" t="n">
        <f aca="false">IF(AND(H$47,H$48&gt;0,LEN(TRIM($B40))&gt;0,H40=TRUE(),IF(H$50,$C40&lt;&gt;TRUE(),TRUE())),QUOTIENT(H$46,MAX(1,H$48))+IF(IF(H$50,SUMPRODUCT(--(LEN(TRIM($B$12:$B40))&gt;0),--(H$12:H40=TRUE()),--($C$12:$C40&lt;&gt;TRUE())),SUMPRODUCT(--(LEN(TRIM($B$12:$B40))&gt;0),--(H$12:H40=TRUE())))&lt;=MOD(H$46,MAX(1,H$48)),1,0),0)</f>
        <v>0</v>
      </c>
      <c r="J80" s="14" t="n">
        <f aca="false">IF(AND(J$47,J$48&gt;0,LEN(TRIM($B40))&gt;0,J40=TRUE(),IF(J$50,$C40&lt;&gt;TRUE(),TRUE())),QUOTIENT(J$46,MAX(1,J$48))+IF(IF(J$50,SUMPRODUCT(--(LEN(TRIM($B$12:$B40))&gt;0),--(J$12:J40=TRUE()),--($C$12:$C40&lt;&gt;TRUE())),SUMPRODUCT(--(LEN(TRIM($B$12:$B40))&gt;0),--(J$12:J40=TRUE())))&lt;=MOD(J$46,MAX(1,J$48)),1,0),0)</f>
        <v>0</v>
      </c>
      <c r="L80" s="14" t="n">
        <f aca="false">IF(AND(L$47,L$48&gt;0,LEN(TRIM($B40))&gt;0,L40=TRUE(),IF(L$50,$C40&lt;&gt;TRUE(),TRUE())),QUOTIENT(L$46,MAX(1,L$48))+IF(IF(L$50,SUMPRODUCT(--(LEN(TRIM($B$12:$B40))&gt;0),--(L$12:L40=TRUE()),--($C$12:$C40&lt;&gt;TRUE())),SUMPRODUCT(--(LEN(TRIM($B$12:$B40))&gt;0),--(L$12:L40=TRUE())))&lt;=MOD(L$46,MAX(1,L$48)),1,0),0)</f>
        <v>0</v>
      </c>
      <c r="N80" s="14" t="n">
        <f aca="false">IF(AND(N$47,N$48&gt;0,LEN(TRIM($B40))&gt;0,N40=TRUE(),IF(N$50,$C40&lt;&gt;TRUE(),TRUE())),QUOTIENT(N$46,MAX(1,N$48))+IF(IF(N$50,SUMPRODUCT(--(LEN(TRIM($B$12:$B40))&gt;0),--(N$12:N40=TRUE()),--($C$12:$C40&lt;&gt;TRUE())),SUMPRODUCT(--(LEN(TRIM($B$12:$B40))&gt;0),--(N$12:N40=TRUE())))&lt;=MOD(N$46,MAX(1,N$48)),1,0),0)</f>
        <v>0</v>
      </c>
      <c r="P80" s="14" t="n">
        <f aca="false">IF(AND(P$47,P$48&gt;0,LEN(TRIM($B40))&gt;0,P40=TRUE(),IF(P$50,$C40&lt;&gt;TRUE(),TRUE())),QUOTIENT(P$46,MAX(1,P$48))+IF(IF(P$50,SUMPRODUCT(--(LEN(TRIM($B$12:$B40))&gt;0),--(P$12:P40=TRUE()),--($C$12:$C40&lt;&gt;TRUE())),SUMPRODUCT(--(LEN(TRIM($B$12:$B40))&gt;0),--(P$12:P40=TRUE())))&lt;=MOD(P$46,MAX(1,P$48)),1,0),0)</f>
        <v>0</v>
      </c>
    </row>
    <row r="81" customFormat="false" ht="15" hidden="true" customHeight="false" outlineLevel="0" collapsed="false">
      <c r="A81" s="13" t="s">
        <v>47</v>
      </c>
      <c r="D81" s="14" t="n">
        <f aca="false">IF(AND(D$47,D$48&gt;0,LEN(TRIM($B41))&gt;0,D41=TRUE(),IF(D$50,$C41&lt;&gt;TRUE(),TRUE())),QUOTIENT(D$46,MAX(1,D$48))+IF(IF(D$50,SUMPRODUCT(--(LEN(TRIM($B$12:$B41))&gt;0),--(D$12:D41=TRUE()),--($C$12:$C41&lt;&gt;TRUE())),SUMPRODUCT(--(LEN(TRIM($B$12:$B41))&gt;0),--(D$12:D41=TRUE())))&lt;=MOD(D$46,MAX(1,D$48)),1,0),0)</f>
        <v>0</v>
      </c>
      <c r="F81" s="14" t="n">
        <f aca="false">IF(AND(F$47,F$48&gt;0,LEN(TRIM($B41))&gt;0,F41=TRUE(),IF(F$50,$C41&lt;&gt;TRUE(),TRUE())),QUOTIENT(F$46,MAX(1,F$48))+IF(IF(F$50,SUMPRODUCT(--(LEN(TRIM($B$12:$B41))&gt;0),--(F$12:F41=TRUE()),--($C$12:$C41&lt;&gt;TRUE())),SUMPRODUCT(--(LEN(TRIM($B$12:$B41))&gt;0),--(F$12:F41=TRUE())))&lt;=MOD(F$46,MAX(1,F$48)),1,0),0)</f>
        <v>0</v>
      </c>
      <c r="H81" s="14" t="n">
        <f aca="false">IF(AND(H$47,H$48&gt;0,LEN(TRIM($B41))&gt;0,H41=TRUE(),IF(H$50,$C41&lt;&gt;TRUE(),TRUE())),QUOTIENT(H$46,MAX(1,H$48))+IF(IF(H$50,SUMPRODUCT(--(LEN(TRIM($B$12:$B41))&gt;0),--(H$12:H41=TRUE()),--($C$12:$C41&lt;&gt;TRUE())),SUMPRODUCT(--(LEN(TRIM($B$12:$B41))&gt;0),--(H$12:H41=TRUE())))&lt;=MOD(H$46,MAX(1,H$48)),1,0),0)</f>
        <v>0</v>
      </c>
      <c r="J81" s="14" t="n">
        <f aca="false">IF(AND(J$47,J$48&gt;0,LEN(TRIM($B41))&gt;0,J41=TRUE(),IF(J$50,$C41&lt;&gt;TRUE(),TRUE())),QUOTIENT(J$46,MAX(1,J$48))+IF(IF(J$50,SUMPRODUCT(--(LEN(TRIM($B$12:$B41))&gt;0),--(J$12:J41=TRUE()),--($C$12:$C41&lt;&gt;TRUE())),SUMPRODUCT(--(LEN(TRIM($B$12:$B41))&gt;0),--(J$12:J41=TRUE())))&lt;=MOD(J$46,MAX(1,J$48)),1,0),0)</f>
        <v>0</v>
      </c>
      <c r="L81" s="14" t="n">
        <f aca="false">IF(AND(L$47,L$48&gt;0,LEN(TRIM($B41))&gt;0,L41=TRUE(),IF(L$50,$C41&lt;&gt;TRUE(),TRUE())),QUOTIENT(L$46,MAX(1,L$48))+IF(IF(L$50,SUMPRODUCT(--(LEN(TRIM($B$12:$B41))&gt;0),--(L$12:L41=TRUE()),--($C$12:$C41&lt;&gt;TRUE())),SUMPRODUCT(--(LEN(TRIM($B$12:$B41))&gt;0),--(L$12:L41=TRUE())))&lt;=MOD(L$46,MAX(1,L$48)),1,0),0)</f>
        <v>0</v>
      </c>
      <c r="N81" s="14" t="n">
        <f aca="false">IF(AND(N$47,N$48&gt;0,LEN(TRIM($B41))&gt;0,N41=TRUE(),IF(N$50,$C41&lt;&gt;TRUE(),TRUE())),QUOTIENT(N$46,MAX(1,N$48))+IF(IF(N$50,SUMPRODUCT(--(LEN(TRIM($B$12:$B41))&gt;0),--(N$12:N41=TRUE()),--($C$12:$C41&lt;&gt;TRUE())),SUMPRODUCT(--(LEN(TRIM($B$12:$B41))&gt;0),--(N$12:N41=TRUE())))&lt;=MOD(N$46,MAX(1,N$48)),1,0),0)</f>
        <v>0</v>
      </c>
      <c r="P81" s="14" t="n">
        <f aca="false">IF(AND(P$47,P$48&gt;0,LEN(TRIM($B41))&gt;0,P41=TRUE(),IF(P$50,$C41&lt;&gt;TRUE(),TRUE())),QUOTIENT(P$46,MAX(1,P$48))+IF(IF(P$50,SUMPRODUCT(--(LEN(TRIM($B$12:$B41))&gt;0),--(P$12:P41=TRUE()),--($C$12:$C41&lt;&gt;TRUE())),SUMPRODUCT(--(LEN(TRIM($B$12:$B41))&gt;0),--(P$12:P41=TRUE())))&lt;=MOD(P$46,MAX(1,P$48)),1,0),0)</f>
        <v>0</v>
      </c>
    </row>
  </sheetData>
  <mergeCells count="28">
    <mergeCell ref="D4:E4"/>
    <mergeCell ref="F4:G4"/>
    <mergeCell ref="H4:I4"/>
    <mergeCell ref="J4:K4"/>
    <mergeCell ref="L4:M4"/>
    <mergeCell ref="N4:O4"/>
    <mergeCell ref="P4:Q4"/>
    <mergeCell ref="D5:E5"/>
    <mergeCell ref="F5:G5"/>
    <mergeCell ref="H5:I5"/>
    <mergeCell ref="J5:K5"/>
    <mergeCell ref="L5:M5"/>
    <mergeCell ref="N5:O5"/>
    <mergeCell ref="P5:Q5"/>
    <mergeCell ref="D9:E9"/>
    <mergeCell ref="F9:G9"/>
    <mergeCell ref="H9:I9"/>
    <mergeCell ref="J9:K9"/>
    <mergeCell ref="L9:M9"/>
    <mergeCell ref="N9:O9"/>
    <mergeCell ref="P9:Q9"/>
    <mergeCell ref="D10:E10"/>
    <mergeCell ref="F10:G10"/>
    <mergeCell ref="H10:I10"/>
    <mergeCell ref="J10:K10"/>
    <mergeCell ref="L10:M10"/>
    <mergeCell ref="N10:O10"/>
    <mergeCell ref="P10:Q10"/>
  </mergeCells>
  <dataValidations count="30"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3" type="custom">
      <formula1>OR(C3=1,C3=0)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12:C41" type="custom">
      <formula1>OR(C12=1,C12=0)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D12:D41" type="custom">
      <formula1>OR(D12=1,D12=0)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F12:F41" type="custom">
      <formula1>OR(F12=1,F12=0)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H12:H41" type="custom">
      <formula1>OR(H12=1,H12=0)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J12:J41" type="custom">
      <formula1>OR(J12=1,J12=0)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L12:L41" type="custom">
      <formula1>OR(L12=1,L12=0)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N12:N41" type="custom">
      <formula1>OR(N12=1,N12=0)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P12:P41" type="custom">
      <formula1>OR(P12=1,P12=0)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D5:E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6" type="custom">
      <formula1>OR(LEN(TRIM(D6&amp;""))=0,IFERROR(AND(ISNUMBER(D6),D6&gt;=0,D6&lt;=100000000,ROUND(D6,1)=D6),0))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F5:G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6" type="custom">
      <formula1>OR(LEN(TRIM(F6&amp;""))=0,IFERROR(AND(ISNUMBER(F6),F6&gt;=0,F6&lt;=100000000,ROUND(F6,1)=F6),0))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H5:I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6" type="custom">
      <formula1>OR(LEN(TRIM(H6&amp;""))=0,IFERROR(AND(ISNUMBER(H6),H6&gt;=0,H6&lt;=100000000,ROUND(H6,1)=H6),0))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J5:K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6" type="custom">
      <formula1>OR(LEN(TRIM(J6&amp;""))=0,IFERROR(AND(ISNUMBER(J6),J6&gt;=0,J6&lt;=100000000,ROUND(J6,1)=J6),0))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L5:M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6" type="custom">
      <formula1>OR(LEN(TRIM(L6&amp;""))=0,IFERROR(AND(ISNUMBER(L6),L6&gt;=0,L6&lt;=100000000,ROUND(L6,1)=L6),0))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N5:O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6" type="custom">
      <formula1>OR(LEN(TRIM(N6&amp;""))=0,IFERROR(AND(ISNUMBER(N6),N6&gt;=0,N6&lt;=100000000,ROUND(N6,1)=N6),0))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P5:Q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6" type="custom">
      <formula1>OR(LEN(TRIM(P6&amp;""))=0,IFERROR(AND(ISNUMBER(P6),P6&gt;=0,P6&lt;=100000000,ROUND(P6,1)=P6),0))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40"/>
    <col collapsed="false" customWidth="true" hidden="false" outlineLevel="0" max="2" min="2" style="0" width="22.86"/>
    <col collapsed="false" customWidth="true" hidden="false" outlineLevel="0" max="3" min="3" style="0" width="13.15"/>
    <col collapsed="false" customWidth="true" hidden="false" outlineLevel="0" max="17" min="4" style="0" width="21.14"/>
  </cols>
  <sheetData>
    <row r="1" customFormat="false" ht="32.8" hidden="true" customHeight="false" outlineLevel="0" collapsed="false">
      <c r="A1" s="1" t="s">
        <v>134</v>
      </c>
      <c r="D1" s="1" t="s">
        <v>135</v>
      </c>
      <c r="F1" s="1" t="s">
        <v>136</v>
      </c>
      <c r="H1" s="1" t="s">
        <v>137</v>
      </c>
      <c r="J1" s="1" t="s">
        <v>138</v>
      </c>
      <c r="L1" s="1" t="s">
        <v>139</v>
      </c>
      <c r="N1" s="1" t="s">
        <v>140</v>
      </c>
      <c r="P1" s="1" t="s">
        <v>141</v>
      </c>
    </row>
    <row r="2" customFormat="false" ht="48.5" hidden="false" customHeight="false" outlineLevel="0" collapsed="false">
      <c r="B2" s="16" t="s">
        <v>142</v>
      </c>
      <c r="D2" s="1" t="s">
        <v>67</v>
      </c>
    </row>
    <row r="3" customFormat="false" ht="48.5" hidden="false" customHeight="false" outlineLevel="0" collapsed="false">
      <c r="B3" s="1" t="s">
        <v>68</v>
      </c>
      <c r="C3" s="18" t="b">
        <f aca="false">FALSE()</f>
        <v>0</v>
      </c>
      <c r="D3" s="1" t="s">
        <v>69</v>
      </c>
    </row>
    <row r="4" customFormat="false" ht="27.75" hidden="false" customHeight="true" outlineLevel="0" collapsed="false">
      <c r="B4" s="1" t="s">
        <v>70</v>
      </c>
      <c r="D4" s="19" t="s">
        <v>71</v>
      </c>
      <c r="E4" s="19"/>
      <c r="F4" s="19" t="s">
        <v>72</v>
      </c>
      <c r="G4" s="19"/>
      <c r="H4" s="19" t="s">
        <v>73</v>
      </c>
      <c r="I4" s="19"/>
      <c r="J4" s="19" t="s">
        <v>74</v>
      </c>
      <c r="K4" s="19"/>
      <c r="L4" s="19" t="s">
        <v>75</v>
      </c>
      <c r="M4" s="19"/>
      <c r="N4" s="19" t="s">
        <v>76</v>
      </c>
      <c r="O4" s="19"/>
      <c r="P4" s="19" t="s">
        <v>77</v>
      </c>
      <c r="Q4" s="19"/>
    </row>
    <row r="5" customFormat="false" ht="27.75" hidden="false" customHeight="true" outlineLevel="0" collapsed="false">
      <c r="B5" s="1" t="s">
        <v>78</v>
      </c>
      <c r="D5" s="19" t="s">
        <v>71</v>
      </c>
      <c r="E5" s="19"/>
      <c r="F5" s="19" t="s">
        <v>72</v>
      </c>
      <c r="G5" s="19"/>
      <c r="H5" s="19" t="s">
        <v>73</v>
      </c>
      <c r="I5" s="19"/>
      <c r="J5" s="19" t="s">
        <v>74</v>
      </c>
      <c r="K5" s="19"/>
      <c r="L5" s="19" t="s">
        <v>75</v>
      </c>
      <c r="M5" s="19"/>
      <c r="N5" s="19" t="s">
        <v>76</v>
      </c>
      <c r="O5" s="19"/>
      <c r="P5" s="19" t="s">
        <v>77</v>
      </c>
      <c r="Q5" s="19"/>
    </row>
    <row r="6" customFormat="false" ht="27.75" hidden="false" customHeight="true" outlineLevel="0" collapsed="false">
      <c r="B6" s="1" t="s">
        <v>79</v>
      </c>
      <c r="D6" s="16"/>
      <c r="E6" s="1" t="s">
        <v>80</v>
      </c>
      <c r="F6" s="16"/>
      <c r="G6" s="1" t="s">
        <v>80</v>
      </c>
      <c r="H6" s="16"/>
      <c r="I6" s="1" t="s">
        <v>80</v>
      </c>
      <c r="J6" s="16"/>
      <c r="K6" s="1" t="s">
        <v>80</v>
      </c>
      <c r="L6" s="16"/>
      <c r="M6" s="1" t="s">
        <v>80</v>
      </c>
      <c r="N6" s="16"/>
      <c r="O6" s="1" t="s">
        <v>80</v>
      </c>
      <c r="P6" s="16"/>
      <c r="Q6" s="1" t="s">
        <v>80</v>
      </c>
    </row>
    <row r="7" customFormat="false" ht="27.75" hidden="false" customHeight="true" outlineLevel="0" collapsed="false">
      <c r="B7" s="1" t="s">
        <v>81</v>
      </c>
      <c r="D7" s="16"/>
      <c r="E7" s="20" t="str">
        <f aca="false">IFERROR(INDEX(成員名單!$B$5:$B$34,MATCH(D7,成員名單!$A$5:$A$34,0))&amp;"","")</f>
        <v/>
      </c>
      <c r="F7" s="16"/>
      <c r="G7" s="20" t="str">
        <f aca="false">IFERROR(INDEX(成員名單!$B$5:$B$34,MATCH(F7,成員名單!$A$5:$A$34,0))&amp;"","")</f>
        <v/>
      </c>
      <c r="H7" s="16"/>
      <c r="I7" s="20" t="str">
        <f aca="false">IFERROR(INDEX(成員名單!$B$5:$B$34,MATCH(H7,成員名單!$A$5:$A$34,0))&amp;"","")</f>
        <v/>
      </c>
      <c r="J7" s="16"/>
      <c r="K7" s="20" t="str">
        <f aca="false">IFERROR(INDEX(成員名單!$B$5:$B$34,MATCH(J7,成員名單!$A$5:$A$34,0))&amp;"","")</f>
        <v/>
      </c>
      <c r="L7" s="16"/>
      <c r="M7" s="20" t="str">
        <f aca="false">IFERROR(INDEX(成員名單!$B$5:$B$34,MATCH(L7,成員名單!$A$5:$A$34,0))&amp;"","")</f>
        <v/>
      </c>
      <c r="N7" s="16"/>
      <c r="O7" s="20" t="str">
        <f aca="false">IFERROR(INDEX(成員名單!$B$5:$B$34,MATCH(N7,成員名單!$A$5:$A$34,0))&amp;"","")</f>
        <v/>
      </c>
      <c r="P7" s="16"/>
      <c r="Q7" s="20" t="str">
        <f aca="false">IFERROR(INDEX(成員名單!$B$5:$B$34,MATCH(P7,成員名單!$A$5:$A$34,0))&amp;"","")</f>
        <v/>
      </c>
    </row>
    <row r="8" customFormat="false" ht="27.75" hidden="false" customHeight="true" outlineLevel="0" collapsed="false">
      <c r="B8" s="1" t="s">
        <v>82</v>
      </c>
      <c r="D8" s="20" t="n">
        <f aca="false">IF(D$47,D$48,0)</f>
        <v>0</v>
      </c>
      <c r="E8" s="1" t="s">
        <v>83</v>
      </c>
      <c r="F8" s="20" t="n">
        <f aca="false">IF(F$47,F$48,0)</f>
        <v>0</v>
      </c>
      <c r="G8" s="1" t="s">
        <v>83</v>
      </c>
      <c r="H8" s="20" t="n">
        <f aca="false">IF(H$47,H$48,0)</f>
        <v>0</v>
      </c>
      <c r="I8" s="1" t="s">
        <v>83</v>
      </c>
      <c r="J8" s="20" t="n">
        <f aca="false">IF(J$47,J$48,0)</f>
        <v>0</v>
      </c>
      <c r="K8" s="1" t="s">
        <v>83</v>
      </c>
      <c r="L8" s="20" t="n">
        <f aca="false">IF(L$47,L$48,0)</f>
        <v>0</v>
      </c>
      <c r="M8" s="1" t="s">
        <v>83</v>
      </c>
      <c r="N8" s="20" t="n">
        <f aca="false">IF(N$47,N$48,0)</f>
        <v>0</v>
      </c>
      <c r="O8" s="1" t="s">
        <v>83</v>
      </c>
      <c r="P8" s="20" t="n">
        <f aca="false">IF(P$47,P$48,0)</f>
        <v>0</v>
      </c>
      <c r="Q8" s="1" t="s">
        <v>83</v>
      </c>
    </row>
    <row r="9" customFormat="false" ht="27.75" hidden="false" customHeight="true" outlineLevel="0" collapsed="false">
      <c r="B9" s="1" t="s">
        <v>84</v>
      </c>
      <c r="D9" s="21" t="str">
        <f aca="false">IF(OR(NOT(D$47),D$48=0),"暫不分攤",TEXT(QUOTIENT(D$46,MAX(1,D$48))/10,"0.0")&amp;IF(MOD(D$46,MAX(1,D$48))&gt;0,"–"&amp;TEXT((QUOTIENT(D$46,MAX(1,D$48))+1)/10,"0.0"),"")&amp;" 元／人")</f>
        <v>暫不分攤</v>
      </c>
      <c r="E9" s="21"/>
      <c r="F9" s="21" t="str">
        <f aca="false">IF(OR(NOT(F$47),F$48=0),"暫不分攤",TEXT(QUOTIENT(F$46,MAX(1,F$48))/10,"0.0")&amp;IF(MOD(F$46,MAX(1,F$48))&gt;0,"–"&amp;TEXT((QUOTIENT(F$46,MAX(1,F$48))+1)/10,"0.0"),"")&amp;" 元／人")</f>
        <v>暫不分攤</v>
      </c>
      <c r="G9" s="21"/>
      <c r="H9" s="21" t="str">
        <f aca="false">IF(OR(NOT(H$47),H$48=0),"暫不分攤",TEXT(QUOTIENT(H$46,MAX(1,H$48))/10,"0.0")&amp;IF(MOD(H$46,MAX(1,H$48))&gt;0,"–"&amp;TEXT((QUOTIENT(H$46,MAX(1,H$48))+1)/10,"0.0"),"")&amp;" 元／人")</f>
        <v>暫不分攤</v>
      </c>
      <c r="I9" s="21"/>
      <c r="J9" s="21" t="str">
        <f aca="false">IF(OR(NOT(J$47),J$48=0),"暫不分攤",TEXT(QUOTIENT(J$46,MAX(1,J$48))/10,"0.0")&amp;IF(MOD(J$46,MAX(1,J$48))&gt;0,"–"&amp;TEXT((QUOTIENT(J$46,MAX(1,J$48))+1)/10,"0.0"),"")&amp;" 元／人")</f>
        <v>暫不分攤</v>
      </c>
      <c r="K9" s="21"/>
      <c r="L9" s="21" t="str">
        <f aca="false">IF(OR(NOT(L$47),L$48=0),"暫不分攤",TEXT(QUOTIENT(L$46,MAX(1,L$48))/10,"0.0")&amp;IF(MOD(L$46,MAX(1,L$48))&gt;0,"–"&amp;TEXT((QUOTIENT(L$46,MAX(1,L$48))+1)/10,"0.0"),"")&amp;" 元／人")</f>
        <v>暫不分攤</v>
      </c>
      <c r="M9" s="21"/>
      <c r="N9" s="21" t="str">
        <f aca="false">IF(OR(NOT(N$47),N$48=0),"暫不分攤",TEXT(QUOTIENT(N$46,MAX(1,N$48))/10,"0.0")&amp;IF(MOD(N$46,MAX(1,N$48))&gt;0,"–"&amp;TEXT((QUOTIENT(N$46,MAX(1,N$48))+1)/10,"0.0"),"")&amp;" 元／人")</f>
        <v>暫不分攤</v>
      </c>
      <c r="O9" s="21"/>
      <c r="P9" s="21" t="str">
        <f aca="false">IF(OR(NOT(P$47),P$48=0),"暫不分攤",TEXT(QUOTIENT(P$46,MAX(1,P$48))/10,"0.0")&amp;IF(MOD(P$46,MAX(1,P$48))&gt;0,"–"&amp;TEXT((QUOTIENT(P$46,MAX(1,P$48))+1)/10,"0.0"),"")&amp;" 元／人")</f>
        <v>暫不分攤</v>
      </c>
      <c r="Q9" s="21"/>
    </row>
    <row r="10" customFormat="false" ht="81.75" hidden="false" customHeight="true" outlineLevel="0" collapsed="false">
      <c r="B10" s="1" t="s">
        <v>53</v>
      </c>
      <c r="D10" s="22" t="str">
        <f aca="false">IF(NOT(D$47),"金額須為非負數且最多一位小數。 ","")&amp;IF(AND(D$46&gt;0,D$50,$C$3&lt;&gt;TRUE()),"未用車但有車資：保留金額，暫不分攤。 ","")&amp;IF(AND(D$46&gt;0,D$50,$C$3=TRUE(),$C$49=0),"請設定具名司機；車資暫不分攤。 ","")&amp;IF(AND(D$46&gt;0,D$48=0,NOT(AND(D$46&gt;0,D$50,$C$3&lt;&gt;TRUE())),NOT(AND(D$46&gt;0,D$50,$C$3=TRUE(),$C$49=0))),"沒有可分攤者。 ","")&amp;IF(AND(D$46&gt;0,LEN(TRIM(E7))=0),"請指定具名代墊者。","")</f>
        <v/>
      </c>
      <c r="E10" s="22"/>
      <c r="F10" s="22" t="str">
        <f aca="false">IF(NOT(F$47),"金額須為非負數且最多一位小數。 ","")&amp;IF(AND(F$46&gt;0,F$50,$C$3&lt;&gt;TRUE()),"未用車但有車資：保留金額，暫不分攤。 ","")&amp;IF(AND(F$46&gt;0,F$50,$C$3=TRUE(),$C$49=0),"請設定具名司機；車資暫不分攤。 ","")&amp;IF(AND(F$46&gt;0,F$48=0,NOT(AND(F$46&gt;0,F$50,$C$3&lt;&gt;TRUE())),NOT(AND(F$46&gt;0,F$50,$C$3=TRUE(),$C$49=0))),"沒有可分攤者。 ","")&amp;IF(AND(F$46&gt;0,LEN(TRIM(G7))=0),"請指定具名代墊者。","")</f>
        <v/>
      </c>
      <c r="G10" s="22"/>
      <c r="H10" s="22" t="str">
        <f aca="false">IF(NOT(H$47),"金額須為非負數且最多一位小數。 ","")&amp;IF(AND(H$46&gt;0,H$50,$C$3&lt;&gt;TRUE()),"未用車但有車資：保留金額，暫不分攤。 ","")&amp;IF(AND(H$46&gt;0,H$50,$C$3=TRUE(),$C$49=0),"請設定具名司機；車資暫不分攤。 ","")&amp;IF(AND(H$46&gt;0,H$48=0,NOT(AND(H$46&gt;0,H$50,$C$3&lt;&gt;TRUE())),NOT(AND(H$46&gt;0,H$50,$C$3=TRUE(),$C$49=0))),"沒有可分攤者。 ","")&amp;IF(AND(H$46&gt;0,LEN(TRIM(I7))=0),"請指定具名代墊者。","")</f>
        <v/>
      </c>
      <c r="I10" s="22"/>
      <c r="J10" s="22" t="str">
        <f aca="false">IF(NOT(J$47),"金額須為非負數且最多一位小數。 ","")&amp;IF(AND(J$46&gt;0,J$50,$C$3&lt;&gt;TRUE()),"未用車但有車資：保留金額，暫不分攤。 ","")&amp;IF(AND(J$46&gt;0,J$50,$C$3=TRUE(),$C$49=0),"請設定具名司機；車資暫不分攤。 ","")&amp;IF(AND(J$46&gt;0,J$48=0,NOT(AND(J$46&gt;0,J$50,$C$3&lt;&gt;TRUE())),NOT(AND(J$46&gt;0,J$50,$C$3=TRUE(),$C$49=0))),"沒有可分攤者。 ","")&amp;IF(AND(J$46&gt;0,LEN(TRIM(K7))=0),"請指定具名代墊者。","")</f>
        <v/>
      </c>
      <c r="K10" s="22"/>
      <c r="L10" s="22" t="str">
        <f aca="false">IF(NOT(L$47),"金額須為非負數且最多一位小數。 ","")&amp;IF(AND(L$46&gt;0,L$50,$C$3&lt;&gt;TRUE()),"未用車但有車資：保留金額，暫不分攤。 ","")&amp;IF(AND(L$46&gt;0,L$50,$C$3=TRUE(),$C$49=0),"請設定具名司機；車資暫不分攤。 ","")&amp;IF(AND(L$46&gt;0,L$48=0,NOT(AND(L$46&gt;0,L$50,$C$3&lt;&gt;TRUE())),NOT(AND(L$46&gt;0,L$50,$C$3=TRUE(),$C$49=0))),"沒有可分攤者。 ","")&amp;IF(AND(L$46&gt;0,LEN(TRIM(M7))=0),"請指定具名代墊者。","")</f>
        <v/>
      </c>
      <c r="M10" s="22"/>
      <c r="N10" s="22" t="str">
        <f aca="false">IF(NOT(N$47),"金額須為非負數且最多一位小數。 ","")&amp;IF(AND(N$46&gt;0,N$50,$C$3&lt;&gt;TRUE()),"未用車但有車資：保留金額，暫不分攤。 ","")&amp;IF(AND(N$46&gt;0,N$50,$C$3=TRUE(),$C$49=0),"請設定具名司機；車資暫不分攤。 ","")&amp;IF(AND(N$46&gt;0,N$48=0,NOT(AND(N$46&gt;0,N$50,$C$3&lt;&gt;TRUE())),NOT(AND(N$46&gt;0,N$50,$C$3=TRUE(),$C$49=0))),"沒有可分攤者。 ","")&amp;IF(AND(N$46&gt;0,LEN(TRIM(O7))=0),"請指定具名代墊者。","")</f>
        <v/>
      </c>
      <c r="O10" s="22"/>
      <c r="P10" s="22" t="str">
        <f aca="false">IF(NOT(P$47),"金額須為非負數且最多一位小數。 ","")&amp;IF(AND(P$46&gt;0,P$50,$C$3&lt;&gt;TRUE()),"未用車但有車資：保留金額，暫不分攤。 ","")&amp;IF(AND(P$46&gt;0,P$50,$C$3=TRUE(),$C$49=0),"請設定具名司機；車資暫不分攤。 ","")&amp;IF(AND(P$46&gt;0,P$48=0,NOT(AND(P$46&gt;0,P$50,$C$3&lt;&gt;TRUE())),NOT(AND(P$46&gt;0,P$50,$C$3=TRUE(),$C$49=0))),"沒有可分攤者。 ","")&amp;IF(AND(P$46&gt;0,LEN(TRIM(Q7))=0),"請指定具名代墊者。","")</f>
        <v/>
      </c>
      <c r="Q10" s="22"/>
    </row>
    <row r="11" customFormat="false" ht="30" hidden="false" customHeight="true" outlineLevel="0" collapsed="false">
      <c r="A11" s="3" t="s">
        <v>8</v>
      </c>
      <c r="B11" s="3" t="s">
        <v>9</v>
      </c>
      <c r="C11" s="3" t="s">
        <v>85</v>
      </c>
      <c r="D11" s="3" t="s">
        <v>86</v>
      </c>
      <c r="E11" s="3" t="s">
        <v>87</v>
      </c>
      <c r="F11" s="3" t="s">
        <v>86</v>
      </c>
      <c r="G11" s="3" t="s">
        <v>87</v>
      </c>
      <c r="H11" s="3" t="s">
        <v>86</v>
      </c>
      <c r="I11" s="3" t="s">
        <v>87</v>
      </c>
      <c r="J11" s="3" t="s">
        <v>86</v>
      </c>
      <c r="K11" s="3" t="s">
        <v>87</v>
      </c>
      <c r="L11" s="3" t="s">
        <v>86</v>
      </c>
      <c r="M11" s="3" t="s">
        <v>87</v>
      </c>
      <c r="N11" s="3" t="s">
        <v>86</v>
      </c>
      <c r="O11" s="3" t="s">
        <v>87</v>
      </c>
      <c r="P11" s="3" t="s">
        <v>86</v>
      </c>
      <c r="Q11" s="3" t="s">
        <v>87</v>
      </c>
    </row>
    <row r="12" customFormat="false" ht="27" hidden="false" customHeight="true" outlineLevel="0" collapsed="false">
      <c r="A12" s="8" t="s">
        <v>18</v>
      </c>
      <c r="B12" s="9" t="str">
        <f aca="false">IFERROR(INDEX(成員名單!$B$5:$B$34,MATCH($A12,成員名單!$A$5:$A$34,0))&amp;"","")</f>
        <v/>
      </c>
      <c r="C12" s="23" t="b">
        <f aca="false">FALSE()</f>
        <v>0</v>
      </c>
      <c r="D12" s="23" t="b">
        <f aca="false">FALSE()</f>
        <v>0</v>
      </c>
      <c r="E12" s="9" t="n">
        <f aca="false">D52/10</f>
        <v>0</v>
      </c>
      <c r="F12" s="23" t="b">
        <f aca="false">FALSE()</f>
        <v>0</v>
      </c>
      <c r="G12" s="9" t="n">
        <f aca="false">F52/10</f>
        <v>0</v>
      </c>
      <c r="H12" s="23" t="b">
        <f aca="false">FALSE()</f>
        <v>0</v>
      </c>
      <c r="I12" s="9" t="n">
        <f aca="false">H52/10</f>
        <v>0</v>
      </c>
      <c r="J12" s="23" t="b">
        <f aca="false">FALSE()</f>
        <v>0</v>
      </c>
      <c r="K12" s="9" t="n">
        <f aca="false">J52/10</f>
        <v>0</v>
      </c>
      <c r="L12" s="23" t="b">
        <f aca="false">FALSE()</f>
        <v>0</v>
      </c>
      <c r="M12" s="9" t="n">
        <f aca="false">L52/10</f>
        <v>0</v>
      </c>
      <c r="N12" s="23" t="b">
        <f aca="false">FALSE()</f>
        <v>0</v>
      </c>
      <c r="O12" s="9" t="n">
        <f aca="false">N52/10</f>
        <v>0</v>
      </c>
      <c r="P12" s="23" t="b">
        <f aca="false">FALSE()</f>
        <v>0</v>
      </c>
      <c r="Q12" s="9" t="n">
        <f aca="false">P52/10</f>
        <v>0</v>
      </c>
    </row>
    <row r="13" customFormat="false" ht="27" hidden="false" customHeight="true" outlineLevel="0" collapsed="false">
      <c r="A13" s="10" t="s">
        <v>19</v>
      </c>
      <c r="B13" s="11" t="str">
        <f aca="false">IFERROR(INDEX(成員名單!$B$5:$B$34,MATCH($A13,成員名單!$A$5:$A$34,0))&amp;"","")</f>
        <v/>
      </c>
      <c r="C13" s="23" t="b">
        <f aca="false">FALSE()</f>
        <v>0</v>
      </c>
      <c r="D13" s="23" t="b">
        <f aca="false">FALSE()</f>
        <v>0</v>
      </c>
      <c r="E13" s="11" t="n">
        <f aca="false">D53/10</f>
        <v>0</v>
      </c>
      <c r="F13" s="23" t="b">
        <f aca="false">FALSE()</f>
        <v>0</v>
      </c>
      <c r="G13" s="11" t="n">
        <f aca="false">F53/10</f>
        <v>0</v>
      </c>
      <c r="H13" s="23" t="b">
        <f aca="false">FALSE()</f>
        <v>0</v>
      </c>
      <c r="I13" s="11" t="n">
        <f aca="false">H53/10</f>
        <v>0</v>
      </c>
      <c r="J13" s="23" t="b">
        <f aca="false">FALSE()</f>
        <v>0</v>
      </c>
      <c r="K13" s="11" t="n">
        <f aca="false">J53/10</f>
        <v>0</v>
      </c>
      <c r="L13" s="23" t="b">
        <f aca="false">FALSE()</f>
        <v>0</v>
      </c>
      <c r="M13" s="11" t="n">
        <f aca="false">L53/10</f>
        <v>0</v>
      </c>
      <c r="N13" s="23" t="b">
        <f aca="false">FALSE()</f>
        <v>0</v>
      </c>
      <c r="O13" s="11" t="n">
        <f aca="false">N53/10</f>
        <v>0</v>
      </c>
      <c r="P13" s="23" t="b">
        <f aca="false">FALSE()</f>
        <v>0</v>
      </c>
      <c r="Q13" s="11" t="n">
        <f aca="false">P53/10</f>
        <v>0</v>
      </c>
    </row>
    <row r="14" customFormat="false" ht="27" hidden="false" customHeight="true" outlineLevel="0" collapsed="false">
      <c r="A14" s="8" t="s">
        <v>20</v>
      </c>
      <c r="B14" s="9" t="str">
        <f aca="false">IFERROR(INDEX(成員名單!$B$5:$B$34,MATCH($A14,成員名單!$A$5:$A$34,0))&amp;"","")</f>
        <v/>
      </c>
      <c r="C14" s="23" t="b">
        <f aca="false">FALSE()</f>
        <v>0</v>
      </c>
      <c r="D14" s="23" t="b">
        <f aca="false">FALSE()</f>
        <v>0</v>
      </c>
      <c r="E14" s="9" t="n">
        <f aca="false">D54/10</f>
        <v>0</v>
      </c>
      <c r="F14" s="23" t="b">
        <f aca="false">FALSE()</f>
        <v>0</v>
      </c>
      <c r="G14" s="9" t="n">
        <f aca="false">F54/10</f>
        <v>0</v>
      </c>
      <c r="H14" s="23" t="b">
        <f aca="false">FALSE()</f>
        <v>0</v>
      </c>
      <c r="I14" s="9" t="n">
        <f aca="false">H54/10</f>
        <v>0</v>
      </c>
      <c r="J14" s="23" t="b">
        <f aca="false">FALSE()</f>
        <v>0</v>
      </c>
      <c r="K14" s="9" t="n">
        <f aca="false">J54/10</f>
        <v>0</v>
      </c>
      <c r="L14" s="23" t="b">
        <f aca="false">FALSE()</f>
        <v>0</v>
      </c>
      <c r="M14" s="9" t="n">
        <f aca="false">L54/10</f>
        <v>0</v>
      </c>
      <c r="N14" s="23" t="b">
        <f aca="false">FALSE()</f>
        <v>0</v>
      </c>
      <c r="O14" s="9" t="n">
        <f aca="false">N54/10</f>
        <v>0</v>
      </c>
      <c r="P14" s="23" t="b">
        <f aca="false">FALSE()</f>
        <v>0</v>
      </c>
      <c r="Q14" s="9" t="n">
        <f aca="false">P54/10</f>
        <v>0</v>
      </c>
    </row>
    <row r="15" customFormat="false" ht="27" hidden="false" customHeight="true" outlineLevel="0" collapsed="false">
      <c r="A15" s="10" t="s">
        <v>21</v>
      </c>
      <c r="B15" s="11" t="str">
        <f aca="false">IFERROR(INDEX(成員名單!$B$5:$B$34,MATCH($A15,成員名單!$A$5:$A$34,0))&amp;"","")</f>
        <v/>
      </c>
      <c r="C15" s="23" t="b">
        <f aca="false">FALSE()</f>
        <v>0</v>
      </c>
      <c r="D15" s="23" t="b">
        <f aca="false">FALSE()</f>
        <v>0</v>
      </c>
      <c r="E15" s="11" t="n">
        <f aca="false">D55/10</f>
        <v>0</v>
      </c>
      <c r="F15" s="23" t="b">
        <f aca="false">FALSE()</f>
        <v>0</v>
      </c>
      <c r="G15" s="11" t="n">
        <f aca="false">F55/10</f>
        <v>0</v>
      </c>
      <c r="H15" s="23" t="b">
        <f aca="false">FALSE()</f>
        <v>0</v>
      </c>
      <c r="I15" s="11" t="n">
        <f aca="false">H55/10</f>
        <v>0</v>
      </c>
      <c r="J15" s="23" t="b">
        <f aca="false">FALSE()</f>
        <v>0</v>
      </c>
      <c r="K15" s="11" t="n">
        <f aca="false">J55/10</f>
        <v>0</v>
      </c>
      <c r="L15" s="23" t="b">
        <f aca="false">FALSE()</f>
        <v>0</v>
      </c>
      <c r="M15" s="11" t="n">
        <f aca="false">L55/10</f>
        <v>0</v>
      </c>
      <c r="N15" s="23" t="b">
        <f aca="false">FALSE()</f>
        <v>0</v>
      </c>
      <c r="O15" s="11" t="n">
        <f aca="false">N55/10</f>
        <v>0</v>
      </c>
      <c r="P15" s="23" t="b">
        <f aca="false">FALSE()</f>
        <v>0</v>
      </c>
      <c r="Q15" s="11" t="n">
        <f aca="false">P55/10</f>
        <v>0</v>
      </c>
    </row>
    <row r="16" customFormat="false" ht="27" hidden="false" customHeight="true" outlineLevel="0" collapsed="false">
      <c r="A16" s="8" t="s">
        <v>22</v>
      </c>
      <c r="B16" s="9" t="str">
        <f aca="false">IFERROR(INDEX(成員名單!$B$5:$B$34,MATCH($A16,成員名單!$A$5:$A$34,0))&amp;"","")</f>
        <v/>
      </c>
      <c r="C16" s="23" t="b">
        <f aca="false">FALSE()</f>
        <v>0</v>
      </c>
      <c r="D16" s="23" t="b">
        <f aca="false">FALSE()</f>
        <v>0</v>
      </c>
      <c r="E16" s="9" t="n">
        <f aca="false">D56/10</f>
        <v>0</v>
      </c>
      <c r="F16" s="23" t="b">
        <f aca="false">FALSE()</f>
        <v>0</v>
      </c>
      <c r="G16" s="9" t="n">
        <f aca="false">F56/10</f>
        <v>0</v>
      </c>
      <c r="H16" s="23" t="b">
        <f aca="false">FALSE()</f>
        <v>0</v>
      </c>
      <c r="I16" s="9" t="n">
        <f aca="false">H56/10</f>
        <v>0</v>
      </c>
      <c r="J16" s="23" t="b">
        <f aca="false">FALSE()</f>
        <v>0</v>
      </c>
      <c r="K16" s="9" t="n">
        <f aca="false">J56/10</f>
        <v>0</v>
      </c>
      <c r="L16" s="23" t="b">
        <f aca="false">FALSE()</f>
        <v>0</v>
      </c>
      <c r="M16" s="9" t="n">
        <f aca="false">L56/10</f>
        <v>0</v>
      </c>
      <c r="N16" s="23" t="b">
        <f aca="false">FALSE()</f>
        <v>0</v>
      </c>
      <c r="O16" s="9" t="n">
        <f aca="false">N56/10</f>
        <v>0</v>
      </c>
      <c r="P16" s="23" t="b">
        <f aca="false">FALSE()</f>
        <v>0</v>
      </c>
      <c r="Q16" s="9" t="n">
        <f aca="false">P56/10</f>
        <v>0</v>
      </c>
    </row>
    <row r="17" customFormat="false" ht="27" hidden="false" customHeight="true" outlineLevel="0" collapsed="false">
      <c r="A17" s="10" t="s">
        <v>23</v>
      </c>
      <c r="B17" s="11" t="str">
        <f aca="false">IFERROR(INDEX(成員名單!$B$5:$B$34,MATCH($A17,成員名單!$A$5:$A$34,0))&amp;"","")</f>
        <v/>
      </c>
      <c r="C17" s="23" t="b">
        <f aca="false">FALSE()</f>
        <v>0</v>
      </c>
      <c r="D17" s="23" t="b">
        <f aca="false">FALSE()</f>
        <v>0</v>
      </c>
      <c r="E17" s="11" t="n">
        <f aca="false">D57/10</f>
        <v>0</v>
      </c>
      <c r="F17" s="23" t="b">
        <f aca="false">FALSE()</f>
        <v>0</v>
      </c>
      <c r="G17" s="11" t="n">
        <f aca="false">F57/10</f>
        <v>0</v>
      </c>
      <c r="H17" s="23" t="b">
        <f aca="false">FALSE()</f>
        <v>0</v>
      </c>
      <c r="I17" s="11" t="n">
        <f aca="false">H57/10</f>
        <v>0</v>
      </c>
      <c r="J17" s="23" t="b">
        <f aca="false">FALSE()</f>
        <v>0</v>
      </c>
      <c r="K17" s="11" t="n">
        <f aca="false">J57/10</f>
        <v>0</v>
      </c>
      <c r="L17" s="23" t="b">
        <f aca="false">FALSE()</f>
        <v>0</v>
      </c>
      <c r="M17" s="11" t="n">
        <f aca="false">L57/10</f>
        <v>0</v>
      </c>
      <c r="N17" s="23" t="b">
        <f aca="false">FALSE()</f>
        <v>0</v>
      </c>
      <c r="O17" s="11" t="n">
        <f aca="false">N57/10</f>
        <v>0</v>
      </c>
      <c r="P17" s="23" t="b">
        <f aca="false">FALSE()</f>
        <v>0</v>
      </c>
      <c r="Q17" s="11" t="n">
        <f aca="false">P57/10</f>
        <v>0</v>
      </c>
    </row>
    <row r="18" customFormat="false" ht="27" hidden="false" customHeight="true" outlineLevel="0" collapsed="false">
      <c r="A18" s="8" t="s">
        <v>24</v>
      </c>
      <c r="B18" s="9" t="str">
        <f aca="false">IFERROR(INDEX(成員名單!$B$5:$B$34,MATCH($A18,成員名單!$A$5:$A$34,0))&amp;"","")</f>
        <v/>
      </c>
      <c r="C18" s="23" t="b">
        <f aca="false">FALSE()</f>
        <v>0</v>
      </c>
      <c r="D18" s="23" t="b">
        <f aca="false">FALSE()</f>
        <v>0</v>
      </c>
      <c r="E18" s="9" t="n">
        <f aca="false">D58/10</f>
        <v>0</v>
      </c>
      <c r="F18" s="23" t="b">
        <f aca="false">FALSE()</f>
        <v>0</v>
      </c>
      <c r="G18" s="9" t="n">
        <f aca="false">F58/10</f>
        <v>0</v>
      </c>
      <c r="H18" s="23" t="b">
        <f aca="false">FALSE()</f>
        <v>0</v>
      </c>
      <c r="I18" s="9" t="n">
        <f aca="false">H58/10</f>
        <v>0</v>
      </c>
      <c r="J18" s="23" t="b">
        <f aca="false">FALSE()</f>
        <v>0</v>
      </c>
      <c r="K18" s="9" t="n">
        <f aca="false">J58/10</f>
        <v>0</v>
      </c>
      <c r="L18" s="23" t="b">
        <f aca="false">FALSE()</f>
        <v>0</v>
      </c>
      <c r="M18" s="9" t="n">
        <f aca="false">L58/10</f>
        <v>0</v>
      </c>
      <c r="N18" s="23" t="b">
        <f aca="false">FALSE()</f>
        <v>0</v>
      </c>
      <c r="O18" s="9" t="n">
        <f aca="false">N58/10</f>
        <v>0</v>
      </c>
      <c r="P18" s="23" t="b">
        <f aca="false">FALSE()</f>
        <v>0</v>
      </c>
      <c r="Q18" s="9" t="n">
        <f aca="false">P58/10</f>
        <v>0</v>
      </c>
    </row>
    <row r="19" customFormat="false" ht="27" hidden="false" customHeight="true" outlineLevel="0" collapsed="false">
      <c r="A19" s="10" t="s">
        <v>25</v>
      </c>
      <c r="B19" s="11" t="str">
        <f aca="false">IFERROR(INDEX(成員名單!$B$5:$B$34,MATCH($A19,成員名單!$A$5:$A$34,0))&amp;"","")</f>
        <v/>
      </c>
      <c r="C19" s="23" t="b">
        <f aca="false">FALSE()</f>
        <v>0</v>
      </c>
      <c r="D19" s="23" t="b">
        <f aca="false">FALSE()</f>
        <v>0</v>
      </c>
      <c r="E19" s="11" t="n">
        <f aca="false">D59/10</f>
        <v>0</v>
      </c>
      <c r="F19" s="23" t="b">
        <f aca="false">FALSE()</f>
        <v>0</v>
      </c>
      <c r="G19" s="11" t="n">
        <f aca="false">F59/10</f>
        <v>0</v>
      </c>
      <c r="H19" s="23" t="b">
        <f aca="false">FALSE()</f>
        <v>0</v>
      </c>
      <c r="I19" s="11" t="n">
        <f aca="false">H59/10</f>
        <v>0</v>
      </c>
      <c r="J19" s="23" t="b">
        <f aca="false">FALSE()</f>
        <v>0</v>
      </c>
      <c r="K19" s="11" t="n">
        <f aca="false">J59/10</f>
        <v>0</v>
      </c>
      <c r="L19" s="23" t="b">
        <f aca="false">FALSE()</f>
        <v>0</v>
      </c>
      <c r="M19" s="11" t="n">
        <f aca="false">L59/10</f>
        <v>0</v>
      </c>
      <c r="N19" s="23" t="b">
        <f aca="false">FALSE()</f>
        <v>0</v>
      </c>
      <c r="O19" s="11" t="n">
        <f aca="false">N59/10</f>
        <v>0</v>
      </c>
      <c r="P19" s="23" t="b">
        <f aca="false">FALSE()</f>
        <v>0</v>
      </c>
      <c r="Q19" s="11" t="n">
        <f aca="false">P59/10</f>
        <v>0</v>
      </c>
    </row>
    <row r="20" customFormat="false" ht="27" hidden="false" customHeight="true" outlineLevel="0" collapsed="false">
      <c r="A20" s="8" t="s">
        <v>26</v>
      </c>
      <c r="B20" s="9" t="str">
        <f aca="false">IFERROR(INDEX(成員名單!$B$5:$B$34,MATCH($A20,成員名單!$A$5:$A$34,0))&amp;"","")</f>
        <v/>
      </c>
      <c r="C20" s="23" t="b">
        <f aca="false">FALSE()</f>
        <v>0</v>
      </c>
      <c r="D20" s="23" t="b">
        <f aca="false">FALSE()</f>
        <v>0</v>
      </c>
      <c r="E20" s="9" t="n">
        <f aca="false">D60/10</f>
        <v>0</v>
      </c>
      <c r="F20" s="23" t="b">
        <f aca="false">FALSE()</f>
        <v>0</v>
      </c>
      <c r="G20" s="9" t="n">
        <f aca="false">F60/10</f>
        <v>0</v>
      </c>
      <c r="H20" s="23" t="b">
        <f aca="false">FALSE()</f>
        <v>0</v>
      </c>
      <c r="I20" s="9" t="n">
        <f aca="false">H60/10</f>
        <v>0</v>
      </c>
      <c r="J20" s="23" t="b">
        <f aca="false">FALSE()</f>
        <v>0</v>
      </c>
      <c r="K20" s="9" t="n">
        <f aca="false">J60/10</f>
        <v>0</v>
      </c>
      <c r="L20" s="23" t="b">
        <f aca="false">FALSE()</f>
        <v>0</v>
      </c>
      <c r="M20" s="9" t="n">
        <f aca="false">L60/10</f>
        <v>0</v>
      </c>
      <c r="N20" s="23" t="b">
        <f aca="false">FALSE()</f>
        <v>0</v>
      </c>
      <c r="O20" s="9" t="n">
        <f aca="false">N60/10</f>
        <v>0</v>
      </c>
      <c r="P20" s="23" t="b">
        <f aca="false">FALSE()</f>
        <v>0</v>
      </c>
      <c r="Q20" s="9" t="n">
        <f aca="false">P60/10</f>
        <v>0</v>
      </c>
    </row>
    <row r="21" customFormat="false" ht="27" hidden="false" customHeight="true" outlineLevel="0" collapsed="false">
      <c r="A21" s="10" t="s">
        <v>27</v>
      </c>
      <c r="B21" s="11" t="str">
        <f aca="false">IFERROR(INDEX(成員名單!$B$5:$B$34,MATCH($A21,成員名單!$A$5:$A$34,0))&amp;"","")</f>
        <v/>
      </c>
      <c r="C21" s="23" t="b">
        <f aca="false">FALSE()</f>
        <v>0</v>
      </c>
      <c r="D21" s="23" t="b">
        <f aca="false">FALSE()</f>
        <v>0</v>
      </c>
      <c r="E21" s="11" t="n">
        <f aca="false">D61/10</f>
        <v>0</v>
      </c>
      <c r="F21" s="23" t="b">
        <f aca="false">FALSE()</f>
        <v>0</v>
      </c>
      <c r="G21" s="11" t="n">
        <f aca="false">F61/10</f>
        <v>0</v>
      </c>
      <c r="H21" s="23" t="b">
        <f aca="false">FALSE()</f>
        <v>0</v>
      </c>
      <c r="I21" s="11" t="n">
        <f aca="false">H61/10</f>
        <v>0</v>
      </c>
      <c r="J21" s="23" t="b">
        <f aca="false">FALSE()</f>
        <v>0</v>
      </c>
      <c r="K21" s="11" t="n">
        <f aca="false">J61/10</f>
        <v>0</v>
      </c>
      <c r="L21" s="23" t="b">
        <f aca="false">FALSE()</f>
        <v>0</v>
      </c>
      <c r="M21" s="11" t="n">
        <f aca="false">L61/10</f>
        <v>0</v>
      </c>
      <c r="N21" s="23" t="b">
        <f aca="false">FALSE()</f>
        <v>0</v>
      </c>
      <c r="O21" s="11" t="n">
        <f aca="false">N61/10</f>
        <v>0</v>
      </c>
      <c r="P21" s="23" t="b">
        <f aca="false">FALSE()</f>
        <v>0</v>
      </c>
      <c r="Q21" s="11" t="n">
        <f aca="false">P61/10</f>
        <v>0</v>
      </c>
    </row>
    <row r="22" customFormat="false" ht="27" hidden="false" customHeight="true" outlineLevel="0" collapsed="false">
      <c r="A22" s="8" t="s">
        <v>28</v>
      </c>
      <c r="B22" s="9" t="str">
        <f aca="false">IFERROR(INDEX(成員名單!$B$5:$B$34,MATCH($A22,成員名單!$A$5:$A$34,0))&amp;"","")</f>
        <v/>
      </c>
      <c r="C22" s="23" t="b">
        <f aca="false">FALSE()</f>
        <v>0</v>
      </c>
      <c r="D22" s="23" t="b">
        <f aca="false">FALSE()</f>
        <v>0</v>
      </c>
      <c r="E22" s="9" t="n">
        <f aca="false">D62/10</f>
        <v>0</v>
      </c>
      <c r="F22" s="23" t="b">
        <f aca="false">FALSE()</f>
        <v>0</v>
      </c>
      <c r="G22" s="9" t="n">
        <f aca="false">F62/10</f>
        <v>0</v>
      </c>
      <c r="H22" s="23" t="b">
        <f aca="false">FALSE()</f>
        <v>0</v>
      </c>
      <c r="I22" s="9" t="n">
        <f aca="false">H62/10</f>
        <v>0</v>
      </c>
      <c r="J22" s="23" t="b">
        <f aca="false">FALSE()</f>
        <v>0</v>
      </c>
      <c r="K22" s="9" t="n">
        <f aca="false">J62/10</f>
        <v>0</v>
      </c>
      <c r="L22" s="23" t="b">
        <f aca="false">FALSE()</f>
        <v>0</v>
      </c>
      <c r="M22" s="9" t="n">
        <f aca="false">L62/10</f>
        <v>0</v>
      </c>
      <c r="N22" s="23" t="b">
        <f aca="false">FALSE()</f>
        <v>0</v>
      </c>
      <c r="O22" s="9" t="n">
        <f aca="false">N62/10</f>
        <v>0</v>
      </c>
      <c r="P22" s="23" t="b">
        <f aca="false">FALSE()</f>
        <v>0</v>
      </c>
      <c r="Q22" s="9" t="n">
        <f aca="false">P62/10</f>
        <v>0</v>
      </c>
    </row>
    <row r="23" customFormat="false" ht="27" hidden="false" customHeight="true" outlineLevel="0" collapsed="false">
      <c r="A23" s="10" t="s">
        <v>29</v>
      </c>
      <c r="B23" s="11" t="str">
        <f aca="false">IFERROR(INDEX(成員名單!$B$5:$B$34,MATCH($A23,成員名單!$A$5:$A$34,0))&amp;"","")</f>
        <v/>
      </c>
      <c r="C23" s="23" t="b">
        <f aca="false">FALSE()</f>
        <v>0</v>
      </c>
      <c r="D23" s="23" t="b">
        <f aca="false">FALSE()</f>
        <v>0</v>
      </c>
      <c r="E23" s="11" t="n">
        <f aca="false">D63/10</f>
        <v>0</v>
      </c>
      <c r="F23" s="23" t="b">
        <f aca="false">FALSE()</f>
        <v>0</v>
      </c>
      <c r="G23" s="11" t="n">
        <f aca="false">F63/10</f>
        <v>0</v>
      </c>
      <c r="H23" s="23" t="b">
        <f aca="false">FALSE()</f>
        <v>0</v>
      </c>
      <c r="I23" s="11" t="n">
        <f aca="false">H63/10</f>
        <v>0</v>
      </c>
      <c r="J23" s="23" t="b">
        <f aca="false">FALSE()</f>
        <v>0</v>
      </c>
      <c r="K23" s="11" t="n">
        <f aca="false">J63/10</f>
        <v>0</v>
      </c>
      <c r="L23" s="23" t="b">
        <f aca="false">FALSE()</f>
        <v>0</v>
      </c>
      <c r="M23" s="11" t="n">
        <f aca="false">L63/10</f>
        <v>0</v>
      </c>
      <c r="N23" s="23" t="b">
        <f aca="false">FALSE()</f>
        <v>0</v>
      </c>
      <c r="O23" s="11" t="n">
        <f aca="false">N63/10</f>
        <v>0</v>
      </c>
      <c r="P23" s="23" t="b">
        <f aca="false">FALSE()</f>
        <v>0</v>
      </c>
      <c r="Q23" s="11" t="n">
        <f aca="false">P63/10</f>
        <v>0</v>
      </c>
    </row>
    <row r="24" customFormat="false" ht="27" hidden="false" customHeight="true" outlineLevel="0" collapsed="false">
      <c r="A24" s="8" t="s">
        <v>30</v>
      </c>
      <c r="B24" s="9" t="str">
        <f aca="false">IFERROR(INDEX(成員名單!$B$5:$B$34,MATCH($A24,成員名單!$A$5:$A$34,0))&amp;"","")</f>
        <v/>
      </c>
      <c r="C24" s="23" t="b">
        <f aca="false">FALSE()</f>
        <v>0</v>
      </c>
      <c r="D24" s="23" t="b">
        <f aca="false">FALSE()</f>
        <v>0</v>
      </c>
      <c r="E24" s="9" t="n">
        <f aca="false">D64/10</f>
        <v>0</v>
      </c>
      <c r="F24" s="23" t="b">
        <f aca="false">FALSE()</f>
        <v>0</v>
      </c>
      <c r="G24" s="9" t="n">
        <f aca="false">F64/10</f>
        <v>0</v>
      </c>
      <c r="H24" s="23" t="b">
        <f aca="false">FALSE()</f>
        <v>0</v>
      </c>
      <c r="I24" s="9" t="n">
        <f aca="false">H64/10</f>
        <v>0</v>
      </c>
      <c r="J24" s="23" t="b">
        <f aca="false">FALSE()</f>
        <v>0</v>
      </c>
      <c r="K24" s="9" t="n">
        <f aca="false">J64/10</f>
        <v>0</v>
      </c>
      <c r="L24" s="23" t="b">
        <f aca="false">FALSE()</f>
        <v>0</v>
      </c>
      <c r="M24" s="9" t="n">
        <f aca="false">L64/10</f>
        <v>0</v>
      </c>
      <c r="N24" s="23" t="b">
        <f aca="false">FALSE()</f>
        <v>0</v>
      </c>
      <c r="O24" s="9" t="n">
        <f aca="false">N64/10</f>
        <v>0</v>
      </c>
      <c r="P24" s="23" t="b">
        <f aca="false">FALSE()</f>
        <v>0</v>
      </c>
      <c r="Q24" s="9" t="n">
        <f aca="false">P64/10</f>
        <v>0</v>
      </c>
    </row>
    <row r="25" customFormat="false" ht="27" hidden="false" customHeight="true" outlineLevel="0" collapsed="false">
      <c r="A25" s="10" t="s">
        <v>31</v>
      </c>
      <c r="B25" s="11" t="str">
        <f aca="false">IFERROR(INDEX(成員名單!$B$5:$B$34,MATCH($A25,成員名單!$A$5:$A$34,0))&amp;"","")</f>
        <v/>
      </c>
      <c r="C25" s="23" t="b">
        <f aca="false">FALSE()</f>
        <v>0</v>
      </c>
      <c r="D25" s="23" t="b">
        <f aca="false">FALSE()</f>
        <v>0</v>
      </c>
      <c r="E25" s="11" t="n">
        <f aca="false">D65/10</f>
        <v>0</v>
      </c>
      <c r="F25" s="23" t="b">
        <f aca="false">FALSE()</f>
        <v>0</v>
      </c>
      <c r="G25" s="11" t="n">
        <f aca="false">F65/10</f>
        <v>0</v>
      </c>
      <c r="H25" s="23" t="b">
        <f aca="false">FALSE()</f>
        <v>0</v>
      </c>
      <c r="I25" s="11" t="n">
        <f aca="false">H65/10</f>
        <v>0</v>
      </c>
      <c r="J25" s="23" t="b">
        <f aca="false">FALSE()</f>
        <v>0</v>
      </c>
      <c r="K25" s="11" t="n">
        <f aca="false">J65/10</f>
        <v>0</v>
      </c>
      <c r="L25" s="23" t="b">
        <f aca="false">FALSE()</f>
        <v>0</v>
      </c>
      <c r="M25" s="11" t="n">
        <f aca="false">L65/10</f>
        <v>0</v>
      </c>
      <c r="N25" s="23" t="b">
        <f aca="false">FALSE()</f>
        <v>0</v>
      </c>
      <c r="O25" s="11" t="n">
        <f aca="false">N65/10</f>
        <v>0</v>
      </c>
      <c r="P25" s="23" t="b">
        <f aca="false">FALSE()</f>
        <v>0</v>
      </c>
      <c r="Q25" s="11" t="n">
        <f aca="false">P65/10</f>
        <v>0</v>
      </c>
    </row>
    <row r="26" customFormat="false" ht="27" hidden="false" customHeight="true" outlineLevel="0" collapsed="false">
      <c r="A26" s="8" t="s">
        <v>32</v>
      </c>
      <c r="B26" s="9" t="str">
        <f aca="false">IFERROR(INDEX(成員名單!$B$5:$B$34,MATCH($A26,成員名單!$A$5:$A$34,0))&amp;"","")</f>
        <v/>
      </c>
      <c r="C26" s="23" t="b">
        <f aca="false">FALSE()</f>
        <v>0</v>
      </c>
      <c r="D26" s="23" t="b">
        <f aca="false">FALSE()</f>
        <v>0</v>
      </c>
      <c r="E26" s="9" t="n">
        <f aca="false">D66/10</f>
        <v>0</v>
      </c>
      <c r="F26" s="23" t="b">
        <f aca="false">FALSE()</f>
        <v>0</v>
      </c>
      <c r="G26" s="9" t="n">
        <f aca="false">F66/10</f>
        <v>0</v>
      </c>
      <c r="H26" s="23" t="b">
        <f aca="false">FALSE()</f>
        <v>0</v>
      </c>
      <c r="I26" s="9" t="n">
        <f aca="false">H66/10</f>
        <v>0</v>
      </c>
      <c r="J26" s="23" t="b">
        <f aca="false">FALSE()</f>
        <v>0</v>
      </c>
      <c r="K26" s="9" t="n">
        <f aca="false">J66/10</f>
        <v>0</v>
      </c>
      <c r="L26" s="23" t="b">
        <f aca="false">FALSE()</f>
        <v>0</v>
      </c>
      <c r="M26" s="9" t="n">
        <f aca="false">L66/10</f>
        <v>0</v>
      </c>
      <c r="N26" s="23" t="b">
        <f aca="false">FALSE()</f>
        <v>0</v>
      </c>
      <c r="O26" s="9" t="n">
        <f aca="false">N66/10</f>
        <v>0</v>
      </c>
      <c r="P26" s="23" t="b">
        <f aca="false">FALSE()</f>
        <v>0</v>
      </c>
      <c r="Q26" s="9" t="n">
        <f aca="false">P66/10</f>
        <v>0</v>
      </c>
    </row>
    <row r="27" customFormat="false" ht="27" hidden="false" customHeight="true" outlineLevel="0" collapsed="false">
      <c r="A27" s="10" t="s">
        <v>33</v>
      </c>
      <c r="B27" s="11" t="str">
        <f aca="false">IFERROR(INDEX(成員名單!$B$5:$B$34,MATCH($A27,成員名單!$A$5:$A$34,0))&amp;"","")</f>
        <v/>
      </c>
      <c r="C27" s="23" t="b">
        <f aca="false">FALSE()</f>
        <v>0</v>
      </c>
      <c r="D27" s="23" t="b">
        <f aca="false">FALSE()</f>
        <v>0</v>
      </c>
      <c r="E27" s="11" t="n">
        <f aca="false">D67/10</f>
        <v>0</v>
      </c>
      <c r="F27" s="23" t="b">
        <f aca="false">FALSE()</f>
        <v>0</v>
      </c>
      <c r="G27" s="11" t="n">
        <f aca="false">F67/10</f>
        <v>0</v>
      </c>
      <c r="H27" s="23" t="b">
        <f aca="false">FALSE()</f>
        <v>0</v>
      </c>
      <c r="I27" s="11" t="n">
        <f aca="false">H67/10</f>
        <v>0</v>
      </c>
      <c r="J27" s="23" t="b">
        <f aca="false">FALSE()</f>
        <v>0</v>
      </c>
      <c r="K27" s="11" t="n">
        <f aca="false">J67/10</f>
        <v>0</v>
      </c>
      <c r="L27" s="23" t="b">
        <f aca="false">FALSE()</f>
        <v>0</v>
      </c>
      <c r="M27" s="11" t="n">
        <f aca="false">L67/10</f>
        <v>0</v>
      </c>
      <c r="N27" s="23" t="b">
        <f aca="false">FALSE()</f>
        <v>0</v>
      </c>
      <c r="O27" s="11" t="n">
        <f aca="false">N67/10</f>
        <v>0</v>
      </c>
      <c r="P27" s="23" t="b">
        <f aca="false">FALSE()</f>
        <v>0</v>
      </c>
      <c r="Q27" s="11" t="n">
        <f aca="false">P67/10</f>
        <v>0</v>
      </c>
    </row>
    <row r="28" customFormat="false" ht="27" hidden="false" customHeight="true" outlineLevel="0" collapsed="false">
      <c r="A28" s="8" t="s">
        <v>34</v>
      </c>
      <c r="B28" s="9" t="str">
        <f aca="false">IFERROR(INDEX(成員名單!$B$5:$B$34,MATCH($A28,成員名單!$A$5:$A$34,0))&amp;"","")</f>
        <v/>
      </c>
      <c r="C28" s="23" t="b">
        <f aca="false">FALSE()</f>
        <v>0</v>
      </c>
      <c r="D28" s="23" t="b">
        <f aca="false">FALSE()</f>
        <v>0</v>
      </c>
      <c r="E28" s="9" t="n">
        <f aca="false">D68/10</f>
        <v>0</v>
      </c>
      <c r="F28" s="23" t="b">
        <f aca="false">FALSE()</f>
        <v>0</v>
      </c>
      <c r="G28" s="9" t="n">
        <f aca="false">F68/10</f>
        <v>0</v>
      </c>
      <c r="H28" s="23" t="b">
        <f aca="false">FALSE()</f>
        <v>0</v>
      </c>
      <c r="I28" s="9" t="n">
        <f aca="false">H68/10</f>
        <v>0</v>
      </c>
      <c r="J28" s="23" t="b">
        <f aca="false">FALSE()</f>
        <v>0</v>
      </c>
      <c r="K28" s="9" t="n">
        <f aca="false">J68/10</f>
        <v>0</v>
      </c>
      <c r="L28" s="23" t="b">
        <f aca="false">FALSE()</f>
        <v>0</v>
      </c>
      <c r="M28" s="9" t="n">
        <f aca="false">L68/10</f>
        <v>0</v>
      </c>
      <c r="N28" s="23" t="b">
        <f aca="false">FALSE()</f>
        <v>0</v>
      </c>
      <c r="O28" s="9" t="n">
        <f aca="false">N68/10</f>
        <v>0</v>
      </c>
      <c r="P28" s="23" t="b">
        <f aca="false">FALSE()</f>
        <v>0</v>
      </c>
      <c r="Q28" s="9" t="n">
        <f aca="false">P68/10</f>
        <v>0</v>
      </c>
    </row>
    <row r="29" customFormat="false" ht="27" hidden="false" customHeight="true" outlineLevel="0" collapsed="false">
      <c r="A29" s="10" t="s">
        <v>35</v>
      </c>
      <c r="B29" s="11" t="str">
        <f aca="false">IFERROR(INDEX(成員名單!$B$5:$B$34,MATCH($A29,成員名單!$A$5:$A$34,0))&amp;"","")</f>
        <v/>
      </c>
      <c r="C29" s="23" t="b">
        <f aca="false">FALSE()</f>
        <v>0</v>
      </c>
      <c r="D29" s="23" t="b">
        <f aca="false">FALSE()</f>
        <v>0</v>
      </c>
      <c r="E29" s="11" t="n">
        <f aca="false">D69/10</f>
        <v>0</v>
      </c>
      <c r="F29" s="23" t="b">
        <f aca="false">FALSE()</f>
        <v>0</v>
      </c>
      <c r="G29" s="11" t="n">
        <f aca="false">F69/10</f>
        <v>0</v>
      </c>
      <c r="H29" s="23" t="b">
        <f aca="false">FALSE()</f>
        <v>0</v>
      </c>
      <c r="I29" s="11" t="n">
        <f aca="false">H69/10</f>
        <v>0</v>
      </c>
      <c r="J29" s="23" t="b">
        <f aca="false">FALSE()</f>
        <v>0</v>
      </c>
      <c r="K29" s="11" t="n">
        <f aca="false">J69/10</f>
        <v>0</v>
      </c>
      <c r="L29" s="23" t="b">
        <f aca="false">FALSE()</f>
        <v>0</v>
      </c>
      <c r="M29" s="11" t="n">
        <f aca="false">L69/10</f>
        <v>0</v>
      </c>
      <c r="N29" s="23" t="b">
        <f aca="false">FALSE()</f>
        <v>0</v>
      </c>
      <c r="O29" s="11" t="n">
        <f aca="false">N69/10</f>
        <v>0</v>
      </c>
      <c r="P29" s="23" t="b">
        <f aca="false">FALSE()</f>
        <v>0</v>
      </c>
      <c r="Q29" s="11" t="n">
        <f aca="false">P69/10</f>
        <v>0</v>
      </c>
    </row>
    <row r="30" customFormat="false" ht="27" hidden="false" customHeight="true" outlineLevel="0" collapsed="false">
      <c r="A30" s="8" t="s">
        <v>36</v>
      </c>
      <c r="B30" s="9" t="str">
        <f aca="false">IFERROR(INDEX(成員名單!$B$5:$B$34,MATCH($A30,成員名單!$A$5:$A$34,0))&amp;"","")</f>
        <v/>
      </c>
      <c r="C30" s="23" t="b">
        <f aca="false">FALSE()</f>
        <v>0</v>
      </c>
      <c r="D30" s="23" t="b">
        <f aca="false">FALSE()</f>
        <v>0</v>
      </c>
      <c r="E30" s="9" t="n">
        <f aca="false">D70/10</f>
        <v>0</v>
      </c>
      <c r="F30" s="23" t="b">
        <f aca="false">FALSE()</f>
        <v>0</v>
      </c>
      <c r="G30" s="9" t="n">
        <f aca="false">F70/10</f>
        <v>0</v>
      </c>
      <c r="H30" s="23" t="b">
        <f aca="false">FALSE()</f>
        <v>0</v>
      </c>
      <c r="I30" s="9" t="n">
        <f aca="false">H70/10</f>
        <v>0</v>
      </c>
      <c r="J30" s="23" t="b">
        <f aca="false">FALSE()</f>
        <v>0</v>
      </c>
      <c r="K30" s="9" t="n">
        <f aca="false">J70/10</f>
        <v>0</v>
      </c>
      <c r="L30" s="23" t="b">
        <f aca="false">FALSE()</f>
        <v>0</v>
      </c>
      <c r="M30" s="9" t="n">
        <f aca="false">L70/10</f>
        <v>0</v>
      </c>
      <c r="N30" s="23" t="b">
        <f aca="false">FALSE()</f>
        <v>0</v>
      </c>
      <c r="O30" s="9" t="n">
        <f aca="false">N70/10</f>
        <v>0</v>
      </c>
      <c r="P30" s="23" t="b">
        <f aca="false">FALSE()</f>
        <v>0</v>
      </c>
      <c r="Q30" s="9" t="n">
        <f aca="false">P70/10</f>
        <v>0</v>
      </c>
    </row>
    <row r="31" customFormat="false" ht="27" hidden="false" customHeight="true" outlineLevel="0" collapsed="false">
      <c r="A31" s="10" t="s">
        <v>37</v>
      </c>
      <c r="B31" s="11" t="str">
        <f aca="false">IFERROR(INDEX(成員名單!$B$5:$B$34,MATCH($A31,成員名單!$A$5:$A$34,0))&amp;"","")</f>
        <v/>
      </c>
      <c r="C31" s="23" t="b">
        <f aca="false">FALSE()</f>
        <v>0</v>
      </c>
      <c r="D31" s="23" t="b">
        <f aca="false">FALSE()</f>
        <v>0</v>
      </c>
      <c r="E31" s="11" t="n">
        <f aca="false">D71/10</f>
        <v>0</v>
      </c>
      <c r="F31" s="23" t="b">
        <f aca="false">FALSE()</f>
        <v>0</v>
      </c>
      <c r="G31" s="11" t="n">
        <f aca="false">F71/10</f>
        <v>0</v>
      </c>
      <c r="H31" s="23" t="b">
        <f aca="false">FALSE()</f>
        <v>0</v>
      </c>
      <c r="I31" s="11" t="n">
        <f aca="false">H71/10</f>
        <v>0</v>
      </c>
      <c r="J31" s="23" t="b">
        <f aca="false">FALSE()</f>
        <v>0</v>
      </c>
      <c r="K31" s="11" t="n">
        <f aca="false">J71/10</f>
        <v>0</v>
      </c>
      <c r="L31" s="23" t="b">
        <f aca="false">FALSE()</f>
        <v>0</v>
      </c>
      <c r="M31" s="11" t="n">
        <f aca="false">L71/10</f>
        <v>0</v>
      </c>
      <c r="N31" s="23" t="b">
        <f aca="false">FALSE()</f>
        <v>0</v>
      </c>
      <c r="O31" s="11" t="n">
        <f aca="false">N71/10</f>
        <v>0</v>
      </c>
      <c r="P31" s="23" t="b">
        <f aca="false">FALSE()</f>
        <v>0</v>
      </c>
      <c r="Q31" s="11" t="n">
        <f aca="false">P71/10</f>
        <v>0</v>
      </c>
    </row>
    <row r="32" customFormat="false" ht="27" hidden="false" customHeight="true" outlineLevel="0" collapsed="false">
      <c r="A32" s="8" t="s">
        <v>38</v>
      </c>
      <c r="B32" s="9" t="str">
        <f aca="false">IFERROR(INDEX(成員名單!$B$5:$B$34,MATCH($A32,成員名單!$A$5:$A$34,0))&amp;"","")</f>
        <v/>
      </c>
      <c r="C32" s="23" t="b">
        <f aca="false">FALSE()</f>
        <v>0</v>
      </c>
      <c r="D32" s="23" t="b">
        <f aca="false">FALSE()</f>
        <v>0</v>
      </c>
      <c r="E32" s="9" t="n">
        <f aca="false">D72/10</f>
        <v>0</v>
      </c>
      <c r="F32" s="23" t="b">
        <f aca="false">FALSE()</f>
        <v>0</v>
      </c>
      <c r="G32" s="9" t="n">
        <f aca="false">F72/10</f>
        <v>0</v>
      </c>
      <c r="H32" s="23" t="b">
        <f aca="false">FALSE()</f>
        <v>0</v>
      </c>
      <c r="I32" s="9" t="n">
        <f aca="false">H72/10</f>
        <v>0</v>
      </c>
      <c r="J32" s="23" t="b">
        <f aca="false">FALSE()</f>
        <v>0</v>
      </c>
      <c r="K32" s="9" t="n">
        <f aca="false">J72/10</f>
        <v>0</v>
      </c>
      <c r="L32" s="23" t="b">
        <f aca="false">FALSE()</f>
        <v>0</v>
      </c>
      <c r="M32" s="9" t="n">
        <f aca="false">L72/10</f>
        <v>0</v>
      </c>
      <c r="N32" s="23" t="b">
        <f aca="false">FALSE()</f>
        <v>0</v>
      </c>
      <c r="O32" s="9" t="n">
        <f aca="false">N72/10</f>
        <v>0</v>
      </c>
      <c r="P32" s="23" t="b">
        <f aca="false">FALSE()</f>
        <v>0</v>
      </c>
      <c r="Q32" s="9" t="n">
        <f aca="false">P72/10</f>
        <v>0</v>
      </c>
    </row>
    <row r="33" customFormat="false" ht="27" hidden="false" customHeight="true" outlineLevel="0" collapsed="false">
      <c r="A33" s="10" t="s">
        <v>39</v>
      </c>
      <c r="B33" s="11" t="str">
        <f aca="false">IFERROR(INDEX(成員名單!$B$5:$B$34,MATCH($A33,成員名單!$A$5:$A$34,0))&amp;"","")</f>
        <v/>
      </c>
      <c r="C33" s="23" t="b">
        <f aca="false">FALSE()</f>
        <v>0</v>
      </c>
      <c r="D33" s="23" t="b">
        <f aca="false">FALSE()</f>
        <v>0</v>
      </c>
      <c r="E33" s="11" t="n">
        <f aca="false">D73/10</f>
        <v>0</v>
      </c>
      <c r="F33" s="23" t="b">
        <f aca="false">FALSE()</f>
        <v>0</v>
      </c>
      <c r="G33" s="11" t="n">
        <f aca="false">F73/10</f>
        <v>0</v>
      </c>
      <c r="H33" s="23" t="b">
        <f aca="false">FALSE()</f>
        <v>0</v>
      </c>
      <c r="I33" s="11" t="n">
        <f aca="false">H73/10</f>
        <v>0</v>
      </c>
      <c r="J33" s="23" t="b">
        <f aca="false">FALSE()</f>
        <v>0</v>
      </c>
      <c r="K33" s="11" t="n">
        <f aca="false">J73/10</f>
        <v>0</v>
      </c>
      <c r="L33" s="23" t="b">
        <f aca="false">FALSE()</f>
        <v>0</v>
      </c>
      <c r="M33" s="11" t="n">
        <f aca="false">L73/10</f>
        <v>0</v>
      </c>
      <c r="N33" s="23" t="b">
        <f aca="false">FALSE()</f>
        <v>0</v>
      </c>
      <c r="O33" s="11" t="n">
        <f aca="false">N73/10</f>
        <v>0</v>
      </c>
      <c r="P33" s="23" t="b">
        <f aca="false">FALSE()</f>
        <v>0</v>
      </c>
      <c r="Q33" s="11" t="n">
        <f aca="false">P73/10</f>
        <v>0</v>
      </c>
    </row>
    <row r="34" customFormat="false" ht="27" hidden="false" customHeight="true" outlineLevel="0" collapsed="false">
      <c r="A34" s="8" t="s">
        <v>40</v>
      </c>
      <c r="B34" s="9" t="str">
        <f aca="false">IFERROR(INDEX(成員名單!$B$5:$B$34,MATCH($A34,成員名單!$A$5:$A$34,0))&amp;"","")</f>
        <v/>
      </c>
      <c r="C34" s="23" t="b">
        <f aca="false">FALSE()</f>
        <v>0</v>
      </c>
      <c r="D34" s="23" t="b">
        <f aca="false">FALSE()</f>
        <v>0</v>
      </c>
      <c r="E34" s="9" t="n">
        <f aca="false">D74/10</f>
        <v>0</v>
      </c>
      <c r="F34" s="23" t="b">
        <f aca="false">FALSE()</f>
        <v>0</v>
      </c>
      <c r="G34" s="9" t="n">
        <f aca="false">F74/10</f>
        <v>0</v>
      </c>
      <c r="H34" s="23" t="b">
        <f aca="false">FALSE()</f>
        <v>0</v>
      </c>
      <c r="I34" s="9" t="n">
        <f aca="false">H74/10</f>
        <v>0</v>
      </c>
      <c r="J34" s="23" t="b">
        <f aca="false">FALSE()</f>
        <v>0</v>
      </c>
      <c r="K34" s="9" t="n">
        <f aca="false">J74/10</f>
        <v>0</v>
      </c>
      <c r="L34" s="23" t="b">
        <f aca="false">FALSE()</f>
        <v>0</v>
      </c>
      <c r="M34" s="9" t="n">
        <f aca="false">L74/10</f>
        <v>0</v>
      </c>
      <c r="N34" s="23" t="b">
        <f aca="false">FALSE()</f>
        <v>0</v>
      </c>
      <c r="O34" s="9" t="n">
        <f aca="false">N74/10</f>
        <v>0</v>
      </c>
      <c r="P34" s="23" t="b">
        <f aca="false">FALSE()</f>
        <v>0</v>
      </c>
      <c r="Q34" s="9" t="n">
        <f aca="false">P74/10</f>
        <v>0</v>
      </c>
    </row>
    <row r="35" customFormat="false" ht="27" hidden="false" customHeight="true" outlineLevel="0" collapsed="false">
      <c r="A35" s="10" t="s">
        <v>41</v>
      </c>
      <c r="B35" s="11" t="str">
        <f aca="false">IFERROR(INDEX(成員名單!$B$5:$B$34,MATCH($A35,成員名單!$A$5:$A$34,0))&amp;"","")</f>
        <v/>
      </c>
      <c r="C35" s="23" t="b">
        <f aca="false">FALSE()</f>
        <v>0</v>
      </c>
      <c r="D35" s="23" t="b">
        <f aca="false">FALSE()</f>
        <v>0</v>
      </c>
      <c r="E35" s="11" t="n">
        <f aca="false">D75/10</f>
        <v>0</v>
      </c>
      <c r="F35" s="23" t="b">
        <f aca="false">FALSE()</f>
        <v>0</v>
      </c>
      <c r="G35" s="11" t="n">
        <f aca="false">F75/10</f>
        <v>0</v>
      </c>
      <c r="H35" s="23" t="b">
        <f aca="false">FALSE()</f>
        <v>0</v>
      </c>
      <c r="I35" s="11" t="n">
        <f aca="false">H75/10</f>
        <v>0</v>
      </c>
      <c r="J35" s="23" t="b">
        <f aca="false">FALSE()</f>
        <v>0</v>
      </c>
      <c r="K35" s="11" t="n">
        <f aca="false">J75/10</f>
        <v>0</v>
      </c>
      <c r="L35" s="23" t="b">
        <f aca="false">FALSE()</f>
        <v>0</v>
      </c>
      <c r="M35" s="11" t="n">
        <f aca="false">L75/10</f>
        <v>0</v>
      </c>
      <c r="N35" s="23" t="b">
        <f aca="false">FALSE()</f>
        <v>0</v>
      </c>
      <c r="O35" s="11" t="n">
        <f aca="false">N75/10</f>
        <v>0</v>
      </c>
      <c r="P35" s="23" t="b">
        <f aca="false">FALSE()</f>
        <v>0</v>
      </c>
      <c r="Q35" s="11" t="n">
        <f aca="false">P75/10</f>
        <v>0</v>
      </c>
    </row>
    <row r="36" customFormat="false" ht="27" hidden="false" customHeight="true" outlineLevel="0" collapsed="false">
      <c r="A36" s="8" t="s">
        <v>42</v>
      </c>
      <c r="B36" s="9" t="str">
        <f aca="false">IFERROR(INDEX(成員名單!$B$5:$B$34,MATCH($A36,成員名單!$A$5:$A$34,0))&amp;"","")</f>
        <v/>
      </c>
      <c r="C36" s="23" t="b">
        <f aca="false">FALSE()</f>
        <v>0</v>
      </c>
      <c r="D36" s="23" t="b">
        <f aca="false">FALSE()</f>
        <v>0</v>
      </c>
      <c r="E36" s="9" t="n">
        <f aca="false">D76/10</f>
        <v>0</v>
      </c>
      <c r="F36" s="23" t="b">
        <f aca="false">FALSE()</f>
        <v>0</v>
      </c>
      <c r="G36" s="9" t="n">
        <f aca="false">F76/10</f>
        <v>0</v>
      </c>
      <c r="H36" s="23" t="b">
        <f aca="false">FALSE()</f>
        <v>0</v>
      </c>
      <c r="I36" s="9" t="n">
        <f aca="false">H76/10</f>
        <v>0</v>
      </c>
      <c r="J36" s="23" t="b">
        <f aca="false">FALSE()</f>
        <v>0</v>
      </c>
      <c r="K36" s="9" t="n">
        <f aca="false">J76/10</f>
        <v>0</v>
      </c>
      <c r="L36" s="23" t="b">
        <f aca="false">FALSE()</f>
        <v>0</v>
      </c>
      <c r="M36" s="9" t="n">
        <f aca="false">L76/10</f>
        <v>0</v>
      </c>
      <c r="N36" s="23" t="b">
        <f aca="false">FALSE()</f>
        <v>0</v>
      </c>
      <c r="O36" s="9" t="n">
        <f aca="false">N76/10</f>
        <v>0</v>
      </c>
      <c r="P36" s="23" t="b">
        <f aca="false">FALSE()</f>
        <v>0</v>
      </c>
      <c r="Q36" s="9" t="n">
        <f aca="false">P76/10</f>
        <v>0</v>
      </c>
    </row>
    <row r="37" customFormat="false" ht="27" hidden="false" customHeight="true" outlineLevel="0" collapsed="false">
      <c r="A37" s="10" t="s">
        <v>43</v>
      </c>
      <c r="B37" s="11" t="str">
        <f aca="false">IFERROR(INDEX(成員名單!$B$5:$B$34,MATCH($A37,成員名單!$A$5:$A$34,0))&amp;"","")</f>
        <v/>
      </c>
      <c r="C37" s="23" t="b">
        <f aca="false">FALSE()</f>
        <v>0</v>
      </c>
      <c r="D37" s="23" t="b">
        <f aca="false">FALSE()</f>
        <v>0</v>
      </c>
      <c r="E37" s="11" t="n">
        <f aca="false">D77/10</f>
        <v>0</v>
      </c>
      <c r="F37" s="23" t="b">
        <f aca="false">FALSE()</f>
        <v>0</v>
      </c>
      <c r="G37" s="11" t="n">
        <f aca="false">F77/10</f>
        <v>0</v>
      </c>
      <c r="H37" s="23" t="b">
        <f aca="false">FALSE()</f>
        <v>0</v>
      </c>
      <c r="I37" s="11" t="n">
        <f aca="false">H77/10</f>
        <v>0</v>
      </c>
      <c r="J37" s="23" t="b">
        <f aca="false">FALSE()</f>
        <v>0</v>
      </c>
      <c r="K37" s="11" t="n">
        <f aca="false">J77/10</f>
        <v>0</v>
      </c>
      <c r="L37" s="23" t="b">
        <f aca="false">FALSE()</f>
        <v>0</v>
      </c>
      <c r="M37" s="11" t="n">
        <f aca="false">L77/10</f>
        <v>0</v>
      </c>
      <c r="N37" s="23" t="b">
        <f aca="false">FALSE()</f>
        <v>0</v>
      </c>
      <c r="O37" s="11" t="n">
        <f aca="false">N77/10</f>
        <v>0</v>
      </c>
      <c r="P37" s="23" t="b">
        <f aca="false">FALSE()</f>
        <v>0</v>
      </c>
      <c r="Q37" s="11" t="n">
        <f aca="false">P77/10</f>
        <v>0</v>
      </c>
    </row>
    <row r="38" customFormat="false" ht="27" hidden="false" customHeight="true" outlineLevel="0" collapsed="false">
      <c r="A38" s="8" t="s">
        <v>44</v>
      </c>
      <c r="B38" s="9" t="str">
        <f aca="false">IFERROR(INDEX(成員名單!$B$5:$B$34,MATCH($A38,成員名單!$A$5:$A$34,0))&amp;"","")</f>
        <v/>
      </c>
      <c r="C38" s="23" t="b">
        <f aca="false">FALSE()</f>
        <v>0</v>
      </c>
      <c r="D38" s="23" t="b">
        <f aca="false">FALSE()</f>
        <v>0</v>
      </c>
      <c r="E38" s="9" t="n">
        <f aca="false">D78/10</f>
        <v>0</v>
      </c>
      <c r="F38" s="23" t="b">
        <f aca="false">FALSE()</f>
        <v>0</v>
      </c>
      <c r="G38" s="9" t="n">
        <f aca="false">F78/10</f>
        <v>0</v>
      </c>
      <c r="H38" s="23" t="b">
        <f aca="false">FALSE()</f>
        <v>0</v>
      </c>
      <c r="I38" s="9" t="n">
        <f aca="false">H78/10</f>
        <v>0</v>
      </c>
      <c r="J38" s="23" t="b">
        <f aca="false">FALSE()</f>
        <v>0</v>
      </c>
      <c r="K38" s="9" t="n">
        <f aca="false">J78/10</f>
        <v>0</v>
      </c>
      <c r="L38" s="23" t="b">
        <f aca="false">FALSE()</f>
        <v>0</v>
      </c>
      <c r="M38" s="9" t="n">
        <f aca="false">L78/10</f>
        <v>0</v>
      </c>
      <c r="N38" s="23" t="b">
        <f aca="false">FALSE()</f>
        <v>0</v>
      </c>
      <c r="O38" s="9" t="n">
        <f aca="false">N78/10</f>
        <v>0</v>
      </c>
      <c r="P38" s="23" t="b">
        <f aca="false">FALSE()</f>
        <v>0</v>
      </c>
      <c r="Q38" s="9" t="n">
        <f aca="false">P78/10</f>
        <v>0</v>
      </c>
    </row>
    <row r="39" customFormat="false" ht="27" hidden="false" customHeight="true" outlineLevel="0" collapsed="false">
      <c r="A39" s="10" t="s">
        <v>45</v>
      </c>
      <c r="B39" s="11" t="str">
        <f aca="false">IFERROR(INDEX(成員名單!$B$5:$B$34,MATCH($A39,成員名單!$A$5:$A$34,0))&amp;"","")</f>
        <v/>
      </c>
      <c r="C39" s="23" t="b">
        <f aca="false">FALSE()</f>
        <v>0</v>
      </c>
      <c r="D39" s="23" t="b">
        <f aca="false">FALSE()</f>
        <v>0</v>
      </c>
      <c r="E39" s="11" t="n">
        <f aca="false">D79/10</f>
        <v>0</v>
      </c>
      <c r="F39" s="23" t="b">
        <f aca="false">FALSE()</f>
        <v>0</v>
      </c>
      <c r="G39" s="11" t="n">
        <f aca="false">F79/10</f>
        <v>0</v>
      </c>
      <c r="H39" s="23" t="b">
        <f aca="false">FALSE()</f>
        <v>0</v>
      </c>
      <c r="I39" s="11" t="n">
        <f aca="false">H79/10</f>
        <v>0</v>
      </c>
      <c r="J39" s="23" t="b">
        <f aca="false">FALSE()</f>
        <v>0</v>
      </c>
      <c r="K39" s="11" t="n">
        <f aca="false">J79/10</f>
        <v>0</v>
      </c>
      <c r="L39" s="23" t="b">
        <f aca="false">FALSE()</f>
        <v>0</v>
      </c>
      <c r="M39" s="11" t="n">
        <f aca="false">L79/10</f>
        <v>0</v>
      </c>
      <c r="N39" s="23" t="b">
        <f aca="false">FALSE()</f>
        <v>0</v>
      </c>
      <c r="O39" s="11" t="n">
        <f aca="false">N79/10</f>
        <v>0</v>
      </c>
      <c r="P39" s="23" t="b">
        <f aca="false">FALSE()</f>
        <v>0</v>
      </c>
      <c r="Q39" s="11" t="n">
        <f aca="false">P79/10</f>
        <v>0</v>
      </c>
    </row>
    <row r="40" customFormat="false" ht="27" hidden="false" customHeight="true" outlineLevel="0" collapsed="false">
      <c r="A40" s="8" t="s">
        <v>46</v>
      </c>
      <c r="B40" s="9" t="str">
        <f aca="false">IFERROR(INDEX(成員名單!$B$5:$B$34,MATCH($A40,成員名單!$A$5:$A$34,0))&amp;"","")</f>
        <v/>
      </c>
      <c r="C40" s="23" t="b">
        <f aca="false">FALSE()</f>
        <v>0</v>
      </c>
      <c r="D40" s="23" t="b">
        <f aca="false">FALSE()</f>
        <v>0</v>
      </c>
      <c r="E40" s="9" t="n">
        <f aca="false">D80/10</f>
        <v>0</v>
      </c>
      <c r="F40" s="23" t="b">
        <f aca="false">FALSE()</f>
        <v>0</v>
      </c>
      <c r="G40" s="9" t="n">
        <f aca="false">F80/10</f>
        <v>0</v>
      </c>
      <c r="H40" s="23" t="b">
        <f aca="false">FALSE()</f>
        <v>0</v>
      </c>
      <c r="I40" s="9" t="n">
        <f aca="false">H80/10</f>
        <v>0</v>
      </c>
      <c r="J40" s="23" t="b">
        <f aca="false">FALSE()</f>
        <v>0</v>
      </c>
      <c r="K40" s="9" t="n">
        <f aca="false">J80/10</f>
        <v>0</v>
      </c>
      <c r="L40" s="23" t="b">
        <f aca="false">FALSE()</f>
        <v>0</v>
      </c>
      <c r="M40" s="9" t="n">
        <f aca="false">L80/10</f>
        <v>0</v>
      </c>
      <c r="N40" s="23" t="b">
        <f aca="false">FALSE()</f>
        <v>0</v>
      </c>
      <c r="O40" s="9" t="n">
        <f aca="false">N80/10</f>
        <v>0</v>
      </c>
      <c r="P40" s="23" t="b">
        <f aca="false">FALSE()</f>
        <v>0</v>
      </c>
      <c r="Q40" s="9" t="n">
        <f aca="false">P80/10</f>
        <v>0</v>
      </c>
    </row>
    <row r="41" customFormat="false" ht="27" hidden="false" customHeight="true" outlineLevel="0" collapsed="false">
      <c r="A41" s="10" t="s">
        <v>47</v>
      </c>
      <c r="B41" s="11" t="str">
        <f aca="false">IFERROR(INDEX(成員名單!$B$5:$B$34,MATCH($A41,成員名單!$A$5:$A$34,0))&amp;"","")</f>
        <v/>
      </c>
      <c r="C41" s="23" t="b">
        <f aca="false">FALSE()</f>
        <v>0</v>
      </c>
      <c r="D41" s="23" t="b">
        <f aca="false">FALSE()</f>
        <v>0</v>
      </c>
      <c r="E41" s="11" t="n">
        <f aca="false">D81/10</f>
        <v>0</v>
      </c>
      <c r="F41" s="23" t="b">
        <f aca="false">FALSE()</f>
        <v>0</v>
      </c>
      <c r="G41" s="11" t="n">
        <f aca="false">F81/10</f>
        <v>0</v>
      </c>
      <c r="H41" s="23" t="b">
        <f aca="false">FALSE()</f>
        <v>0</v>
      </c>
      <c r="I41" s="11" t="n">
        <f aca="false">H81/10</f>
        <v>0</v>
      </c>
      <c r="J41" s="23" t="b">
        <f aca="false">FALSE()</f>
        <v>0</v>
      </c>
      <c r="K41" s="11" t="n">
        <f aca="false">J81/10</f>
        <v>0</v>
      </c>
      <c r="L41" s="23" t="b">
        <f aca="false">FALSE()</f>
        <v>0</v>
      </c>
      <c r="M41" s="11" t="n">
        <f aca="false">L81/10</f>
        <v>0</v>
      </c>
      <c r="N41" s="23" t="b">
        <f aca="false">FALSE()</f>
        <v>0</v>
      </c>
      <c r="O41" s="11" t="n">
        <f aca="false">N81/10</f>
        <v>0</v>
      </c>
      <c r="P41" s="23" t="b">
        <f aca="false">FALSE()</f>
        <v>0</v>
      </c>
      <c r="Q41" s="11" t="n">
        <f aca="false">P81/10</f>
        <v>0</v>
      </c>
    </row>
    <row r="42" customFormat="false" ht="27" hidden="false" customHeight="true" outlineLevel="0" collapsed="false">
      <c r="A42" s="12"/>
      <c r="B42" s="8" t="s">
        <v>88</v>
      </c>
      <c r="C42" s="12"/>
      <c r="D42" s="12"/>
      <c r="E42" s="9" t="n">
        <f aca="false">D51/10</f>
        <v>0</v>
      </c>
      <c r="F42" s="12"/>
      <c r="G42" s="9" t="n">
        <f aca="false">F51/10</f>
        <v>0</v>
      </c>
      <c r="H42" s="12"/>
      <c r="I42" s="9" t="n">
        <f aca="false">H51/10</f>
        <v>0</v>
      </c>
      <c r="J42" s="12"/>
      <c r="K42" s="9" t="n">
        <f aca="false">J51/10</f>
        <v>0</v>
      </c>
      <c r="L42" s="12"/>
      <c r="M42" s="9" t="n">
        <f aca="false">L51/10</f>
        <v>0</v>
      </c>
      <c r="N42" s="12"/>
      <c r="O42" s="9" t="n">
        <f aca="false">N51/10</f>
        <v>0</v>
      </c>
      <c r="P42" s="12"/>
      <c r="Q42" s="9" t="n">
        <f aca="false">P51/10</f>
        <v>0</v>
      </c>
    </row>
    <row r="46" customFormat="false" ht="15" hidden="true" customHeight="false" outlineLevel="0" collapsed="false">
      <c r="D46" s="14" t="n">
        <f aca="false">IFERROR(IF(D$47,ROUND(D$6*10,0),0),0)</f>
        <v>0</v>
      </c>
      <c r="F46" s="14" t="n">
        <f aca="false">IFERROR(IF(F$47,ROUND(F$6*10,0),0),0)</f>
        <v>0</v>
      </c>
      <c r="H46" s="14" t="n">
        <f aca="false">IFERROR(IF(H$47,ROUND(H$6*10,0),0),0)</f>
        <v>0</v>
      </c>
      <c r="J46" s="14" t="n">
        <f aca="false">IFERROR(IF(J$47,ROUND(J$6*10,0),0),0)</f>
        <v>0</v>
      </c>
      <c r="L46" s="14" t="n">
        <f aca="false">IFERROR(IF(L$47,ROUND(L$6*10,0),0),0)</f>
        <v>0</v>
      </c>
      <c r="N46" s="14" t="n">
        <f aca="false">IFERROR(IF(N$47,ROUND(N$6*10,0),0),0)</f>
        <v>0</v>
      </c>
      <c r="P46" s="14" t="n">
        <f aca="false">IFERROR(IF(P$47,ROUND(P$6*10,0),0),0)</f>
        <v>0</v>
      </c>
    </row>
    <row r="47" customFormat="false" ht="15" hidden="true" customHeight="false" outlineLevel="0" collapsed="false">
      <c r="D47" s="14" t="n">
        <f aca="false">IF(LEN(TRIM(D$6&amp;""))=0,TRUE(),IFERROR(AND(ISNUMBER(D$6),D$6&gt;=0,D$6&lt;=100000000,ROUND(D$6,1)=D$6),FALSE()))</f>
        <v>1</v>
      </c>
      <c r="F47" s="14" t="n">
        <f aca="false">IF(LEN(TRIM(F$6&amp;""))=0,TRUE(),IFERROR(AND(ISNUMBER(F$6),F$6&gt;=0,F$6&lt;=100000000,ROUND(F$6,1)=F$6),FALSE()))</f>
        <v>1</v>
      </c>
      <c r="H47" s="14" t="n">
        <f aca="false">IF(LEN(TRIM(H$6&amp;""))=0,TRUE(),IFERROR(AND(ISNUMBER(H$6),H$6&gt;=0,H$6&lt;=100000000,ROUND(H$6,1)=H$6),FALSE()))</f>
        <v>1</v>
      </c>
      <c r="J47" s="14" t="n">
        <f aca="false">IF(LEN(TRIM(J$6&amp;""))=0,TRUE(),IFERROR(AND(ISNUMBER(J$6),J$6&gt;=0,J$6&lt;=100000000,ROUND(J$6,1)=J$6),FALSE()))</f>
        <v>1</v>
      </c>
      <c r="L47" s="14" t="n">
        <f aca="false">IF(LEN(TRIM(L$6&amp;""))=0,TRUE(),IFERROR(AND(ISNUMBER(L$6),L$6&gt;=0,L$6&lt;=100000000,ROUND(L$6,1)=L$6),FALSE()))</f>
        <v>1</v>
      </c>
      <c r="N47" s="14" t="n">
        <f aca="false">IF(LEN(TRIM(N$6&amp;""))=0,TRUE(),IFERROR(AND(ISNUMBER(N$6),N$6&gt;=0,N$6&lt;=100000000,ROUND(N$6,1)=N$6),FALSE()))</f>
        <v>1</v>
      </c>
      <c r="P47" s="14" t="n">
        <f aca="false">IF(LEN(TRIM(P$6&amp;""))=0,TRUE(),IFERROR(AND(ISNUMBER(P$6),P$6&gt;=0,P$6&lt;=100000000,ROUND(P$6,1)=P$6),FALSE()))</f>
        <v>1</v>
      </c>
    </row>
    <row r="48" customFormat="false" ht="15" hidden="true" customHeight="false" outlineLevel="0" collapsed="false">
      <c r="D48" s="14" t="n">
        <f aca="false">IF(D$50,IF(AND($C$3=TRUE(),$C$49&gt;0),SUMPRODUCT(--(LEN(TRIM($B$12:$B$41))&gt;0),--(D$12:D$41=TRUE()),--($C$12:$C$41&lt;&gt;TRUE())),0),SUMPRODUCT(--(LEN(TRIM($B$12:$B$41))&gt;0),--(D$12:D$41=TRUE())))</f>
        <v>0</v>
      </c>
      <c r="F48" s="14" t="n">
        <f aca="false">IF(F$50,IF(AND($C$3=TRUE(),$C$49&gt;0),SUMPRODUCT(--(LEN(TRIM($B$12:$B$41))&gt;0),--(F$12:F$41=TRUE()),--($C$12:$C$41&lt;&gt;TRUE())),0),SUMPRODUCT(--(LEN(TRIM($B$12:$B$41))&gt;0),--(F$12:F$41=TRUE())))</f>
        <v>0</v>
      </c>
      <c r="H48" s="14" t="n">
        <f aca="false">IF(H$50,IF(AND($C$3=TRUE(),$C$49&gt;0),SUMPRODUCT(--(LEN(TRIM($B$12:$B$41))&gt;0),--(H$12:H$41=TRUE()),--($C$12:$C$41&lt;&gt;TRUE())),0),SUMPRODUCT(--(LEN(TRIM($B$12:$B$41))&gt;0),--(H$12:H$41=TRUE())))</f>
        <v>0</v>
      </c>
      <c r="J48" s="14" t="n">
        <f aca="false">IF(J$50,IF(AND($C$3=TRUE(),$C$49&gt;0),SUMPRODUCT(--(LEN(TRIM($B$12:$B$41))&gt;0),--(J$12:J$41=TRUE()),--($C$12:$C$41&lt;&gt;TRUE())),0),SUMPRODUCT(--(LEN(TRIM($B$12:$B$41))&gt;0),--(J$12:J$41=TRUE())))</f>
        <v>0</v>
      </c>
      <c r="L48" s="14" t="n">
        <f aca="false">IF(L$50,IF(AND($C$3=TRUE(),$C$49&gt;0),SUMPRODUCT(--(LEN(TRIM($B$12:$B$41))&gt;0),--(L$12:L$41=TRUE()),--($C$12:$C$41&lt;&gt;TRUE())),0),SUMPRODUCT(--(LEN(TRIM($B$12:$B$41))&gt;0),--(L$12:L$41=TRUE())))</f>
        <v>0</v>
      </c>
      <c r="N48" s="14" t="n">
        <f aca="false">IF(N$50,IF(AND($C$3=TRUE(),$C$49&gt;0),SUMPRODUCT(--(LEN(TRIM($B$12:$B$41))&gt;0),--(N$12:N$41=TRUE()),--($C$12:$C$41&lt;&gt;TRUE())),0),SUMPRODUCT(--(LEN(TRIM($B$12:$B$41))&gt;0),--(N$12:N$41=TRUE())))</f>
        <v>0</v>
      </c>
      <c r="P48" s="14" t="n">
        <f aca="false">IF(P$50,IF(AND($C$3=TRUE(),$C$49&gt;0),SUMPRODUCT(--(LEN(TRIM($B$12:$B$41))&gt;0),--(P$12:P$41=TRUE()),--($C$12:$C$41&lt;&gt;TRUE())),0),SUMPRODUCT(--(LEN(TRIM($B$12:$B$41))&gt;0),--(P$12:P$41=TRUE())))</f>
        <v>0</v>
      </c>
    </row>
    <row r="49" customFormat="false" ht="15" hidden="true" customHeight="false" outlineLevel="0" collapsed="false">
      <c r="C49" s="14" t="n">
        <f aca="false">SUMPRODUCT(--(LEN(TRIM($B$12:$B$41))&gt;0),--($C$12:$C$41=TRUE()))</f>
        <v>0</v>
      </c>
    </row>
    <row r="50" customFormat="false" ht="15" hidden="true" customHeight="false" outlineLevel="0" collapsed="false">
      <c r="D50" s="14" t="n">
        <f aca="false">OR(D$5="油錢",D$5="租車費")</f>
        <v>0</v>
      </c>
      <c r="F50" s="14" t="n">
        <f aca="false">OR(F$5="油錢",F$5="租車費")</f>
        <v>0</v>
      </c>
      <c r="H50" s="14" t="n">
        <f aca="false">OR(H$5="油錢",H$5="租車費")</f>
        <v>0</v>
      </c>
      <c r="J50" s="14" t="n">
        <f aca="false">OR(J$5="油錢",J$5="租車費")</f>
        <v>1</v>
      </c>
      <c r="L50" s="14" t="n">
        <f aca="false">OR(L$5="油錢",L$5="租車費")</f>
        <v>1</v>
      </c>
      <c r="N50" s="14" t="n">
        <f aca="false">OR(N$5="油錢",N$5="租車費")</f>
        <v>0</v>
      </c>
      <c r="P50" s="14" t="n">
        <f aca="false">OR(P$5="油錢",P$5="租車費")</f>
        <v>0</v>
      </c>
    </row>
    <row r="51" customFormat="false" ht="15" hidden="true" customHeight="false" outlineLevel="0" collapsed="false">
      <c r="D51" s="14" t="n">
        <f aca="false">SUM(D52:D81)</f>
        <v>0</v>
      </c>
      <c r="F51" s="14" t="n">
        <f aca="false">SUM(F52:F81)</f>
        <v>0</v>
      </c>
      <c r="H51" s="14" t="n">
        <f aca="false">SUM(H52:H81)</f>
        <v>0</v>
      </c>
      <c r="J51" s="14" t="n">
        <f aca="false">SUM(J52:J81)</f>
        <v>0</v>
      </c>
      <c r="L51" s="14" t="n">
        <f aca="false">SUM(L52:L81)</f>
        <v>0</v>
      </c>
      <c r="N51" s="14" t="n">
        <f aca="false">SUM(N52:N81)</f>
        <v>0</v>
      </c>
      <c r="P51" s="14" t="n">
        <f aca="false">SUM(P52:P81)</f>
        <v>0</v>
      </c>
    </row>
    <row r="52" customFormat="false" ht="15" hidden="true" customHeight="false" outlineLevel="0" collapsed="false">
      <c r="A52" s="13" t="s">
        <v>18</v>
      </c>
      <c r="D52" s="14" t="n">
        <f aca="false">IF(AND(D$47,D$48&gt;0,LEN(TRIM($B12))&gt;0,D12=TRUE(),IF(D$50,$C12&lt;&gt;TRUE(),TRUE())),QUOTIENT(D$46,MAX(1,D$48))+IF(IF(D$50,SUMPRODUCT(--(LEN(TRIM($B$12:$B12))&gt;0),--(D$12:D12=TRUE()),--($C$12:$C12&lt;&gt;TRUE())),SUMPRODUCT(--(LEN(TRIM($B$12:$B12))&gt;0),--(D$12:D12=TRUE())))&lt;=MOD(D$46,MAX(1,D$48)),1,0),0)</f>
        <v>0</v>
      </c>
      <c r="F52" s="14" t="n">
        <f aca="false">IF(AND(F$47,F$48&gt;0,LEN(TRIM($B12))&gt;0,F12=TRUE(),IF(F$50,$C12&lt;&gt;TRUE(),TRUE())),QUOTIENT(F$46,MAX(1,F$48))+IF(IF(F$50,SUMPRODUCT(--(LEN(TRIM($B$12:$B12))&gt;0),--(F$12:F12=TRUE()),--($C$12:$C12&lt;&gt;TRUE())),SUMPRODUCT(--(LEN(TRIM($B$12:$B12))&gt;0),--(F$12:F12=TRUE())))&lt;=MOD(F$46,MAX(1,F$48)),1,0),0)</f>
        <v>0</v>
      </c>
      <c r="H52" s="14" t="n">
        <f aca="false">IF(AND(H$47,H$48&gt;0,LEN(TRIM($B12))&gt;0,H12=TRUE(),IF(H$50,$C12&lt;&gt;TRUE(),TRUE())),QUOTIENT(H$46,MAX(1,H$48))+IF(IF(H$50,SUMPRODUCT(--(LEN(TRIM($B$12:$B12))&gt;0),--(H$12:H12=TRUE()),--($C$12:$C12&lt;&gt;TRUE())),SUMPRODUCT(--(LEN(TRIM($B$12:$B12))&gt;0),--(H$12:H12=TRUE())))&lt;=MOD(H$46,MAX(1,H$48)),1,0),0)</f>
        <v>0</v>
      </c>
      <c r="J52" s="14" t="n">
        <f aca="false">IF(AND(J$47,J$48&gt;0,LEN(TRIM($B12))&gt;0,J12=TRUE(),IF(J$50,$C12&lt;&gt;TRUE(),TRUE())),QUOTIENT(J$46,MAX(1,J$48))+IF(IF(J$50,SUMPRODUCT(--(LEN(TRIM($B$12:$B12))&gt;0),--(J$12:J12=TRUE()),--($C$12:$C12&lt;&gt;TRUE())),SUMPRODUCT(--(LEN(TRIM($B$12:$B12))&gt;0),--(J$12:J12=TRUE())))&lt;=MOD(J$46,MAX(1,J$48)),1,0),0)</f>
        <v>0</v>
      </c>
      <c r="L52" s="14" t="n">
        <f aca="false">IF(AND(L$47,L$48&gt;0,LEN(TRIM($B12))&gt;0,L12=TRUE(),IF(L$50,$C12&lt;&gt;TRUE(),TRUE())),QUOTIENT(L$46,MAX(1,L$48))+IF(IF(L$50,SUMPRODUCT(--(LEN(TRIM($B$12:$B12))&gt;0),--(L$12:L12=TRUE()),--($C$12:$C12&lt;&gt;TRUE())),SUMPRODUCT(--(LEN(TRIM($B$12:$B12))&gt;0),--(L$12:L12=TRUE())))&lt;=MOD(L$46,MAX(1,L$48)),1,0),0)</f>
        <v>0</v>
      </c>
      <c r="N52" s="14" t="n">
        <f aca="false">IF(AND(N$47,N$48&gt;0,LEN(TRIM($B12))&gt;0,N12=TRUE(),IF(N$50,$C12&lt;&gt;TRUE(),TRUE())),QUOTIENT(N$46,MAX(1,N$48))+IF(IF(N$50,SUMPRODUCT(--(LEN(TRIM($B$12:$B12))&gt;0),--(N$12:N12=TRUE()),--($C$12:$C12&lt;&gt;TRUE())),SUMPRODUCT(--(LEN(TRIM($B$12:$B12))&gt;0),--(N$12:N12=TRUE())))&lt;=MOD(N$46,MAX(1,N$48)),1,0),0)</f>
        <v>0</v>
      </c>
      <c r="P52" s="14" t="n">
        <f aca="false">IF(AND(P$47,P$48&gt;0,LEN(TRIM($B12))&gt;0,P12=TRUE(),IF(P$50,$C12&lt;&gt;TRUE(),TRUE())),QUOTIENT(P$46,MAX(1,P$48))+IF(IF(P$50,SUMPRODUCT(--(LEN(TRIM($B$12:$B12))&gt;0),--(P$12:P12=TRUE()),--($C$12:$C12&lt;&gt;TRUE())),SUMPRODUCT(--(LEN(TRIM($B$12:$B12))&gt;0),--(P$12:P12=TRUE())))&lt;=MOD(P$46,MAX(1,P$48)),1,0),0)</f>
        <v>0</v>
      </c>
    </row>
    <row r="53" customFormat="false" ht="15" hidden="true" customHeight="false" outlineLevel="0" collapsed="false">
      <c r="A53" s="13" t="s">
        <v>19</v>
      </c>
      <c r="D53" s="14" t="n">
        <f aca="false">IF(AND(D$47,D$48&gt;0,LEN(TRIM($B13))&gt;0,D13=TRUE(),IF(D$50,$C13&lt;&gt;TRUE(),TRUE())),QUOTIENT(D$46,MAX(1,D$48))+IF(IF(D$50,SUMPRODUCT(--(LEN(TRIM($B$12:$B13))&gt;0),--(D$12:D13=TRUE()),--($C$12:$C13&lt;&gt;TRUE())),SUMPRODUCT(--(LEN(TRIM($B$12:$B13))&gt;0),--(D$12:D13=TRUE())))&lt;=MOD(D$46,MAX(1,D$48)),1,0),0)</f>
        <v>0</v>
      </c>
      <c r="F53" s="14" t="n">
        <f aca="false">IF(AND(F$47,F$48&gt;0,LEN(TRIM($B13))&gt;0,F13=TRUE(),IF(F$50,$C13&lt;&gt;TRUE(),TRUE())),QUOTIENT(F$46,MAX(1,F$48))+IF(IF(F$50,SUMPRODUCT(--(LEN(TRIM($B$12:$B13))&gt;0),--(F$12:F13=TRUE()),--($C$12:$C13&lt;&gt;TRUE())),SUMPRODUCT(--(LEN(TRIM($B$12:$B13))&gt;0),--(F$12:F13=TRUE())))&lt;=MOD(F$46,MAX(1,F$48)),1,0),0)</f>
        <v>0</v>
      </c>
      <c r="H53" s="14" t="n">
        <f aca="false">IF(AND(H$47,H$48&gt;0,LEN(TRIM($B13))&gt;0,H13=TRUE(),IF(H$50,$C13&lt;&gt;TRUE(),TRUE())),QUOTIENT(H$46,MAX(1,H$48))+IF(IF(H$50,SUMPRODUCT(--(LEN(TRIM($B$12:$B13))&gt;0),--(H$12:H13=TRUE()),--($C$12:$C13&lt;&gt;TRUE())),SUMPRODUCT(--(LEN(TRIM($B$12:$B13))&gt;0),--(H$12:H13=TRUE())))&lt;=MOD(H$46,MAX(1,H$48)),1,0),0)</f>
        <v>0</v>
      </c>
      <c r="J53" s="14" t="n">
        <f aca="false">IF(AND(J$47,J$48&gt;0,LEN(TRIM($B13))&gt;0,J13=TRUE(),IF(J$50,$C13&lt;&gt;TRUE(),TRUE())),QUOTIENT(J$46,MAX(1,J$48))+IF(IF(J$50,SUMPRODUCT(--(LEN(TRIM($B$12:$B13))&gt;0),--(J$12:J13=TRUE()),--($C$12:$C13&lt;&gt;TRUE())),SUMPRODUCT(--(LEN(TRIM($B$12:$B13))&gt;0),--(J$12:J13=TRUE())))&lt;=MOD(J$46,MAX(1,J$48)),1,0),0)</f>
        <v>0</v>
      </c>
      <c r="L53" s="14" t="n">
        <f aca="false">IF(AND(L$47,L$48&gt;0,LEN(TRIM($B13))&gt;0,L13=TRUE(),IF(L$50,$C13&lt;&gt;TRUE(),TRUE())),QUOTIENT(L$46,MAX(1,L$48))+IF(IF(L$50,SUMPRODUCT(--(LEN(TRIM($B$12:$B13))&gt;0),--(L$12:L13=TRUE()),--($C$12:$C13&lt;&gt;TRUE())),SUMPRODUCT(--(LEN(TRIM($B$12:$B13))&gt;0),--(L$12:L13=TRUE())))&lt;=MOD(L$46,MAX(1,L$48)),1,0),0)</f>
        <v>0</v>
      </c>
      <c r="N53" s="14" t="n">
        <f aca="false">IF(AND(N$47,N$48&gt;0,LEN(TRIM($B13))&gt;0,N13=TRUE(),IF(N$50,$C13&lt;&gt;TRUE(),TRUE())),QUOTIENT(N$46,MAX(1,N$48))+IF(IF(N$50,SUMPRODUCT(--(LEN(TRIM($B$12:$B13))&gt;0),--(N$12:N13=TRUE()),--($C$12:$C13&lt;&gt;TRUE())),SUMPRODUCT(--(LEN(TRIM($B$12:$B13))&gt;0),--(N$12:N13=TRUE())))&lt;=MOD(N$46,MAX(1,N$48)),1,0),0)</f>
        <v>0</v>
      </c>
      <c r="P53" s="14" t="n">
        <f aca="false">IF(AND(P$47,P$48&gt;0,LEN(TRIM($B13))&gt;0,P13=TRUE(),IF(P$50,$C13&lt;&gt;TRUE(),TRUE())),QUOTIENT(P$46,MAX(1,P$48))+IF(IF(P$50,SUMPRODUCT(--(LEN(TRIM($B$12:$B13))&gt;0),--(P$12:P13=TRUE()),--($C$12:$C13&lt;&gt;TRUE())),SUMPRODUCT(--(LEN(TRIM($B$12:$B13))&gt;0),--(P$12:P13=TRUE())))&lt;=MOD(P$46,MAX(1,P$48)),1,0),0)</f>
        <v>0</v>
      </c>
    </row>
    <row r="54" customFormat="false" ht="15" hidden="true" customHeight="false" outlineLevel="0" collapsed="false">
      <c r="A54" s="13" t="s">
        <v>20</v>
      </c>
      <c r="D54" s="14" t="n">
        <f aca="false">IF(AND(D$47,D$48&gt;0,LEN(TRIM($B14))&gt;0,D14=TRUE(),IF(D$50,$C14&lt;&gt;TRUE(),TRUE())),QUOTIENT(D$46,MAX(1,D$48))+IF(IF(D$50,SUMPRODUCT(--(LEN(TRIM($B$12:$B14))&gt;0),--(D$12:D14=TRUE()),--($C$12:$C14&lt;&gt;TRUE())),SUMPRODUCT(--(LEN(TRIM($B$12:$B14))&gt;0),--(D$12:D14=TRUE())))&lt;=MOD(D$46,MAX(1,D$48)),1,0),0)</f>
        <v>0</v>
      </c>
      <c r="F54" s="14" t="n">
        <f aca="false">IF(AND(F$47,F$48&gt;0,LEN(TRIM($B14))&gt;0,F14=TRUE(),IF(F$50,$C14&lt;&gt;TRUE(),TRUE())),QUOTIENT(F$46,MAX(1,F$48))+IF(IF(F$50,SUMPRODUCT(--(LEN(TRIM($B$12:$B14))&gt;0),--(F$12:F14=TRUE()),--($C$12:$C14&lt;&gt;TRUE())),SUMPRODUCT(--(LEN(TRIM($B$12:$B14))&gt;0),--(F$12:F14=TRUE())))&lt;=MOD(F$46,MAX(1,F$48)),1,0),0)</f>
        <v>0</v>
      </c>
      <c r="H54" s="14" t="n">
        <f aca="false">IF(AND(H$47,H$48&gt;0,LEN(TRIM($B14))&gt;0,H14=TRUE(),IF(H$50,$C14&lt;&gt;TRUE(),TRUE())),QUOTIENT(H$46,MAX(1,H$48))+IF(IF(H$50,SUMPRODUCT(--(LEN(TRIM($B$12:$B14))&gt;0),--(H$12:H14=TRUE()),--($C$12:$C14&lt;&gt;TRUE())),SUMPRODUCT(--(LEN(TRIM($B$12:$B14))&gt;0),--(H$12:H14=TRUE())))&lt;=MOD(H$46,MAX(1,H$48)),1,0),0)</f>
        <v>0</v>
      </c>
      <c r="J54" s="14" t="n">
        <f aca="false">IF(AND(J$47,J$48&gt;0,LEN(TRIM($B14))&gt;0,J14=TRUE(),IF(J$50,$C14&lt;&gt;TRUE(),TRUE())),QUOTIENT(J$46,MAX(1,J$48))+IF(IF(J$50,SUMPRODUCT(--(LEN(TRIM($B$12:$B14))&gt;0),--(J$12:J14=TRUE()),--($C$12:$C14&lt;&gt;TRUE())),SUMPRODUCT(--(LEN(TRIM($B$12:$B14))&gt;0),--(J$12:J14=TRUE())))&lt;=MOD(J$46,MAX(1,J$48)),1,0),0)</f>
        <v>0</v>
      </c>
      <c r="L54" s="14" t="n">
        <f aca="false">IF(AND(L$47,L$48&gt;0,LEN(TRIM($B14))&gt;0,L14=TRUE(),IF(L$50,$C14&lt;&gt;TRUE(),TRUE())),QUOTIENT(L$46,MAX(1,L$48))+IF(IF(L$50,SUMPRODUCT(--(LEN(TRIM($B$12:$B14))&gt;0),--(L$12:L14=TRUE()),--($C$12:$C14&lt;&gt;TRUE())),SUMPRODUCT(--(LEN(TRIM($B$12:$B14))&gt;0),--(L$12:L14=TRUE())))&lt;=MOD(L$46,MAX(1,L$48)),1,0),0)</f>
        <v>0</v>
      </c>
      <c r="N54" s="14" t="n">
        <f aca="false">IF(AND(N$47,N$48&gt;0,LEN(TRIM($B14))&gt;0,N14=TRUE(),IF(N$50,$C14&lt;&gt;TRUE(),TRUE())),QUOTIENT(N$46,MAX(1,N$48))+IF(IF(N$50,SUMPRODUCT(--(LEN(TRIM($B$12:$B14))&gt;0),--(N$12:N14=TRUE()),--($C$12:$C14&lt;&gt;TRUE())),SUMPRODUCT(--(LEN(TRIM($B$12:$B14))&gt;0),--(N$12:N14=TRUE())))&lt;=MOD(N$46,MAX(1,N$48)),1,0),0)</f>
        <v>0</v>
      </c>
      <c r="P54" s="14" t="n">
        <f aca="false">IF(AND(P$47,P$48&gt;0,LEN(TRIM($B14))&gt;0,P14=TRUE(),IF(P$50,$C14&lt;&gt;TRUE(),TRUE())),QUOTIENT(P$46,MAX(1,P$48))+IF(IF(P$50,SUMPRODUCT(--(LEN(TRIM($B$12:$B14))&gt;0),--(P$12:P14=TRUE()),--($C$12:$C14&lt;&gt;TRUE())),SUMPRODUCT(--(LEN(TRIM($B$12:$B14))&gt;0),--(P$12:P14=TRUE())))&lt;=MOD(P$46,MAX(1,P$48)),1,0),0)</f>
        <v>0</v>
      </c>
    </row>
    <row r="55" customFormat="false" ht="15" hidden="true" customHeight="false" outlineLevel="0" collapsed="false">
      <c r="A55" s="13" t="s">
        <v>21</v>
      </c>
      <c r="D55" s="14" t="n">
        <f aca="false">IF(AND(D$47,D$48&gt;0,LEN(TRIM($B15))&gt;0,D15=TRUE(),IF(D$50,$C15&lt;&gt;TRUE(),TRUE())),QUOTIENT(D$46,MAX(1,D$48))+IF(IF(D$50,SUMPRODUCT(--(LEN(TRIM($B$12:$B15))&gt;0),--(D$12:D15=TRUE()),--($C$12:$C15&lt;&gt;TRUE())),SUMPRODUCT(--(LEN(TRIM($B$12:$B15))&gt;0),--(D$12:D15=TRUE())))&lt;=MOD(D$46,MAX(1,D$48)),1,0),0)</f>
        <v>0</v>
      </c>
      <c r="F55" s="14" t="n">
        <f aca="false">IF(AND(F$47,F$48&gt;0,LEN(TRIM($B15))&gt;0,F15=TRUE(),IF(F$50,$C15&lt;&gt;TRUE(),TRUE())),QUOTIENT(F$46,MAX(1,F$48))+IF(IF(F$50,SUMPRODUCT(--(LEN(TRIM($B$12:$B15))&gt;0),--(F$12:F15=TRUE()),--($C$12:$C15&lt;&gt;TRUE())),SUMPRODUCT(--(LEN(TRIM($B$12:$B15))&gt;0),--(F$12:F15=TRUE())))&lt;=MOD(F$46,MAX(1,F$48)),1,0),0)</f>
        <v>0</v>
      </c>
      <c r="H55" s="14" t="n">
        <f aca="false">IF(AND(H$47,H$48&gt;0,LEN(TRIM($B15))&gt;0,H15=TRUE(),IF(H$50,$C15&lt;&gt;TRUE(),TRUE())),QUOTIENT(H$46,MAX(1,H$48))+IF(IF(H$50,SUMPRODUCT(--(LEN(TRIM($B$12:$B15))&gt;0),--(H$12:H15=TRUE()),--($C$12:$C15&lt;&gt;TRUE())),SUMPRODUCT(--(LEN(TRIM($B$12:$B15))&gt;0),--(H$12:H15=TRUE())))&lt;=MOD(H$46,MAX(1,H$48)),1,0),0)</f>
        <v>0</v>
      </c>
      <c r="J55" s="14" t="n">
        <f aca="false">IF(AND(J$47,J$48&gt;0,LEN(TRIM($B15))&gt;0,J15=TRUE(),IF(J$50,$C15&lt;&gt;TRUE(),TRUE())),QUOTIENT(J$46,MAX(1,J$48))+IF(IF(J$50,SUMPRODUCT(--(LEN(TRIM($B$12:$B15))&gt;0),--(J$12:J15=TRUE()),--($C$12:$C15&lt;&gt;TRUE())),SUMPRODUCT(--(LEN(TRIM($B$12:$B15))&gt;0),--(J$12:J15=TRUE())))&lt;=MOD(J$46,MAX(1,J$48)),1,0),0)</f>
        <v>0</v>
      </c>
      <c r="L55" s="14" t="n">
        <f aca="false">IF(AND(L$47,L$48&gt;0,LEN(TRIM($B15))&gt;0,L15=TRUE(),IF(L$50,$C15&lt;&gt;TRUE(),TRUE())),QUOTIENT(L$46,MAX(1,L$48))+IF(IF(L$50,SUMPRODUCT(--(LEN(TRIM($B$12:$B15))&gt;0),--(L$12:L15=TRUE()),--($C$12:$C15&lt;&gt;TRUE())),SUMPRODUCT(--(LEN(TRIM($B$12:$B15))&gt;0),--(L$12:L15=TRUE())))&lt;=MOD(L$46,MAX(1,L$48)),1,0),0)</f>
        <v>0</v>
      </c>
      <c r="N55" s="14" t="n">
        <f aca="false">IF(AND(N$47,N$48&gt;0,LEN(TRIM($B15))&gt;0,N15=TRUE(),IF(N$50,$C15&lt;&gt;TRUE(),TRUE())),QUOTIENT(N$46,MAX(1,N$48))+IF(IF(N$50,SUMPRODUCT(--(LEN(TRIM($B$12:$B15))&gt;0),--(N$12:N15=TRUE()),--($C$12:$C15&lt;&gt;TRUE())),SUMPRODUCT(--(LEN(TRIM($B$12:$B15))&gt;0),--(N$12:N15=TRUE())))&lt;=MOD(N$46,MAX(1,N$48)),1,0),0)</f>
        <v>0</v>
      </c>
      <c r="P55" s="14" t="n">
        <f aca="false">IF(AND(P$47,P$48&gt;0,LEN(TRIM($B15))&gt;0,P15=TRUE(),IF(P$50,$C15&lt;&gt;TRUE(),TRUE())),QUOTIENT(P$46,MAX(1,P$48))+IF(IF(P$50,SUMPRODUCT(--(LEN(TRIM($B$12:$B15))&gt;0),--(P$12:P15=TRUE()),--($C$12:$C15&lt;&gt;TRUE())),SUMPRODUCT(--(LEN(TRIM($B$12:$B15))&gt;0),--(P$12:P15=TRUE())))&lt;=MOD(P$46,MAX(1,P$48)),1,0),0)</f>
        <v>0</v>
      </c>
    </row>
    <row r="56" customFormat="false" ht="15" hidden="true" customHeight="false" outlineLevel="0" collapsed="false">
      <c r="A56" s="13" t="s">
        <v>22</v>
      </c>
      <c r="D56" s="14" t="n">
        <f aca="false">IF(AND(D$47,D$48&gt;0,LEN(TRIM($B16))&gt;0,D16=TRUE(),IF(D$50,$C16&lt;&gt;TRUE(),TRUE())),QUOTIENT(D$46,MAX(1,D$48))+IF(IF(D$50,SUMPRODUCT(--(LEN(TRIM($B$12:$B16))&gt;0),--(D$12:D16=TRUE()),--($C$12:$C16&lt;&gt;TRUE())),SUMPRODUCT(--(LEN(TRIM($B$12:$B16))&gt;0),--(D$12:D16=TRUE())))&lt;=MOD(D$46,MAX(1,D$48)),1,0),0)</f>
        <v>0</v>
      </c>
      <c r="F56" s="14" t="n">
        <f aca="false">IF(AND(F$47,F$48&gt;0,LEN(TRIM($B16))&gt;0,F16=TRUE(),IF(F$50,$C16&lt;&gt;TRUE(),TRUE())),QUOTIENT(F$46,MAX(1,F$48))+IF(IF(F$50,SUMPRODUCT(--(LEN(TRIM($B$12:$B16))&gt;0),--(F$12:F16=TRUE()),--($C$12:$C16&lt;&gt;TRUE())),SUMPRODUCT(--(LEN(TRIM($B$12:$B16))&gt;0),--(F$12:F16=TRUE())))&lt;=MOD(F$46,MAX(1,F$48)),1,0),0)</f>
        <v>0</v>
      </c>
      <c r="H56" s="14" t="n">
        <f aca="false">IF(AND(H$47,H$48&gt;0,LEN(TRIM($B16))&gt;0,H16=TRUE(),IF(H$50,$C16&lt;&gt;TRUE(),TRUE())),QUOTIENT(H$46,MAX(1,H$48))+IF(IF(H$50,SUMPRODUCT(--(LEN(TRIM($B$12:$B16))&gt;0),--(H$12:H16=TRUE()),--($C$12:$C16&lt;&gt;TRUE())),SUMPRODUCT(--(LEN(TRIM($B$12:$B16))&gt;0),--(H$12:H16=TRUE())))&lt;=MOD(H$46,MAX(1,H$48)),1,0),0)</f>
        <v>0</v>
      </c>
      <c r="J56" s="14" t="n">
        <f aca="false">IF(AND(J$47,J$48&gt;0,LEN(TRIM($B16))&gt;0,J16=TRUE(),IF(J$50,$C16&lt;&gt;TRUE(),TRUE())),QUOTIENT(J$46,MAX(1,J$48))+IF(IF(J$50,SUMPRODUCT(--(LEN(TRIM($B$12:$B16))&gt;0),--(J$12:J16=TRUE()),--($C$12:$C16&lt;&gt;TRUE())),SUMPRODUCT(--(LEN(TRIM($B$12:$B16))&gt;0),--(J$12:J16=TRUE())))&lt;=MOD(J$46,MAX(1,J$48)),1,0),0)</f>
        <v>0</v>
      </c>
      <c r="L56" s="14" t="n">
        <f aca="false">IF(AND(L$47,L$48&gt;0,LEN(TRIM($B16))&gt;0,L16=TRUE(),IF(L$50,$C16&lt;&gt;TRUE(),TRUE())),QUOTIENT(L$46,MAX(1,L$48))+IF(IF(L$50,SUMPRODUCT(--(LEN(TRIM($B$12:$B16))&gt;0),--(L$12:L16=TRUE()),--($C$12:$C16&lt;&gt;TRUE())),SUMPRODUCT(--(LEN(TRIM($B$12:$B16))&gt;0),--(L$12:L16=TRUE())))&lt;=MOD(L$46,MAX(1,L$48)),1,0),0)</f>
        <v>0</v>
      </c>
      <c r="N56" s="14" t="n">
        <f aca="false">IF(AND(N$47,N$48&gt;0,LEN(TRIM($B16))&gt;0,N16=TRUE(),IF(N$50,$C16&lt;&gt;TRUE(),TRUE())),QUOTIENT(N$46,MAX(1,N$48))+IF(IF(N$50,SUMPRODUCT(--(LEN(TRIM($B$12:$B16))&gt;0),--(N$12:N16=TRUE()),--($C$12:$C16&lt;&gt;TRUE())),SUMPRODUCT(--(LEN(TRIM($B$12:$B16))&gt;0),--(N$12:N16=TRUE())))&lt;=MOD(N$46,MAX(1,N$48)),1,0),0)</f>
        <v>0</v>
      </c>
      <c r="P56" s="14" t="n">
        <f aca="false">IF(AND(P$47,P$48&gt;0,LEN(TRIM($B16))&gt;0,P16=TRUE(),IF(P$50,$C16&lt;&gt;TRUE(),TRUE())),QUOTIENT(P$46,MAX(1,P$48))+IF(IF(P$50,SUMPRODUCT(--(LEN(TRIM($B$12:$B16))&gt;0),--(P$12:P16=TRUE()),--($C$12:$C16&lt;&gt;TRUE())),SUMPRODUCT(--(LEN(TRIM($B$12:$B16))&gt;0),--(P$12:P16=TRUE())))&lt;=MOD(P$46,MAX(1,P$48)),1,0),0)</f>
        <v>0</v>
      </c>
    </row>
    <row r="57" customFormat="false" ht="15" hidden="true" customHeight="false" outlineLevel="0" collapsed="false">
      <c r="A57" s="13" t="s">
        <v>23</v>
      </c>
      <c r="D57" s="14" t="n">
        <f aca="false">IF(AND(D$47,D$48&gt;0,LEN(TRIM($B17))&gt;0,D17=TRUE(),IF(D$50,$C17&lt;&gt;TRUE(),TRUE())),QUOTIENT(D$46,MAX(1,D$48))+IF(IF(D$50,SUMPRODUCT(--(LEN(TRIM($B$12:$B17))&gt;0),--(D$12:D17=TRUE()),--($C$12:$C17&lt;&gt;TRUE())),SUMPRODUCT(--(LEN(TRIM($B$12:$B17))&gt;0),--(D$12:D17=TRUE())))&lt;=MOD(D$46,MAX(1,D$48)),1,0),0)</f>
        <v>0</v>
      </c>
      <c r="F57" s="14" t="n">
        <f aca="false">IF(AND(F$47,F$48&gt;0,LEN(TRIM($B17))&gt;0,F17=TRUE(),IF(F$50,$C17&lt;&gt;TRUE(),TRUE())),QUOTIENT(F$46,MAX(1,F$48))+IF(IF(F$50,SUMPRODUCT(--(LEN(TRIM($B$12:$B17))&gt;0),--(F$12:F17=TRUE()),--($C$12:$C17&lt;&gt;TRUE())),SUMPRODUCT(--(LEN(TRIM($B$12:$B17))&gt;0),--(F$12:F17=TRUE())))&lt;=MOD(F$46,MAX(1,F$48)),1,0),0)</f>
        <v>0</v>
      </c>
      <c r="H57" s="14" t="n">
        <f aca="false">IF(AND(H$47,H$48&gt;0,LEN(TRIM($B17))&gt;0,H17=TRUE(),IF(H$50,$C17&lt;&gt;TRUE(),TRUE())),QUOTIENT(H$46,MAX(1,H$48))+IF(IF(H$50,SUMPRODUCT(--(LEN(TRIM($B$12:$B17))&gt;0),--(H$12:H17=TRUE()),--($C$12:$C17&lt;&gt;TRUE())),SUMPRODUCT(--(LEN(TRIM($B$12:$B17))&gt;0),--(H$12:H17=TRUE())))&lt;=MOD(H$46,MAX(1,H$48)),1,0),0)</f>
        <v>0</v>
      </c>
      <c r="J57" s="14" t="n">
        <f aca="false">IF(AND(J$47,J$48&gt;0,LEN(TRIM($B17))&gt;0,J17=TRUE(),IF(J$50,$C17&lt;&gt;TRUE(),TRUE())),QUOTIENT(J$46,MAX(1,J$48))+IF(IF(J$50,SUMPRODUCT(--(LEN(TRIM($B$12:$B17))&gt;0),--(J$12:J17=TRUE()),--($C$12:$C17&lt;&gt;TRUE())),SUMPRODUCT(--(LEN(TRIM($B$12:$B17))&gt;0),--(J$12:J17=TRUE())))&lt;=MOD(J$46,MAX(1,J$48)),1,0),0)</f>
        <v>0</v>
      </c>
      <c r="L57" s="14" t="n">
        <f aca="false">IF(AND(L$47,L$48&gt;0,LEN(TRIM($B17))&gt;0,L17=TRUE(),IF(L$50,$C17&lt;&gt;TRUE(),TRUE())),QUOTIENT(L$46,MAX(1,L$48))+IF(IF(L$50,SUMPRODUCT(--(LEN(TRIM($B$12:$B17))&gt;0),--(L$12:L17=TRUE()),--($C$12:$C17&lt;&gt;TRUE())),SUMPRODUCT(--(LEN(TRIM($B$12:$B17))&gt;0),--(L$12:L17=TRUE())))&lt;=MOD(L$46,MAX(1,L$48)),1,0),0)</f>
        <v>0</v>
      </c>
      <c r="N57" s="14" t="n">
        <f aca="false">IF(AND(N$47,N$48&gt;0,LEN(TRIM($B17))&gt;0,N17=TRUE(),IF(N$50,$C17&lt;&gt;TRUE(),TRUE())),QUOTIENT(N$46,MAX(1,N$48))+IF(IF(N$50,SUMPRODUCT(--(LEN(TRIM($B$12:$B17))&gt;0),--(N$12:N17=TRUE()),--($C$12:$C17&lt;&gt;TRUE())),SUMPRODUCT(--(LEN(TRIM($B$12:$B17))&gt;0),--(N$12:N17=TRUE())))&lt;=MOD(N$46,MAX(1,N$48)),1,0),0)</f>
        <v>0</v>
      </c>
      <c r="P57" s="14" t="n">
        <f aca="false">IF(AND(P$47,P$48&gt;0,LEN(TRIM($B17))&gt;0,P17=TRUE(),IF(P$50,$C17&lt;&gt;TRUE(),TRUE())),QUOTIENT(P$46,MAX(1,P$48))+IF(IF(P$50,SUMPRODUCT(--(LEN(TRIM($B$12:$B17))&gt;0),--(P$12:P17=TRUE()),--($C$12:$C17&lt;&gt;TRUE())),SUMPRODUCT(--(LEN(TRIM($B$12:$B17))&gt;0),--(P$12:P17=TRUE())))&lt;=MOD(P$46,MAX(1,P$48)),1,0),0)</f>
        <v>0</v>
      </c>
    </row>
    <row r="58" customFormat="false" ht="15" hidden="true" customHeight="false" outlineLevel="0" collapsed="false">
      <c r="A58" s="13" t="s">
        <v>24</v>
      </c>
      <c r="D58" s="14" t="n">
        <f aca="false">IF(AND(D$47,D$48&gt;0,LEN(TRIM($B18))&gt;0,D18=TRUE(),IF(D$50,$C18&lt;&gt;TRUE(),TRUE())),QUOTIENT(D$46,MAX(1,D$48))+IF(IF(D$50,SUMPRODUCT(--(LEN(TRIM($B$12:$B18))&gt;0),--(D$12:D18=TRUE()),--($C$12:$C18&lt;&gt;TRUE())),SUMPRODUCT(--(LEN(TRIM($B$12:$B18))&gt;0),--(D$12:D18=TRUE())))&lt;=MOD(D$46,MAX(1,D$48)),1,0),0)</f>
        <v>0</v>
      </c>
      <c r="F58" s="14" t="n">
        <f aca="false">IF(AND(F$47,F$48&gt;0,LEN(TRIM($B18))&gt;0,F18=TRUE(),IF(F$50,$C18&lt;&gt;TRUE(),TRUE())),QUOTIENT(F$46,MAX(1,F$48))+IF(IF(F$50,SUMPRODUCT(--(LEN(TRIM($B$12:$B18))&gt;0),--(F$12:F18=TRUE()),--($C$12:$C18&lt;&gt;TRUE())),SUMPRODUCT(--(LEN(TRIM($B$12:$B18))&gt;0),--(F$12:F18=TRUE())))&lt;=MOD(F$46,MAX(1,F$48)),1,0),0)</f>
        <v>0</v>
      </c>
      <c r="H58" s="14" t="n">
        <f aca="false">IF(AND(H$47,H$48&gt;0,LEN(TRIM($B18))&gt;0,H18=TRUE(),IF(H$50,$C18&lt;&gt;TRUE(),TRUE())),QUOTIENT(H$46,MAX(1,H$48))+IF(IF(H$50,SUMPRODUCT(--(LEN(TRIM($B$12:$B18))&gt;0),--(H$12:H18=TRUE()),--($C$12:$C18&lt;&gt;TRUE())),SUMPRODUCT(--(LEN(TRIM($B$12:$B18))&gt;0),--(H$12:H18=TRUE())))&lt;=MOD(H$46,MAX(1,H$48)),1,0),0)</f>
        <v>0</v>
      </c>
      <c r="J58" s="14" t="n">
        <f aca="false">IF(AND(J$47,J$48&gt;0,LEN(TRIM($B18))&gt;0,J18=TRUE(),IF(J$50,$C18&lt;&gt;TRUE(),TRUE())),QUOTIENT(J$46,MAX(1,J$48))+IF(IF(J$50,SUMPRODUCT(--(LEN(TRIM($B$12:$B18))&gt;0),--(J$12:J18=TRUE()),--($C$12:$C18&lt;&gt;TRUE())),SUMPRODUCT(--(LEN(TRIM($B$12:$B18))&gt;0),--(J$12:J18=TRUE())))&lt;=MOD(J$46,MAX(1,J$48)),1,0),0)</f>
        <v>0</v>
      </c>
      <c r="L58" s="14" t="n">
        <f aca="false">IF(AND(L$47,L$48&gt;0,LEN(TRIM($B18))&gt;0,L18=TRUE(),IF(L$50,$C18&lt;&gt;TRUE(),TRUE())),QUOTIENT(L$46,MAX(1,L$48))+IF(IF(L$50,SUMPRODUCT(--(LEN(TRIM($B$12:$B18))&gt;0),--(L$12:L18=TRUE()),--($C$12:$C18&lt;&gt;TRUE())),SUMPRODUCT(--(LEN(TRIM($B$12:$B18))&gt;0),--(L$12:L18=TRUE())))&lt;=MOD(L$46,MAX(1,L$48)),1,0),0)</f>
        <v>0</v>
      </c>
      <c r="N58" s="14" t="n">
        <f aca="false">IF(AND(N$47,N$48&gt;0,LEN(TRIM($B18))&gt;0,N18=TRUE(),IF(N$50,$C18&lt;&gt;TRUE(),TRUE())),QUOTIENT(N$46,MAX(1,N$48))+IF(IF(N$50,SUMPRODUCT(--(LEN(TRIM($B$12:$B18))&gt;0),--(N$12:N18=TRUE()),--($C$12:$C18&lt;&gt;TRUE())),SUMPRODUCT(--(LEN(TRIM($B$12:$B18))&gt;0),--(N$12:N18=TRUE())))&lt;=MOD(N$46,MAX(1,N$48)),1,0),0)</f>
        <v>0</v>
      </c>
      <c r="P58" s="14" t="n">
        <f aca="false">IF(AND(P$47,P$48&gt;0,LEN(TRIM($B18))&gt;0,P18=TRUE(),IF(P$50,$C18&lt;&gt;TRUE(),TRUE())),QUOTIENT(P$46,MAX(1,P$48))+IF(IF(P$50,SUMPRODUCT(--(LEN(TRIM($B$12:$B18))&gt;0),--(P$12:P18=TRUE()),--($C$12:$C18&lt;&gt;TRUE())),SUMPRODUCT(--(LEN(TRIM($B$12:$B18))&gt;0),--(P$12:P18=TRUE())))&lt;=MOD(P$46,MAX(1,P$48)),1,0),0)</f>
        <v>0</v>
      </c>
    </row>
    <row r="59" customFormat="false" ht="15" hidden="true" customHeight="false" outlineLevel="0" collapsed="false">
      <c r="A59" s="13" t="s">
        <v>25</v>
      </c>
      <c r="D59" s="14" t="n">
        <f aca="false">IF(AND(D$47,D$48&gt;0,LEN(TRIM($B19))&gt;0,D19=TRUE(),IF(D$50,$C19&lt;&gt;TRUE(),TRUE())),QUOTIENT(D$46,MAX(1,D$48))+IF(IF(D$50,SUMPRODUCT(--(LEN(TRIM($B$12:$B19))&gt;0),--(D$12:D19=TRUE()),--($C$12:$C19&lt;&gt;TRUE())),SUMPRODUCT(--(LEN(TRIM($B$12:$B19))&gt;0),--(D$12:D19=TRUE())))&lt;=MOD(D$46,MAX(1,D$48)),1,0),0)</f>
        <v>0</v>
      </c>
      <c r="F59" s="14" t="n">
        <f aca="false">IF(AND(F$47,F$48&gt;0,LEN(TRIM($B19))&gt;0,F19=TRUE(),IF(F$50,$C19&lt;&gt;TRUE(),TRUE())),QUOTIENT(F$46,MAX(1,F$48))+IF(IF(F$50,SUMPRODUCT(--(LEN(TRIM($B$12:$B19))&gt;0),--(F$12:F19=TRUE()),--($C$12:$C19&lt;&gt;TRUE())),SUMPRODUCT(--(LEN(TRIM($B$12:$B19))&gt;0),--(F$12:F19=TRUE())))&lt;=MOD(F$46,MAX(1,F$48)),1,0),0)</f>
        <v>0</v>
      </c>
      <c r="H59" s="14" t="n">
        <f aca="false">IF(AND(H$47,H$48&gt;0,LEN(TRIM($B19))&gt;0,H19=TRUE(),IF(H$50,$C19&lt;&gt;TRUE(),TRUE())),QUOTIENT(H$46,MAX(1,H$48))+IF(IF(H$50,SUMPRODUCT(--(LEN(TRIM($B$12:$B19))&gt;0),--(H$12:H19=TRUE()),--($C$12:$C19&lt;&gt;TRUE())),SUMPRODUCT(--(LEN(TRIM($B$12:$B19))&gt;0),--(H$12:H19=TRUE())))&lt;=MOD(H$46,MAX(1,H$48)),1,0),0)</f>
        <v>0</v>
      </c>
      <c r="J59" s="14" t="n">
        <f aca="false">IF(AND(J$47,J$48&gt;0,LEN(TRIM($B19))&gt;0,J19=TRUE(),IF(J$50,$C19&lt;&gt;TRUE(),TRUE())),QUOTIENT(J$46,MAX(1,J$48))+IF(IF(J$50,SUMPRODUCT(--(LEN(TRIM($B$12:$B19))&gt;0),--(J$12:J19=TRUE()),--($C$12:$C19&lt;&gt;TRUE())),SUMPRODUCT(--(LEN(TRIM($B$12:$B19))&gt;0),--(J$12:J19=TRUE())))&lt;=MOD(J$46,MAX(1,J$48)),1,0),0)</f>
        <v>0</v>
      </c>
      <c r="L59" s="14" t="n">
        <f aca="false">IF(AND(L$47,L$48&gt;0,LEN(TRIM($B19))&gt;0,L19=TRUE(),IF(L$50,$C19&lt;&gt;TRUE(),TRUE())),QUOTIENT(L$46,MAX(1,L$48))+IF(IF(L$50,SUMPRODUCT(--(LEN(TRIM($B$12:$B19))&gt;0),--(L$12:L19=TRUE()),--($C$12:$C19&lt;&gt;TRUE())),SUMPRODUCT(--(LEN(TRIM($B$12:$B19))&gt;0),--(L$12:L19=TRUE())))&lt;=MOD(L$46,MAX(1,L$48)),1,0),0)</f>
        <v>0</v>
      </c>
      <c r="N59" s="14" t="n">
        <f aca="false">IF(AND(N$47,N$48&gt;0,LEN(TRIM($B19))&gt;0,N19=TRUE(),IF(N$50,$C19&lt;&gt;TRUE(),TRUE())),QUOTIENT(N$46,MAX(1,N$48))+IF(IF(N$50,SUMPRODUCT(--(LEN(TRIM($B$12:$B19))&gt;0),--(N$12:N19=TRUE()),--($C$12:$C19&lt;&gt;TRUE())),SUMPRODUCT(--(LEN(TRIM($B$12:$B19))&gt;0),--(N$12:N19=TRUE())))&lt;=MOD(N$46,MAX(1,N$48)),1,0),0)</f>
        <v>0</v>
      </c>
      <c r="P59" s="14" t="n">
        <f aca="false">IF(AND(P$47,P$48&gt;0,LEN(TRIM($B19))&gt;0,P19=TRUE(),IF(P$50,$C19&lt;&gt;TRUE(),TRUE())),QUOTIENT(P$46,MAX(1,P$48))+IF(IF(P$50,SUMPRODUCT(--(LEN(TRIM($B$12:$B19))&gt;0),--(P$12:P19=TRUE()),--($C$12:$C19&lt;&gt;TRUE())),SUMPRODUCT(--(LEN(TRIM($B$12:$B19))&gt;0),--(P$12:P19=TRUE())))&lt;=MOD(P$46,MAX(1,P$48)),1,0),0)</f>
        <v>0</v>
      </c>
    </row>
    <row r="60" customFormat="false" ht="15" hidden="true" customHeight="false" outlineLevel="0" collapsed="false">
      <c r="A60" s="13" t="s">
        <v>26</v>
      </c>
      <c r="D60" s="14" t="n">
        <f aca="false">IF(AND(D$47,D$48&gt;0,LEN(TRIM($B20))&gt;0,D20=TRUE(),IF(D$50,$C20&lt;&gt;TRUE(),TRUE())),QUOTIENT(D$46,MAX(1,D$48))+IF(IF(D$50,SUMPRODUCT(--(LEN(TRIM($B$12:$B20))&gt;0),--(D$12:D20=TRUE()),--($C$12:$C20&lt;&gt;TRUE())),SUMPRODUCT(--(LEN(TRIM($B$12:$B20))&gt;0),--(D$12:D20=TRUE())))&lt;=MOD(D$46,MAX(1,D$48)),1,0),0)</f>
        <v>0</v>
      </c>
      <c r="F60" s="14" t="n">
        <f aca="false">IF(AND(F$47,F$48&gt;0,LEN(TRIM($B20))&gt;0,F20=TRUE(),IF(F$50,$C20&lt;&gt;TRUE(),TRUE())),QUOTIENT(F$46,MAX(1,F$48))+IF(IF(F$50,SUMPRODUCT(--(LEN(TRIM($B$12:$B20))&gt;0),--(F$12:F20=TRUE()),--($C$12:$C20&lt;&gt;TRUE())),SUMPRODUCT(--(LEN(TRIM($B$12:$B20))&gt;0),--(F$12:F20=TRUE())))&lt;=MOD(F$46,MAX(1,F$48)),1,0),0)</f>
        <v>0</v>
      </c>
      <c r="H60" s="14" t="n">
        <f aca="false">IF(AND(H$47,H$48&gt;0,LEN(TRIM($B20))&gt;0,H20=TRUE(),IF(H$50,$C20&lt;&gt;TRUE(),TRUE())),QUOTIENT(H$46,MAX(1,H$48))+IF(IF(H$50,SUMPRODUCT(--(LEN(TRIM($B$12:$B20))&gt;0),--(H$12:H20=TRUE()),--($C$12:$C20&lt;&gt;TRUE())),SUMPRODUCT(--(LEN(TRIM($B$12:$B20))&gt;0),--(H$12:H20=TRUE())))&lt;=MOD(H$46,MAX(1,H$48)),1,0),0)</f>
        <v>0</v>
      </c>
      <c r="J60" s="14" t="n">
        <f aca="false">IF(AND(J$47,J$48&gt;0,LEN(TRIM($B20))&gt;0,J20=TRUE(),IF(J$50,$C20&lt;&gt;TRUE(),TRUE())),QUOTIENT(J$46,MAX(1,J$48))+IF(IF(J$50,SUMPRODUCT(--(LEN(TRIM($B$12:$B20))&gt;0),--(J$12:J20=TRUE()),--($C$12:$C20&lt;&gt;TRUE())),SUMPRODUCT(--(LEN(TRIM($B$12:$B20))&gt;0),--(J$12:J20=TRUE())))&lt;=MOD(J$46,MAX(1,J$48)),1,0),0)</f>
        <v>0</v>
      </c>
      <c r="L60" s="14" t="n">
        <f aca="false">IF(AND(L$47,L$48&gt;0,LEN(TRIM($B20))&gt;0,L20=TRUE(),IF(L$50,$C20&lt;&gt;TRUE(),TRUE())),QUOTIENT(L$46,MAX(1,L$48))+IF(IF(L$50,SUMPRODUCT(--(LEN(TRIM($B$12:$B20))&gt;0),--(L$12:L20=TRUE()),--($C$12:$C20&lt;&gt;TRUE())),SUMPRODUCT(--(LEN(TRIM($B$12:$B20))&gt;0),--(L$12:L20=TRUE())))&lt;=MOD(L$46,MAX(1,L$48)),1,0),0)</f>
        <v>0</v>
      </c>
      <c r="N60" s="14" t="n">
        <f aca="false">IF(AND(N$47,N$48&gt;0,LEN(TRIM($B20))&gt;0,N20=TRUE(),IF(N$50,$C20&lt;&gt;TRUE(),TRUE())),QUOTIENT(N$46,MAX(1,N$48))+IF(IF(N$50,SUMPRODUCT(--(LEN(TRIM($B$12:$B20))&gt;0),--(N$12:N20=TRUE()),--($C$12:$C20&lt;&gt;TRUE())),SUMPRODUCT(--(LEN(TRIM($B$12:$B20))&gt;0),--(N$12:N20=TRUE())))&lt;=MOD(N$46,MAX(1,N$48)),1,0),0)</f>
        <v>0</v>
      </c>
      <c r="P60" s="14" t="n">
        <f aca="false">IF(AND(P$47,P$48&gt;0,LEN(TRIM($B20))&gt;0,P20=TRUE(),IF(P$50,$C20&lt;&gt;TRUE(),TRUE())),QUOTIENT(P$46,MAX(1,P$48))+IF(IF(P$50,SUMPRODUCT(--(LEN(TRIM($B$12:$B20))&gt;0),--(P$12:P20=TRUE()),--($C$12:$C20&lt;&gt;TRUE())),SUMPRODUCT(--(LEN(TRIM($B$12:$B20))&gt;0),--(P$12:P20=TRUE())))&lt;=MOD(P$46,MAX(1,P$48)),1,0),0)</f>
        <v>0</v>
      </c>
    </row>
    <row r="61" customFormat="false" ht="15" hidden="true" customHeight="false" outlineLevel="0" collapsed="false">
      <c r="A61" s="13" t="s">
        <v>27</v>
      </c>
      <c r="D61" s="14" t="n">
        <f aca="false">IF(AND(D$47,D$48&gt;0,LEN(TRIM($B21))&gt;0,D21=TRUE(),IF(D$50,$C21&lt;&gt;TRUE(),TRUE())),QUOTIENT(D$46,MAX(1,D$48))+IF(IF(D$50,SUMPRODUCT(--(LEN(TRIM($B$12:$B21))&gt;0),--(D$12:D21=TRUE()),--($C$12:$C21&lt;&gt;TRUE())),SUMPRODUCT(--(LEN(TRIM($B$12:$B21))&gt;0),--(D$12:D21=TRUE())))&lt;=MOD(D$46,MAX(1,D$48)),1,0),0)</f>
        <v>0</v>
      </c>
      <c r="F61" s="14" t="n">
        <f aca="false">IF(AND(F$47,F$48&gt;0,LEN(TRIM($B21))&gt;0,F21=TRUE(),IF(F$50,$C21&lt;&gt;TRUE(),TRUE())),QUOTIENT(F$46,MAX(1,F$48))+IF(IF(F$50,SUMPRODUCT(--(LEN(TRIM($B$12:$B21))&gt;0),--(F$12:F21=TRUE()),--($C$12:$C21&lt;&gt;TRUE())),SUMPRODUCT(--(LEN(TRIM($B$12:$B21))&gt;0),--(F$12:F21=TRUE())))&lt;=MOD(F$46,MAX(1,F$48)),1,0),0)</f>
        <v>0</v>
      </c>
      <c r="H61" s="14" t="n">
        <f aca="false">IF(AND(H$47,H$48&gt;0,LEN(TRIM($B21))&gt;0,H21=TRUE(),IF(H$50,$C21&lt;&gt;TRUE(),TRUE())),QUOTIENT(H$46,MAX(1,H$48))+IF(IF(H$50,SUMPRODUCT(--(LEN(TRIM($B$12:$B21))&gt;0),--(H$12:H21=TRUE()),--($C$12:$C21&lt;&gt;TRUE())),SUMPRODUCT(--(LEN(TRIM($B$12:$B21))&gt;0),--(H$12:H21=TRUE())))&lt;=MOD(H$46,MAX(1,H$48)),1,0),0)</f>
        <v>0</v>
      </c>
      <c r="J61" s="14" t="n">
        <f aca="false">IF(AND(J$47,J$48&gt;0,LEN(TRIM($B21))&gt;0,J21=TRUE(),IF(J$50,$C21&lt;&gt;TRUE(),TRUE())),QUOTIENT(J$46,MAX(1,J$48))+IF(IF(J$50,SUMPRODUCT(--(LEN(TRIM($B$12:$B21))&gt;0),--(J$12:J21=TRUE()),--($C$12:$C21&lt;&gt;TRUE())),SUMPRODUCT(--(LEN(TRIM($B$12:$B21))&gt;0),--(J$12:J21=TRUE())))&lt;=MOD(J$46,MAX(1,J$48)),1,0),0)</f>
        <v>0</v>
      </c>
      <c r="L61" s="14" t="n">
        <f aca="false">IF(AND(L$47,L$48&gt;0,LEN(TRIM($B21))&gt;0,L21=TRUE(),IF(L$50,$C21&lt;&gt;TRUE(),TRUE())),QUOTIENT(L$46,MAX(1,L$48))+IF(IF(L$50,SUMPRODUCT(--(LEN(TRIM($B$12:$B21))&gt;0),--(L$12:L21=TRUE()),--($C$12:$C21&lt;&gt;TRUE())),SUMPRODUCT(--(LEN(TRIM($B$12:$B21))&gt;0),--(L$12:L21=TRUE())))&lt;=MOD(L$46,MAX(1,L$48)),1,0),0)</f>
        <v>0</v>
      </c>
      <c r="N61" s="14" t="n">
        <f aca="false">IF(AND(N$47,N$48&gt;0,LEN(TRIM($B21))&gt;0,N21=TRUE(),IF(N$50,$C21&lt;&gt;TRUE(),TRUE())),QUOTIENT(N$46,MAX(1,N$48))+IF(IF(N$50,SUMPRODUCT(--(LEN(TRIM($B$12:$B21))&gt;0),--(N$12:N21=TRUE()),--($C$12:$C21&lt;&gt;TRUE())),SUMPRODUCT(--(LEN(TRIM($B$12:$B21))&gt;0),--(N$12:N21=TRUE())))&lt;=MOD(N$46,MAX(1,N$48)),1,0),0)</f>
        <v>0</v>
      </c>
      <c r="P61" s="14" t="n">
        <f aca="false">IF(AND(P$47,P$48&gt;0,LEN(TRIM($B21))&gt;0,P21=TRUE(),IF(P$50,$C21&lt;&gt;TRUE(),TRUE())),QUOTIENT(P$46,MAX(1,P$48))+IF(IF(P$50,SUMPRODUCT(--(LEN(TRIM($B$12:$B21))&gt;0),--(P$12:P21=TRUE()),--($C$12:$C21&lt;&gt;TRUE())),SUMPRODUCT(--(LEN(TRIM($B$12:$B21))&gt;0),--(P$12:P21=TRUE())))&lt;=MOD(P$46,MAX(1,P$48)),1,0),0)</f>
        <v>0</v>
      </c>
    </row>
    <row r="62" customFormat="false" ht="15" hidden="true" customHeight="false" outlineLevel="0" collapsed="false">
      <c r="A62" s="13" t="s">
        <v>28</v>
      </c>
      <c r="D62" s="14" t="n">
        <f aca="false">IF(AND(D$47,D$48&gt;0,LEN(TRIM($B22))&gt;0,D22=TRUE(),IF(D$50,$C22&lt;&gt;TRUE(),TRUE())),QUOTIENT(D$46,MAX(1,D$48))+IF(IF(D$50,SUMPRODUCT(--(LEN(TRIM($B$12:$B22))&gt;0),--(D$12:D22=TRUE()),--($C$12:$C22&lt;&gt;TRUE())),SUMPRODUCT(--(LEN(TRIM($B$12:$B22))&gt;0),--(D$12:D22=TRUE())))&lt;=MOD(D$46,MAX(1,D$48)),1,0),0)</f>
        <v>0</v>
      </c>
      <c r="F62" s="14" t="n">
        <f aca="false">IF(AND(F$47,F$48&gt;0,LEN(TRIM($B22))&gt;0,F22=TRUE(),IF(F$50,$C22&lt;&gt;TRUE(),TRUE())),QUOTIENT(F$46,MAX(1,F$48))+IF(IF(F$50,SUMPRODUCT(--(LEN(TRIM($B$12:$B22))&gt;0),--(F$12:F22=TRUE()),--($C$12:$C22&lt;&gt;TRUE())),SUMPRODUCT(--(LEN(TRIM($B$12:$B22))&gt;0),--(F$12:F22=TRUE())))&lt;=MOD(F$46,MAX(1,F$48)),1,0),0)</f>
        <v>0</v>
      </c>
      <c r="H62" s="14" t="n">
        <f aca="false">IF(AND(H$47,H$48&gt;0,LEN(TRIM($B22))&gt;0,H22=TRUE(),IF(H$50,$C22&lt;&gt;TRUE(),TRUE())),QUOTIENT(H$46,MAX(1,H$48))+IF(IF(H$50,SUMPRODUCT(--(LEN(TRIM($B$12:$B22))&gt;0),--(H$12:H22=TRUE()),--($C$12:$C22&lt;&gt;TRUE())),SUMPRODUCT(--(LEN(TRIM($B$12:$B22))&gt;0),--(H$12:H22=TRUE())))&lt;=MOD(H$46,MAX(1,H$48)),1,0),0)</f>
        <v>0</v>
      </c>
      <c r="J62" s="14" t="n">
        <f aca="false">IF(AND(J$47,J$48&gt;0,LEN(TRIM($B22))&gt;0,J22=TRUE(),IF(J$50,$C22&lt;&gt;TRUE(),TRUE())),QUOTIENT(J$46,MAX(1,J$48))+IF(IF(J$50,SUMPRODUCT(--(LEN(TRIM($B$12:$B22))&gt;0),--(J$12:J22=TRUE()),--($C$12:$C22&lt;&gt;TRUE())),SUMPRODUCT(--(LEN(TRIM($B$12:$B22))&gt;0),--(J$12:J22=TRUE())))&lt;=MOD(J$46,MAX(1,J$48)),1,0),0)</f>
        <v>0</v>
      </c>
      <c r="L62" s="14" t="n">
        <f aca="false">IF(AND(L$47,L$48&gt;0,LEN(TRIM($B22))&gt;0,L22=TRUE(),IF(L$50,$C22&lt;&gt;TRUE(),TRUE())),QUOTIENT(L$46,MAX(1,L$48))+IF(IF(L$50,SUMPRODUCT(--(LEN(TRIM($B$12:$B22))&gt;0),--(L$12:L22=TRUE()),--($C$12:$C22&lt;&gt;TRUE())),SUMPRODUCT(--(LEN(TRIM($B$12:$B22))&gt;0),--(L$12:L22=TRUE())))&lt;=MOD(L$46,MAX(1,L$48)),1,0),0)</f>
        <v>0</v>
      </c>
      <c r="N62" s="14" t="n">
        <f aca="false">IF(AND(N$47,N$48&gt;0,LEN(TRIM($B22))&gt;0,N22=TRUE(),IF(N$50,$C22&lt;&gt;TRUE(),TRUE())),QUOTIENT(N$46,MAX(1,N$48))+IF(IF(N$50,SUMPRODUCT(--(LEN(TRIM($B$12:$B22))&gt;0),--(N$12:N22=TRUE()),--($C$12:$C22&lt;&gt;TRUE())),SUMPRODUCT(--(LEN(TRIM($B$12:$B22))&gt;0),--(N$12:N22=TRUE())))&lt;=MOD(N$46,MAX(1,N$48)),1,0),0)</f>
        <v>0</v>
      </c>
      <c r="P62" s="14" t="n">
        <f aca="false">IF(AND(P$47,P$48&gt;0,LEN(TRIM($B22))&gt;0,P22=TRUE(),IF(P$50,$C22&lt;&gt;TRUE(),TRUE())),QUOTIENT(P$46,MAX(1,P$48))+IF(IF(P$50,SUMPRODUCT(--(LEN(TRIM($B$12:$B22))&gt;0),--(P$12:P22=TRUE()),--($C$12:$C22&lt;&gt;TRUE())),SUMPRODUCT(--(LEN(TRIM($B$12:$B22))&gt;0),--(P$12:P22=TRUE())))&lt;=MOD(P$46,MAX(1,P$48)),1,0),0)</f>
        <v>0</v>
      </c>
    </row>
    <row r="63" customFormat="false" ht="15" hidden="true" customHeight="false" outlineLevel="0" collapsed="false">
      <c r="A63" s="13" t="s">
        <v>29</v>
      </c>
      <c r="D63" s="14" t="n">
        <f aca="false">IF(AND(D$47,D$48&gt;0,LEN(TRIM($B23))&gt;0,D23=TRUE(),IF(D$50,$C23&lt;&gt;TRUE(),TRUE())),QUOTIENT(D$46,MAX(1,D$48))+IF(IF(D$50,SUMPRODUCT(--(LEN(TRIM($B$12:$B23))&gt;0),--(D$12:D23=TRUE()),--($C$12:$C23&lt;&gt;TRUE())),SUMPRODUCT(--(LEN(TRIM($B$12:$B23))&gt;0),--(D$12:D23=TRUE())))&lt;=MOD(D$46,MAX(1,D$48)),1,0),0)</f>
        <v>0</v>
      </c>
      <c r="F63" s="14" t="n">
        <f aca="false">IF(AND(F$47,F$48&gt;0,LEN(TRIM($B23))&gt;0,F23=TRUE(),IF(F$50,$C23&lt;&gt;TRUE(),TRUE())),QUOTIENT(F$46,MAX(1,F$48))+IF(IF(F$50,SUMPRODUCT(--(LEN(TRIM($B$12:$B23))&gt;0),--(F$12:F23=TRUE()),--($C$12:$C23&lt;&gt;TRUE())),SUMPRODUCT(--(LEN(TRIM($B$12:$B23))&gt;0),--(F$12:F23=TRUE())))&lt;=MOD(F$46,MAX(1,F$48)),1,0),0)</f>
        <v>0</v>
      </c>
      <c r="H63" s="14" t="n">
        <f aca="false">IF(AND(H$47,H$48&gt;0,LEN(TRIM($B23))&gt;0,H23=TRUE(),IF(H$50,$C23&lt;&gt;TRUE(),TRUE())),QUOTIENT(H$46,MAX(1,H$48))+IF(IF(H$50,SUMPRODUCT(--(LEN(TRIM($B$12:$B23))&gt;0),--(H$12:H23=TRUE()),--($C$12:$C23&lt;&gt;TRUE())),SUMPRODUCT(--(LEN(TRIM($B$12:$B23))&gt;0),--(H$12:H23=TRUE())))&lt;=MOD(H$46,MAX(1,H$48)),1,0),0)</f>
        <v>0</v>
      </c>
      <c r="J63" s="14" t="n">
        <f aca="false">IF(AND(J$47,J$48&gt;0,LEN(TRIM($B23))&gt;0,J23=TRUE(),IF(J$50,$C23&lt;&gt;TRUE(),TRUE())),QUOTIENT(J$46,MAX(1,J$48))+IF(IF(J$50,SUMPRODUCT(--(LEN(TRIM($B$12:$B23))&gt;0),--(J$12:J23=TRUE()),--($C$12:$C23&lt;&gt;TRUE())),SUMPRODUCT(--(LEN(TRIM($B$12:$B23))&gt;0),--(J$12:J23=TRUE())))&lt;=MOD(J$46,MAX(1,J$48)),1,0),0)</f>
        <v>0</v>
      </c>
      <c r="L63" s="14" t="n">
        <f aca="false">IF(AND(L$47,L$48&gt;0,LEN(TRIM($B23))&gt;0,L23=TRUE(),IF(L$50,$C23&lt;&gt;TRUE(),TRUE())),QUOTIENT(L$46,MAX(1,L$48))+IF(IF(L$50,SUMPRODUCT(--(LEN(TRIM($B$12:$B23))&gt;0),--(L$12:L23=TRUE()),--($C$12:$C23&lt;&gt;TRUE())),SUMPRODUCT(--(LEN(TRIM($B$12:$B23))&gt;0),--(L$12:L23=TRUE())))&lt;=MOD(L$46,MAX(1,L$48)),1,0),0)</f>
        <v>0</v>
      </c>
      <c r="N63" s="14" t="n">
        <f aca="false">IF(AND(N$47,N$48&gt;0,LEN(TRIM($B23))&gt;0,N23=TRUE(),IF(N$50,$C23&lt;&gt;TRUE(),TRUE())),QUOTIENT(N$46,MAX(1,N$48))+IF(IF(N$50,SUMPRODUCT(--(LEN(TRIM($B$12:$B23))&gt;0),--(N$12:N23=TRUE()),--($C$12:$C23&lt;&gt;TRUE())),SUMPRODUCT(--(LEN(TRIM($B$12:$B23))&gt;0),--(N$12:N23=TRUE())))&lt;=MOD(N$46,MAX(1,N$48)),1,0),0)</f>
        <v>0</v>
      </c>
      <c r="P63" s="14" t="n">
        <f aca="false">IF(AND(P$47,P$48&gt;0,LEN(TRIM($B23))&gt;0,P23=TRUE(),IF(P$50,$C23&lt;&gt;TRUE(),TRUE())),QUOTIENT(P$46,MAX(1,P$48))+IF(IF(P$50,SUMPRODUCT(--(LEN(TRIM($B$12:$B23))&gt;0),--(P$12:P23=TRUE()),--($C$12:$C23&lt;&gt;TRUE())),SUMPRODUCT(--(LEN(TRIM($B$12:$B23))&gt;0),--(P$12:P23=TRUE())))&lt;=MOD(P$46,MAX(1,P$48)),1,0),0)</f>
        <v>0</v>
      </c>
    </row>
    <row r="64" customFormat="false" ht="15" hidden="true" customHeight="false" outlineLevel="0" collapsed="false">
      <c r="A64" s="13" t="s">
        <v>30</v>
      </c>
      <c r="D64" s="14" t="n">
        <f aca="false">IF(AND(D$47,D$48&gt;0,LEN(TRIM($B24))&gt;0,D24=TRUE(),IF(D$50,$C24&lt;&gt;TRUE(),TRUE())),QUOTIENT(D$46,MAX(1,D$48))+IF(IF(D$50,SUMPRODUCT(--(LEN(TRIM($B$12:$B24))&gt;0),--(D$12:D24=TRUE()),--($C$12:$C24&lt;&gt;TRUE())),SUMPRODUCT(--(LEN(TRIM($B$12:$B24))&gt;0),--(D$12:D24=TRUE())))&lt;=MOD(D$46,MAX(1,D$48)),1,0),0)</f>
        <v>0</v>
      </c>
      <c r="F64" s="14" t="n">
        <f aca="false">IF(AND(F$47,F$48&gt;0,LEN(TRIM($B24))&gt;0,F24=TRUE(),IF(F$50,$C24&lt;&gt;TRUE(),TRUE())),QUOTIENT(F$46,MAX(1,F$48))+IF(IF(F$50,SUMPRODUCT(--(LEN(TRIM($B$12:$B24))&gt;0),--(F$12:F24=TRUE()),--($C$12:$C24&lt;&gt;TRUE())),SUMPRODUCT(--(LEN(TRIM($B$12:$B24))&gt;0),--(F$12:F24=TRUE())))&lt;=MOD(F$46,MAX(1,F$48)),1,0),0)</f>
        <v>0</v>
      </c>
      <c r="H64" s="14" t="n">
        <f aca="false">IF(AND(H$47,H$48&gt;0,LEN(TRIM($B24))&gt;0,H24=TRUE(),IF(H$50,$C24&lt;&gt;TRUE(),TRUE())),QUOTIENT(H$46,MAX(1,H$48))+IF(IF(H$50,SUMPRODUCT(--(LEN(TRIM($B$12:$B24))&gt;0),--(H$12:H24=TRUE()),--($C$12:$C24&lt;&gt;TRUE())),SUMPRODUCT(--(LEN(TRIM($B$12:$B24))&gt;0),--(H$12:H24=TRUE())))&lt;=MOD(H$46,MAX(1,H$48)),1,0),0)</f>
        <v>0</v>
      </c>
      <c r="J64" s="14" t="n">
        <f aca="false">IF(AND(J$47,J$48&gt;0,LEN(TRIM($B24))&gt;0,J24=TRUE(),IF(J$50,$C24&lt;&gt;TRUE(),TRUE())),QUOTIENT(J$46,MAX(1,J$48))+IF(IF(J$50,SUMPRODUCT(--(LEN(TRIM($B$12:$B24))&gt;0),--(J$12:J24=TRUE()),--($C$12:$C24&lt;&gt;TRUE())),SUMPRODUCT(--(LEN(TRIM($B$12:$B24))&gt;0),--(J$12:J24=TRUE())))&lt;=MOD(J$46,MAX(1,J$48)),1,0),0)</f>
        <v>0</v>
      </c>
      <c r="L64" s="14" t="n">
        <f aca="false">IF(AND(L$47,L$48&gt;0,LEN(TRIM($B24))&gt;0,L24=TRUE(),IF(L$50,$C24&lt;&gt;TRUE(),TRUE())),QUOTIENT(L$46,MAX(1,L$48))+IF(IF(L$50,SUMPRODUCT(--(LEN(TRIM($B$12:$B24))&gt;0),--(L$12:L24=TRUE()),--($C$12:$C24&lt;&gt;TRUE())),SUMPRODUCT(--(LEN(TRIM($B$12:$B24))&gt;0),--(L$12:L24=TRUE())))&lt;=MOD(L$46,MAX(1,L$48)),1,0),0)</f>
        <v>0</v>
      </c>
      <c r="N64" s="14" t="n">
        <f aca="false">IF(AND(N$47,N$48&gt;0,LEN(TRIM($B24))&gt;0,N24=TRUE(),IF(N$50,$C24&lt;&gt;TRUE(),TRUE())),QUOTIENT(N$46,MAX(1,N$48))+IF(IF(N$50,SUMPRODUCT(--(LEN(TRIM($B$12:$B24))&gt;0),--(N$12:N24=TRUE()),--($C$12:$C24&lt;&gt;TRUE())),SUMPRODUCT(--(LEN(TRIM($B$12:$B24))&gt;0),--(N$12:N24=TRUE())))&lt;=MOD(N$46,MAX(1,N$48)),1,0),0)</f>
        <v>0</v>
      </c>
      <c r="P64" s="14" t="n">
        <f aca="false">IF(AND(P$47,P$48&gt;0,LEN(TRIM($B24))&gt;0,P24=TRUE(),IF(P$50,$C24&lt;&gt;TRUE(),TRUE())),QUOTIENT(P$46,MAX(1,P$48))+IF(IF(P$50,SUMPRODUCT(--(LEN(TRIM($B$12:$B24))&gt;0),--(P$12:P24=TRUE()),--($C$12:$C24&lt;&gt;TRUE())),SUMPRODUCT(--(LEN(TRIM($B$12:$B24))&gt;0),--(P$12:P24=TRUE())))&lt;=MOD(P$46,MAX(1,P$48)),1,0),0)</f>
        <v>0</v>
      </c>
    </row>
    <row r="65" customFormat="false" ht="15" hidden="true" customHeight="false" outlineLevel="0" collapsed="false">
      <c r="A65" s="13" t="s">
        <v>31</v>
      </c>
      <c r="D65" s="14" t="n">
        <f aca="false">IF(AND(D$47,D$48&gt;0,LEN(TRIM($B25))&gt;0,D25=TRUE(),IF(D$50,$C25&lt;&gt;TRUE(),TRUE())),QUOTIENT(D$46,MAX(1,D$48))+IF(IF(D$50,SUMPRODUCT(--(LEN(TRIM($B$12:$B25))&gt;0),--(D$12:D25=TRUE()),--($C$12:$C25&lt;&gt;TRUE())),SUMPRODUCT(--(LEN(TRIM($B$12:$B25))&gt;0),--(D$12:D25=TRUE())))&lt;=MOD(D$46,MAX(1,D$48)),1,0),0)</f>
        <v>0</v>
      </c>
      <c r="F65" s="14" t="n">
        <f aca="false">IF(AND(F$47,F$48&gt;0,LEN(TRIM($B25))&gt;0,F25=TRUE(),IF(F$50,$C25&lt;&gt;TRUE(),TRUE())),QUOTIENT(F$46,MAX(1,F$48))+IF(IF(F$50,SUMPRODUCT(--(LEN(TRIM($B$12:$B25))&gt;0),--(F$12:F25=TRUE()),--($C$12:$C25&lt;&gt;TRUE())),SUMPRODUCT(--(LEN(TRIM($B$12:$B25))&gt;0),--(F$12:F25=TRUE())))&lt;=MOD(F$46,MAX(1,F$48)),1,0),0)</f>
        <v>0</v>
      </c>
      <c r="H65" s="14" t="n">
        <f aca="false">IF(AND(H$47,H$48&gt;0,LEN(TRIM($B25))&gt;0,H25=TRUE(),IF(H$50,$C25&lt;&gt;TRUE(),TRUE())),QUOTIENT(H$46,MAX(1,H$48))+IF(IF(H$50,SUMPRODUCT(--(LEN(TRIM($B$12:$B25))&gt;0),--(H$12:H25=TRUE()),--($C$12:$C25&lt;&gt;TRUE())),SUMPRODUCT(--(LEN(TRIM($B$12:$B25))&gt;0),--(H$12:H25=TRUE())))&lt;=MOD(H$46,MAX(1,H$48)),1,0),0)</f>
        <v>0</v>
      </c>
      <c r="J65" s="14" t="n">
        <f aca="false">IF(AND(J$47,J$48&gt;0,LEN(TRIM($B25))&gt;0,J25=TRUE(),IF(J$50,$C25&lt;&gt;TRUE(),TRUE())),QUOTIENT(J$46,MAX(1,J$48))+IF(IF(J$50,SUMPRODUCT(--(LEN(TRIM($B$12:$B25))&gt;0),--(J$12:J25=TRUE()),--($C$12:$C25&lt;&gt;TRUE())),SUMPRODUCT(--(LEN(TRIM($B$12:$B25))&gt;0),--(J$12:J25=TRUE())))&lt;=MOD(J$46,MAX(1,J$48)),1,0),0)</f>
        <v>0</v>
      </c>
      <c r="L65" s="14" t="n">
        <f aca="false">IF(AND(L$47,L$48&gt;0,LEN(TRIM($B25))&gt;0,L25=TRUE(),IF(L$50,$C25&lt;&gt;TRUE(),TRUE())),QUOTIENT(L$46,MAX(1,L$48))+IF(IF(L$50,SUMPRODUCT(--(LEN(TRIM($B$12:$B25))&gt;0),--(L$12:L25=TRUE()),--($C$12:$C25&lt;&gt;TRUE())),SUMPRODUCT(--(LEN(TRIM($B$12:$B25))&gt;0),--(L$12:L25=TRUE())))&lt;=MOD(L$46,MAX(1,L$48)),1,0),0)</f>
        <v>0</v>
      </c>
      <c r="N65" s="14" t="n">
        <f aca="false">IF(AND(N$47,N$48&gt;0,LEN(TRIM($B25))&gt;0,N25=TRUE(),IF(N$50,$C25&lt;&gt;TRUE(),TRUE())),QUOTIENT(N$46,MAX(1,N$48))+IF(IF(N$50,SUMPRODUCT(--(LEN(TRIM($B$12:$B25))&gt;0),--(N$12:N25=TRUE()),--($C$12:$C25&lt;&gt;TRUE())),SUMPRODUCT(--(LEN(TRIM($B$12:$B25))&gt;0),--(N$12:N25=TRUE())))&lt;=MOD(N$46,MAX(1,N$48)),1,0),0)</f>
        <v>0</v>
      </c>
      <c r="P65" s="14" t="n">
        <f aca="false">IF(AND(P$47,P$48&gt;0,LEN(TRIM($B25))&gt;0,P25=TRUE(),IF(P$50,$C25&lt;&gt;TRUE(),TRUE())),QUOTIENT(P$46,MAX(1,P$48))+IF(IF(P$50,SUMPRODUCT(--(LEN(TRIM($B$12:$B25))&gt;0),--(P$12:P25=TRUE()),--($C$12:$C25&lt;&gt;TRUE())),SUMPRODUCT(--(LEN(TRIM($B$12:$B25))&gt;0),--(P$12:P25=TRUE())))&lt;=MOD(P$46,MAX(1,P$48)),1,0),0)</f>
        <v>0</v>
      </c>
    </row>
    <row r="66" customFormat="false" ht="15" hidden="true" customHeight="false" outlineLevel="0" collapsed="false">
      <c r="A66" s="13" t="s">
        <v>32</v>
      </c>
      <c r="D66" s="14" t="n">
        <f aca="false">IF(AND(D$47,D$48&gt;0,LEN(TRIM($B26))&gt;0,D26=TRUE(),IF(D$50,$C26&lt;&gt;TRUE(),TRUE())),QUOTIENT(D$46,MAX(1,D$48))+IF(IF(D$50,SUMPRODUCT(--(LEN(TRIM($B$12:$B26))&gt;0),--(D$12:D26=TRUE()),--($C$12:$C26&lt;&gt;TRUE())),SUMPRODUCT(--(LEN(TRIM($B$12:$B26))&gt;0),--(D$12:D26=TRUE())))&lt;=MOD(D$46,MAX(1,D$48)),1,0),0)</f>
        <v>0</v>
      </c>
      <c r="F66" s="14" t="n">
        <f aca="false">IF(AND(F$47,F$48&gt;0,LEN(TRIM($B26))&gt;0,F26=TRUE(),IF(F$50,$C26&lt;&gt;TRUE(),TRUE())),QUOTIENT(F$46,MAX(1,F$48))+IF(IF(F$50,SUMPRODUCT(--(LEN(TRIM($B$12:$B26))&gt;0),--(F$12:F26=TRUE()),--($C$12:$C26&lt;&gt;TRUE())),SUMPRODUCT(--(LEN(TRIM($B$12:$B26))&gt;0),--(F$12:F26=TRUE())))&lt;=MOD(F$46,MAX(1,F$48)),1,0),0)</f>
        <v>0</v>
      </c>
      <c r="H66" s="14" t="n">
        <f aca="false">IF(AND(H$47,H$48&gt;0,LEN(TRIM($B26))&gt;0,H26=TRUE(),IF(H$50,$C26&lt;&gt;TRUE(),TRUE())),QUOTIENT(H$46,MAX(1,H$48))+IF(IF(H$50,SUMPRODUCT(--(LEN(TRIM($B$12:$B26))&gt;0),--(H$12:H26=TRUE()),--($C$12:$C26&lt;&gt;TRUE())),SUMPRODUCT(--(LEN(TRIM($B$12:$B26))&gt;0),--(H$12:H26=TRUE())))&lt;=MOD(H$46,MAX(1,H$48)),1,0),0)</f>
        <v>0</v>
      </c>
      <c r="J66" s="14" t="n">
        <f aca="false">IF(AND(J$47,J$48&gt;0,LEN(TRIM($B26))&gt;0,J26=TRUE(),IF(J$50,$C26&lt;&gt;TRUE(),TRUE())),QUOTIENT(J$46,MAX(1,J$48))+IF(IF(J$50,SUMPRODUCT(--(LEN(TRIM($B$12:$B26))&gt;0),--(J$12:J26=TRUE()),--($C$12:$C26&lt;&gt;TRUE())),SUMPRODUCT(--(LEN(TRIM($B$12:$B26))&gt;0),--(J$12:J26=TRUE())))&lt;=MOD(J$46,MAX(1,J$48)),1,0),0)</f>
        <v>0</v>
      </c>
      <c r="L66" s="14" t="n">
        <f aca="false">IF(AND(L$47,L$48&gt;0,LEN(TRIM($B26))&gt;0,L26=TRUE(),IF(L$50,$C26&lt;&gt;TRUE(),TRUE())),QUOTIENT(L$46,MAX(1,L$48))+IF(IF(L$50,SUMPRODUCT(--(LEN(TRIM($B$12:$B26))&gt;0),--(L$12:L26=TRUE()),--($C$12:$C26&lt;&gt;TRUE())),SUMPRODUCT(--(LEN(TRIM($B$12:$B26))&gt;0),--(L$12:L26=TRUE())))&lt;=MOD(L$46,MAX(1,L$48)),1,0),0)</f>
        <v>0</v>
      </c>
      <c r="N66" s="14" t="n">
        <f aca="false">IF(AND(N$47,N$48&gt;0,LEN(TRIM($B26))&gt;0,N26=TRUE(),IF(N$50,$C26&lt;&gt;TRUE(),TRUE())),QUOTIENT(N$46,MAX(1,N$48))+IF(IF(N$50,SUMPRODUCT(--(LEN(TRIM($B$12:$B26))&gt;0),--(N$12:N26=TRUE()),--($C$12:$C26&lt;&gt;TRUE())),SUMPRODUCT(--(LEN(TRIM($B$12:$B26))&gt;0),--(N$12:N26=TRUE())))&lt;=MOD(N$46,MAX(1,N$48)),1,0),0)</f>
        <v>0</v>
      </c>
      <c r="P66" s="14" t="n">
        <f aca="false">IF(AND(P$47,P$48&gt;0,LEN(TRIM($B26))&gt;0,P26=TRUE(),IF(P$50,$C26&lt;&gt;TRUE(),TRUE())),QUOTIENT(P$46,MAX(1,P$48))+IF(IF(P$50,SUMPRODUCT(--(LEN(TRIM($B$12:$B26))&gt;0),--(P$12:P26=TRUE()),--($C$12:$C26&lt;&gt;TRUE())),SUMPRODUCT(--(LEN(TRIM($B$12:$B26))&gt;0),--(P$12:P26=TRUE())))&lt;=MOD(P$46,MAX(1,P$48)),1,0),0)</f>
        <v>0</v>
      </c>
    </row>
    <row r="67" customFormat="false" ht="15" hidden="true" customHeight="false" outlineLevel="0" collapsed="false">
      <c r="A67" s="13" t="s">
        <v>33</v>
      </c>
      <c r="D67" s="14" t="n">
        <f aca="false">IF(AND(D$47,D$48&gt;0,LEN(TRIM($B27))&gt;0,D27=TRUE(),IF(D$50,$C27&lt;&gt;TRUE(),TRUE())),QUOTIENT(D$46,MAX(1,D$48))+IF(IF(D$50,SUMPRODUCT(--(LEN(TRIM($B$12:$B27))&gt;0),--(D$12:D27=TRUE()),--($C$12:$C27&lt;&gt;TRUE())),SUMPRODUCT(--(LEN(TRIM($B$12:$B27))&gt;0),--(D$12:D27=TRUE())))&lt;=MOD(D$46,MAX(1,D$48)),1,0),0)</f>
        <v>0</v>
      </c>
      <c r="F67" s="14" t="n">
        <f aca="false">IF(AND(F$47,F$48&gt;0,LEN(TRIM($B27))&gt;0,F27=TRUE(),IF(F$50,$C27&lt;&gt;TRUE(),TRUE())),QUOTIENT(F$46,MAX(1,F$48))+IF(IF(F$50,SUMPRODUCT(--(LEN(TRIM($B$12:$B27))&gt;0),--(F$12:F27=TRUE()),--($C$12:$C27&lt;&gt;TRUE())),SUMPRODUCT(--(LEN(TRIM($B$12:$B27))&gt;0),--(F$12:F27=TRUE())))&lt;=MOD(F$46,MAX(1,F$48)),1,0),0)</f>
        <v>0</v>
      </c>
      <c r="H67" s="14" t="n">
        <f aca="false">IF(AND(H$47,H$48&gt;0,LEN(TRIM($B27))&gt;0,H27=TRUE(),IF(H$50,$C27&lt;&gt;TRUE(),TRUE())),QUOTIENT(H$46,MAX(1,H$48))+IF(IF(H$50,SUMPRODUCT(--(LEN(TRIM($B$12:$B27))&gt;0),--(H$12:H27=TRUE()),--($C$12:$C27&lt;&gt;TRUE())),SUMPRODUCT(--(LEN(TRIM($B$12:$B27))&gt;0),--(H$12:H27=TRUE())))&lt;=MOD(H$46,MAX(1,H$48)),1,0),0)</f>
        <v>0</v>
      </c>
      <c r="J67" s="14" t="n">
        <f aca="false">IF(AND(J$47,J$48&gt;0,LEN(TRIM($B27))&gt;0,J27=TRUE(),IF(J$50,$C27&lt;&gt;TRUE(),TRUE())),QUOTIENT(J$46,MAX(1,J$48))+IF(IF(J$50,SUMPRODUCT(--(LEN(TRIM($B$12:$B27))&gt;0),--(J$12:J27=TRUE()),--($C$12:$C27&lt;&gt;TRUE())),SUMPRODUCT(--(LEN(TRIM($B$12:$B27))&gt;0),--(J$12:J27=TRUE())))&lt;=MOD(J$46,MAX(1,J$48)),1,0),0)</f>
        <v>0</v>
      </c>
      <c r="L67" s="14" t="n">
        <f aca="false">IF(AND(L$47,L$48&gt;0,LEN(TRIM($B27))&gt;0,L27=TRUE(),IF(L$50,$C27&lt;&gt;TRUE(),TRUE())),QUOTIENT(L$46,MAX(1,L$48))+IF(IF(L$50,SUMPRODUCT(--(LEN(TRIM($B$12:$B27))&gt;0),--(L$12:L27=TRUE()),--($C$12:$C27&lt;&gt;TRUE())),SUMPRODUCT(--(LEN(TRIM($B$12:$B27))&gt;0),--(L$12:L27=TRUE())))&lt;=MOD(L$46,MAX(1,L$48)),1,0),0)</f>
        <v>0</v>
      </c>
      <c r="N67" s="14" t="n">
        <f aca="false">IF(AND(N$47,N$48&gt;0,LEN(TRIM($B27))&gt;0,N27=TRUE(),IF(N$50,$C27&lt;&gt;TRUE(),TRUE())),QUOTIENT(N$46,MAX(1,N$48))+IF(IF(N$50,SUMPRODUCT(--(LEN(TRIM($B$12:$B27))&gt;0),--(N$12:N27=TRUE()),--($C$12:$C27&lt;&gt;TRUE())),SUMPRODUCT(--(LEN(TRIM($B$12:$B27))&gt;0),--(N$12:N27=TRUE())))&lt;=MOD(N$46,MAX(1,N$48)),1,0),0)</f>
        <v>0</v>
      </c>
      <c r="P67" s="14" t="n">
        <f aca="false">IF(AND(P$47,P$48&gt;0,LEN(TRIM($B27))&gt;0,P27=TRUE(),IF(P$50,$C27&lt;&gt;TRUE(),TRUE())),QUOTIENT(P$46,MAX(1,P$48))+IF(IF(P$50,SUMPRODUCT(--(LEN(TRIM($B$12:$B27))&gt;0),--(P$12:P27=TRUE()),--($C$12:$C27&lt;&gt;TRUE())),SUMPRODUCT(--(LEN(TRIM($B$12:$B27))&gt;0),--(P$12:P27=TRUE())))&lt;=MOD(P$46,MAX(1,P$48)),1,0),0)</f>
        <v>0</v>
      </c>
    </row>
    <row r="68" customFormat="false" ht="15" hidden="true" customHeight="false" outlineLevel="0" collapsed="false">
      <c r="A68" s="13" t="s">
        <v>34</v>
      </c>
      <c r="D68" s="14" t="n">
        <f aca="false">IF(AND(D$47,D$48&gt;0,LEN(TRIM($B28))&gt;0,D28=TRUE(),IF(D$50,$C28&lt;&gt;TRUE(),TRUE())),QUOTIENT(D$46,MAX(1,D$48))+IF(IF(D$50,SUMPRODUCT(--(LEN(TRIM($B$12:$B28))&gt;0),--(D$12:D28=TRUE()),--($C$12:$C28&lt;&gt;TRUE())),SUMPRODUCT(--(LEN(TRIM($B$12:$B28))&gt;0),--(D$12:D28=TRUE())))&lt;=MOD(D$46,MAX(1,D$48)),1,0),0)</f>
        <v>0</v>
      </c>
      <c r="F68" s="14" t="n">
        <f aca="false">IF(AND(F$47,F$48&gt;0,LEN(TRIM($B28))&gt;0,F28=TRUE(),IF(F$50,$C28&lt;&gt;TRUE(),TRUE())),QUOTIENT(F$46,MAX(1,F$48))+IF(IF(F$50,SUMPRODUCT(--(LEN(TRIM($B$12:$B28))&gt;0),--(F$12:F28=TRUE()),--($C$12:$C28&lt;&gt;TRUE())),SUMPRODUCT(--(LEN(TRIM($B$12:$B28))&gt;0),--(F$12:F28=TRUE())))&lt;=MOD(F$46,MAX(1,F$48)),1,0),0)</f>
        <v>0</v>
      </c>
      <c r="H68" s="14" t="n">
        <f aca="false">IF(AND(H$47,H$48&gt;0,LEN(TRIM($B28))&gt;0,H28=TRUE(),IF(H$50,$C28&lt;&gt;TRUE(),TRUE())),QUOTIENT(H$46,MAX(1,H$48))+IF(IF(H$50,SUMPRODUCT(--(LEN(TRIM($B$12:$B28))&gt;0),--(H$12:H28=TRUE()),--($C$12:$C28&lt;&gt;TRUE())),SUMPRODUCT(--(LEN(TRIM($B$12:$B28))&gt;0),--(H$12:H28=TRUE())))&lt;=MOD(H$46,MAX(1,H$48)),1,0),0)</f>
        <v>0</v>
      </c>
      <c r="J68" s="14" t="n">
        <f aca="false">IF(AND(J$47,J$48&gt;0,LEN(TRIM($B28))&gt;0,J28=TRUE(),IF(J$50,$C28&lt;&gt;TRUE(),TRUE())),QUOTIENT(J$46,MAX(1,J$48))+IF(IF(J$50,SUMPRODUCT(--(LEN(TRIM($B$12:$B28))&gt;0),--(J$12:J28=TRUE()),--($C$12:$C28&lt;&gt;TRUE())),SUMPRODUCT(--(LEN(TRIM($B$12:$B28))&gt;0),--(J$12:J28=TRUE())))&lt;=MOD(J$46,MAX(1,J$48)),1,0),0)</f>
        <v>0</v>
      </c>
      <c r="L68" s="14" t="n">
        <f aca="false">IF(AND(L$47,L$48&gt;0,LEN(TRIM($B28))&gt;0,L28=TRUE(),IF(L$50,$C28&lt;&gt;TRUE(),TRUE())),QUOTIENT(L$46,MAX(1,L$48))+IF(IF(L$50,SUMPRODUCT(--(LEN(TRIM($B$12:$B28))&gt;0),--(L$12:L28=TRUE()),--($C$12:$C28&lt;&gt;TRUE())),SUMPRODUCT(--(LEN(TRIM($B$12:$B28))&gt;0),--(L$12:L28=TRUE())))&lt;=MOD(L$46,MAX(1,L$48)),1,0),0)</f>
        <v>0</v>
      </c>
      <c r="N68" s="14" t="n">
        <f aca="false">IF(AND(N$47,N$48&gt;0,LEN(TRIM($B28))&gt;0,N28=TRUE(),IF(N$50,$C28&lt;&gt;TRUE(),TRUE())),QUOTIENT(N$46,MAX(1,N$48))+IF(IF(N$50,SUMPRODUCT(--(LEN(TRIM($B$12:$B28))&gt;0),--(N$12:N28=TRUE()),--($C$12:$C28&lt;&gt;TRUE())),SUMPRODUCT(--(LEN(TRIM($B$12:$B28))&gt;0),--(N$12:N28=TRUE())))&lt;=MOD(N$46,MAX(1,N$48)),1,0),0)</f>
        <v>0</v>
      </c>
      <c r="P68" s="14" t="n">
        <f aca="false">IF(AND(P$47,P$48&gt;0,LEN(TRIM($B28))&gt;0,P28=TRUE(),IF(P$50,$C28&lt;&gt;TRUE(),TRUE())),QUOTIENT(P$46,MAX(1,P$48))+IF(IF(P$50,SUMPRODUCT(--(LEN(TRIM($B$12:$B28))&gt;0),--(P$12:P28=TRUE()),--($C$12:$C28&lt;&gt;TRUE())),SUMPRODUCT(--(LEN(TRIM($B$12:$B28))&gt;0),--(P$12:P28=TRUE())))&lt;=MOD(P$46,MAX(1,P$48)),1,0),0)</f>
        <v>0</v>
      </c>
    </row>
    <row r="69" customFormat="false" ht="15" hidden="true" customHeight="false" outlineLevel="0" collapsed="false">
      <c r="A69" s="13" t="s">
        <v>35</v>
      </c>
      <c r="D69" s="14" t="n">
        <f aca="false">IF(AND(D$47,D$48&gt;0,LEN(TRIM($B29))&gt;0,D29=TRUE(),IF(D$50,$C29&lt;&gt;TRUE(),TRUE())),QUOTIENT(D$46,MAX(1,D$48))+IF(IF(D$50,SUMPRODUCT(--(LEN(TRIM($B$12:$B29))&gt;0),--(D$12:D29=TRUE()),--($C$12:$C29&lt;&gt;TRUE())),SUMPRODUCT(--(LEN(TRIM($B$12:$B29))&gt;0),--(D$12:D29=TRUE())))&lt;=MOD(D$46,MAX(1,D$48)),1,0),0)</f>
        <v>0</v>
      </c>
      <c r="F69" s="14" t="n">
        <f aca="false">IF(AND(F$47,F$48&gt;0,LEN(TRIM($B29))&gt;0,F29=TRUE(),IF(F$50,$C29&lt;&gt;TRUE(),TRUE())),QUOTIENT(F$46,MAX(1,F$48))+IF(IF(F$50,SUMPRODUCT(--(LEN(TRIM($B$12:$B29))&gt;0),--(F$12:F29=TRUE()),--($C$12:$C29&lt;&gt;TRUE())),SUMPRODUCT(--(LEN(TRIM($B$12:$B29))&gt;0),--(F$12:F29=TRUE())))&lt;=MOD(F$46,MAX(1,F$48)),1,0),0)</f>
        <v>0</v>
      </c>
      <c r="H69" s="14" t="n">
        <f aca="false">IF(AND(H$47,H$48&gt;0,LEN(TRIM($B29))&gt;0,H29=TRUE(),IF(H$50,$C29&lt;&gt;TRUE(),TRUE())),QUOTIENT(H$46,MAX(1,H$48))+IF(IF(H$50,SUMPRODUCT(--(LEN(TRIM($B$12:$B29))&gt;0),--(H$12:H29=TRUE()),--($C$12:$C29&lt;&gt;TRUE())),SUMPRODUCT(--(LEN(TRIM($B$12:$B29))&gt;0),--(H$12:H29=TRUE())))&lt;=MOD(H$46,MAX(1,H$48)),1,0),0)</f>
        <v>0</v>
      </c>
      <c r="J69" s="14" t="n">
        <f aca="false">IF(AND(J$47,J$48&gt;0,LEN(TRIM($B29))&gt;0,J29=TRUE(),IF(J$50,$C29&lt;&gt;TRUE(),TRUE())),QUOTIENT(J$46,MAX(1,J$48))+IF(IF(J$50,SUMPRODUCT(--(LEN(TRIM($B$12:$B29))&gt;0),--(J$12:J29=TRUE()),--($C$12:$C29&lt;&gt;TRUE())),SUMPRODUCT(--(LEN(TRIM($B$12:$B29))&gt;0),--(J$12:J29=TRUE())))&lt;=MOD(J$46,MAX(1,J$48)),1,0),0)</f>
        <v>0</v>
      </c>
      <c r="L69" s="14" t="n">
        <f aca="false">IF(AND(L$47,L$48&gt;0,LEN(TRIM($B29))&gt;0,L29=TRUE(),IF(L$50,$C29&lt;&gt;TRUE(),TRUE())),QUOTIENT(L$46,MAX(1,L$48))+IF(IF(L$50,SUMPRODUCT(--(LEN(TRIM($B$12:$B29))&gt;0),--(L$12:L29=TRUE()),--($C$12:$C29&lt;&gt;TRUE())),SUMPRODUCT(--(LEN(TRIM($B$12:$B29))&gt;0),--(L$12:L29=TRUE())))&lt;=MOD(L$46,MAX(1,L$48)),1,0),0)</f>
        <v>0</v>
      </c>
      <c r="N69" s="14" t="n">
        <f aca="false">IF(AND(N$47,N$48&gt;0,LEN(TRIM($B29))&gt;0,N29=TRUE(),IF(N$50,$C29&lt;&gt;TRUE(),TRUE())),QUOTIENT(N$46,MAX(1,N$48))+IF(IF(N$50,SUMPRODUCT(--(LEN(TRIM($B$12:$B29))&gt;0),--(N$12:N29=TRUE()),--($C$12:$C29&lt;&gt;TRUE())),SUMPRODUCT(--(LEN(TRIM($B$12:$B29))&gt;0),--(N$12:N29=TRUE())))&lt;=MOD(N$46,MAX(1,N$48)),1,0),0)</f>
        <v>0</v>
      </c>
      <c r="P69" s="14" t="n">
        <f aca="false">IF(AND(P$47,P$48&gt;0,LEN(TRIM($B29))&gt;0,P29=TRUE(),IF(P$50,$C29&lt;&gt;TRUE(),TRUE())),QUOTIENT(P$46,MAX(1,P$48))+IF(IF(P$50,SUMPRODUCT(--(LEN(TRIM($B$12:$B29))&gt;0),--(P$12:P29=TRUE()),--($C$12:$C29&lt;&gt;TRUE())),SUMPRODUCT(--(LEN(TRIM($B$12:$B29))&gt;0),--(P$12:P29=TRUE())))&lt;=MOD(P$46,MAX(1,P$48)),1,0),0)</f>
        <v>0</v>
      </c>
    </row>
    <row r="70" customFormat="false" ht="15" hidden="true" customHeight="false" outlineLevel="0" collapsed="false">
      <c r="A70" s="13" t="s">
        <v>36</v>
      </c>
      <c r="D70" s="14" t="n">
        <f aca="false">IF(AND(D$47,D$48&gt;0,LEN(TRIM($B30))&gt;0,D30=TRUE(),IF(D$50,$C30&lt;&gt;TRUE(),TRUE())),QUOTIENT(D$46,MAX(1,D$48))+IF(IF(D$50,SUMPRODUCT(--(LEN(TRIM($B$12:$B30))&gt;0),--(D$12:D30=TRUE()),--($C$12:$C30&lt;&gt;TRUE())),SUMPRODUCT(--(LEN(TRIM($B$12:$B30))&gt;0),--(D$12:D30=TRUE())))&lt;=MOD(D$46,MAX(1,D$48)),1,0),0)</f>
        <v>0</v>
      </c>
      <c r="F70" s="14" t="n">
        <f aca="false">IF(AND(F$47,F$48&gt;0,LEN(TRIM($B30))&gt;0,F30=TRUE(),IF(F$50,$C30&lt;&gt;TRUE(),TRUE())),QUOTIENT(F$46,MAX(1,F$48))+IF(IF(F$50,SUMPRODUCT(--(LEN(TRIM($B$12:$B30))&gt;0),--(F$12:F30=TRUE()),--($C$12:$C30&lt;&gt;TRUE())),SUMPRODUCT(--(LEN(TRIM($B$12:$B30))&gt;0),--(F$12:F30=TRUE())))&lt;=MOD(F$46,MAX(1,F$48)),1,0),0)</f>
        <v>0</v>
      </c>
      <c r="H70" s="14" t="n">
        <f aca="false">IF(AND(H$47,H$48&gt;0,LEN(TRIM($B30))&gt;0,H30=TRUE(),IF(H$50,$C30&lt;&gt;TRUE(),TRUE())),QUOTIENT(H$46,MAX(1,H$48))+IF(IF(H$50,SUMPRODUCT(--(LEN(TRIM($B$12:$B30))&gt;0),--(H$12:H30=TRUE()),--($C$12:$C30&lt;&gt;TRUE())),SUMPRODUCT(--(LEN(TRIM($B$12:$B30))&gt;0),--(H$12:H30=TRUE())))&lt;=MOD(H$46,MAX(1,H$48)),1,0),0)</f>
        <v>0</v>
      </c>
      <c r="J70" s="14" t="n">
        <f aca="false">IF(AND(J$47,J$48&gt;0,LEN(TRIM($B30))&gt;0,J30=TRUE(),IF(J$50,$C30&lt;&gt;TRUE(),TRUE())),QUOTIENT(J$46,MAX(1,J$48))+IF(IF(J$50,SUMPRODUCT(--(LEN(TRIM($B$12:$B30))&gt;0),--(J$12:J30=TRUE()),--($C$12:$C30&lt;&gt;TRUE())),SUMPRODUCT(--(LEN(TRIM($B$12:$B30))&gt;0),--(J$12:J30=TRUE())))&lt;=MOD(J$46,MAX(1,J$48)),1,0),0)</f>
        <v>0</v>
      </c>
      <c r="L70" s="14" t="n">
        <f aca="false">IF(AND(L$47,L$48&gt;0,LEN(TRIM($B30))&gt;0,L30=TRUE(),IF(L$50,$C30&lt;&gt;TRUE(),TRUE())),QUOTIENT(L$46,MAX(1,L$48))+IF(IF(L$50,SUMPRODUCT(--(LEN(TRIM($B$12:$B30))&gt;0),--(L$12:L30=TRUE()),--($C$12:$C30&lt;&gt;TRUE())),SUMPRODUCT(--(LEN(TRIM($B$12:$B30))&gt;0),--(L$12:L30=TRUE())))&lt;=MOD(L$46,MAX(1,L$48)),1,0),0)</f>
        <v>0</v>
      </c>
      <c r="N70" s="14" t="n">
        <f aca="false">IF(AND(N$47,N$48&gt;0,LEN(TRIM($B30))&gt;0,N30=TRUE(),IF(N$50,$C30&lt;&gt;TRUE(),TRUE())),QUOTIENT(N$46,MAX(1,N$48))+IF(IF(N$50,SUMPRODUCT(--(LEN(TRIM($B$12:$B30))&gt;0),--(N$12:N30=TRUE()),--($C$12:$C30&lt;&gt;TRUE())),SUMPRODUCT(--(LEN(TRIM($B$12:$B30))&gt;0),--(N$12:N30=TRUE())))&lt;=MOD(N$46,MAX(1,N$48)),1,0),0)</f>
        <v>0</v>
      </c>
      <c r="P70" s="14" t="n">
        <f aca="false">IF(AND(P$47,P$48&gt;0,LEN(TRIM($B30))&gt;0,P30=TRUE(),IF(P$50,$C30&lt;&gt;TRUE(),TRUE())),QUOTIENT(P$46,MAX(1,P$48))+IF(IF(P$50,SUMPRODUCT(--(LEN(TRIM($B$12:$B30))&gt;0),--(P$12:P30=TRUE()),--($C$12:$C30&lt;&gt;TRUE())),SUMPRODUCT(--(LEN(TRIM($B$12:$B30))&gt;0),--(P$12:P30=TRUE())))&lt;=MOD(P$46,MAX(1,P$48)),1,0),0)</f>
        <v>0</v>
      </c>
    </row>
    <row r="71" customFormat="false" ht="15" hidden="true" customHeight="false" outlineLevel="0" collapsed="false">
      <c r="A71" s="13" t="s">
        <v>37</v>
      </c>
      <c r="D71" s="14" t="n">
        <f aca="false">IF(AND(D$47,D$48&gt;0,LEN(TRIM($B31))&gt;0,D31=TRUE(),IF(D$50,$C31&lt;&gt;TRUE(),TRUE())),QUOTIENT(D$46,MAX(1,D$48))+IF(IF(D$50,SUMPRODUCT(--(LEN(TRIM($B$12:$B31))&gt;0),--(D$12:D31=TRUE()),--($C$12:$C31&lt;&gt;TRUE())),SUMPRODUCT(--(LEN(TRIM($B$12:$B31))&gt;0),--(D$12:D31=TRUE())))&lt;=MOD(D$46,MAX(1,D$48)),1,0),0)</f>
        <v>0</v>
      </c>
      <c r="F71" s="14" t="n">
        <f aca="false">IF(AND(F$47,F$48&gt;0,LEN(TRIM($B31))&gt;0,F31=TRUE(),IF(F$50,$C31&lt;&gt;TRUE(),TRUE())),QUOTIENT(F$46,MAX(1,F$48))+IF(IF(F$50,SUMPRODUCT(--(LEN(TRIM($B$12:$B31))&gt;0),--(F$12:F31=TRUE()),--($C$12:$C31&lt;&gt;TRUE())),SUMPRODUCT(--(LEN(TRIM($B$12:$B31))&gt;0),--(F$12:F31=TRUE())))&lt;=MOD(F$46,MAX(1,F$48)),1,0),0)</f>
        <v>0</v>
      </c>
      <c r="H71" s="14" t="n">
        <f aca="false">IF(AND(H$47,H$48&gt;0,LEN(TRIM($B31))&gt;0,H31=TRUE(),IF(H$50,$C31&lt;&gt;TRUE(),TRUE())),QUOTIENT(H$46,MAX(1,H$48))+IF(IF(H$50,SUMPRODUCT(--(LEN(TRIM($B$12:$B31))&gt;0),--(H$12:H31=TRUE()),--($C$12:$C31&lt;&gt;TRUE())),SUMPRODUCT(--(LEN(TRIM($B$12:$B31))&gt;0),--(H$12:H31=TRUE())))&lt;=MOD(H$46,MAX(1,H$48)),1,0),0)</f>
        <v>0</v>
      </c>
      <c r="J71" s="14" t="n">
        <f aca="false">IF(AND(J$47,J$48&gt;0,LEN(TRIM($B31))&gt;0,J31=TRUE(),IF(J$50,$C31&lt;&gt;TRUE(),TRUE())),QUOTIENT(J$46,MAX(1,J$48))+IF(IF(J$50,SUMPRODUCT(--(LEN(TRIM($B$12:$B31))&gt;0),--(J$12:J31=TRUE()),--($C$12:$C31&lt;&gt;TRUE())),SUMPRODUCT(--(LEN(TRIM($B$12:$B31))&gt;0),--(J$12:J31=TRUE())))&lt;=MOD(J$46,MAX(1,J$48)),1,0),0)</f>
        <v>0</v>
      </c>
      <c r="L71" s="14" t="n">
        <f aca="false">IF(AND(L$47,L$48&gt;0,LEN(TRIM($B31))&gt;0,L31=TRUE(),IF(L$50,$C31&lt;&gt;TRUE(),TRUE())),QUOTIENT(L$46,MAX(1,L$48))+IF(IF(L$50,SUMPRODUCT(--(LEN(TRIM($B$12:$B31))&gt;0),--(L$12:L31=TRUE()),--($C$12:$C31&lt;&gt;TRUE())),SUMPRODUCT(--(LEN(TRIM($B$12:$B31))&gt;0),--(L$12:L31=TRUE())))&lt;=MOD(L$46,MAX(1,L$48)),1,0),0)</f>
        <v>0</v>
      </c>
      <c r="N71" s="14" t="n">
        <f aca="false">IF(AND(N$47,N$48&gt;0,LEN(TRIM($B31))&gt;0,N31=TRUE(),IF(N$50,$C31&lt;&gt;TRUE(),TRUE())),QUOTIENT(N$46,MAX(1,N$48))+IF(IF(N$50,SUMPRODUCT(--(LEN(TRIM($B$12:$B31))&gt;0),--(N$12:N31=TRUE()),--($C$12:$C31&lt;&gt;TRUE())),SUMPRODUCT(--(LEN(TRIM($B$12:$B31))&gt;0),--(N$12:N31=TRUE())))&lt;=MOD(N$46,MAX(1,N$48)),1,0),0)</f>
        <v>0</v>
      </c>
      <c r="P71" s="14" t="n">
        <f aca="false">IF(AND(P$47,P$48&gt;0,LEN(TRIM($B31))&gt;0,P31=TRUE(),IF(P$50,$C31&lt;&gt;TRUE(),TRUE())),QUOTIENT(P$46,MAX(1,P$48))+IF(IF(P$50,SUMPRODUCT(--(LEN(TRIM($B$12:$B31))&gt;0),--(P$12:P31=TRUE()),--($C$12:$C31&lt;&gt;TRUE())),SUMPRODUCT(--(LEN(TRIM($B$12:$B31))&gt;0),--(P$12:P31=TRUE())))&lt;=MOD(P$46,MAX(1,P$48)),1,0),0)</f>
        <v>0</v>
      </c>
    </row>
    <row r="72" customFormat="false" ht="15" hidden="true" customHeight="false" outlineLevel="0" collapsed="false">
      <c r="A72" s="13" t="s">
        <v>38</v>
      </c>
      <c r="D72" s="14" t="n">
        <f aca="false">IF(AND(D$47,D$48&gt;0,LEN(TRIM($B32))&gt;0,D32=TRUE(),IF(D$50,$C32&lt;&gt;TRUE(),TRUE())),QUOTIENT(D$46,MAX(1,D$48))+IF(IF(D$50,SUMPRODUCT(--(LEN(TRIM($B$12:$B32))&gt;0),--(D$12:D32=TRUE()),--($C$12:$C32&lt;&gt;TRUE())),SUMPRODUCT(--(LEN(TRIM($B$12:$B32))&gt;0),--(D$12:D32=TRUE())))&lt;=MOD(D$46,MAX(1,D$48)),1,0),0)</f>
        <v>0</v>
      </c>
      <c r="F72" s="14" t="n">
        <f aca="false">IF(AND(F$47,F$48&gt;0,LEN(TRIM($B32))&gt;0,F32=TRUE(),IF(F$50,$C32&lt;&gt;TRUE(),TRUE())),QUOTIENT(F$46,MAX(1,F$48))+IF(IF(F$50,SUMPRODUCT(--(LEN(TRIM($B$12:$B32))&gt;0),--(F$12:F32=TRUE()),--($C$12:$C32&lt;&gt;TRUE())),SUMPRODUCT(--(LEN(TRIM($B$12:$B32))&gt;0),--(F$12:F32=TRUE())))&lt;=MOD(F$46,MAX(1,F$48)),1,0),0)</f>
        <v>0</v>
      </c>
      <c r="H72" s="14" t="n">
        <f aca="false">IF(AND(H$47,H$48&gt;0,LEN(TRIM($B32))&gt;0,H32=TRUE(),IF(H$50,$C32&lt;&gt;TRUE(),TRUE())),QUOTIENT(H$46,MAX(1,H$48))+IF(IF(H$50,SUMPRODUCT(--(LEN(TRIM($B$12:$B32))&gt;0),--(H$12:H32=TRUE()),--($C$12:$C32&lt;&gt;TRUE())),SUMPRODUCT(--(LEN(TRIM($B$12:$B32))&gt;0),--(H$12:H32=TRUE())))&lt;=MOD(H$46,MAX(1,H$48)),1,0),0)</f>
        <v>0</v>
      </c>
      <c r="J72" s="14" t="n">
        <f aca="false">IF(AND(J$47,J$48&gt;0,LEN(TRIM($B32))&gt;0,J32=TRUE(),IF(J$50,$C32&lt;&gt;TRUE(),TRUE())),QUOTIENT(J$46,MAX(1,J$48))+IF(IF(J$50,SUMPRODUCT(--(LEN(TRIM($B$12:$B32))&gt;0),--(J$12:J32=TRUE()),--($C$12:$C32&lt;&gt;TRUE())),SUMPRODUCT(--(LEN(TRIM($B$12:$B32))&gt;0),--(J$12:J32=TRUE())))&lt;=MOD(J$46,MAX(1,J$48)),1,0),0)</f>
        <v>0</v>
      </c>
      <c r="L72" s="14" t="n">
        <f aca="false">IF(AND(L$47,L$48&gt;0,LEN(TRIM($B32))&gt;0,L32=TRUE(),IF(L$50,$C32&lt;&gt;TRUE(),TRUE())),QUOTIENT(L$46,MAX(1,L$48))+IF(IF(L$50,SUMPRODUCT(--(LEN(TRIM($B$12:$B32))&gt;0),--(L$12:L32=TRUE()),--($C$12:$C32&lt;&gt;TRUE())),SUMPRODUCT(--(LEN(TRIM($B$12:$B32))&gt;0),--(L$12:L32=TRUE())))&lt;=MOD(L$46,MAX(1,L$48)),1,0),0)</f>
        <v>0</v>
      </c>
      <c r="N72" s="14" t="n">
        <f aca="false">IF(AND(N$47,N$48&gt;0,LEN(TRIM($B32))&gt;0,N32=TRUE(),IF(N$50,$C32&lt;&gt;TRUE(),TRUE())),QUOTIENT(N$46,MAX(1,N$48))+IF(IF(N$50,SUMPRODUCT(--(LEN(TRIM($B$12:$B32))&gt;0),--(N$12:N32=TRUE()),--($C$12:$C32&lt;&gt;TRUE())),SUMPRODUCT(--(LEN(TRIM($B$12:$B32))&gt;0),--(N$12:N32=TRUE())))&lt;=MOD(N$46,MAX(1,N$48)),1,0),0)</f>
        <v>0</v>
      </c>
      <c r="P72" s="14" t="n">
        <f aca="false">IF(AND(P$47,P$48&gt;0,LEN(TRIM($B32))&gt;0,P32=TRUE(),IF(P$50,$C32&lt;&gt;TRUE(),TRUE())),QUOTIENT(P$46,MAX(1,P$48))+IF(IF(P$50,SUMPRODUCT(--(LEN(TRIM($B$12:$B32))&gt;0),--(P$12:P32=TRUE()),--($C$12:$C32&lt;&gt;TRUE())),SUMPRODUCT(--(LEN(TRIM($B$12:$B32))&gt;0),--(P$12:P32=TRUE())))&lt;=MOD(P$46,MAX(1,P$48)),1,0),0)</f>
        <v>0</v>
      </c>
    </row>
    <row r="73" customFormat="false" ht="15" hidden="true" customHeight="false" outlineLevel="0" collapsed="false">
      <c r="A73" s="13" t="s">
        <v>39</v>
      </c>
      <c r="D73" s="14" t="n">
        <f aca="false">IF(AND(D$47,D$48&gt;0,LEN(TRIM($B33))&gt;0,D33=TRUE(),IF(D$50,$C33&lt;&gt;TRUE(),TRUE())),QUOTIENT(D$46,MAX(1,D$48))+IF(IF(D$50,SUMPRODUCT(--(LEN(TRIM($B$12:$B33))&gt;0),--(D$12:D33=TRUE()),--($C$12:$C33&lt;&gt;TRUE())),SUMPRODUCT(--(LEN(TRIM($B$12:$B33))&gt;0),--(D$12:D33=TRUE())))&lt;=MOD(D$46,MAX(1,D$48)),1,0),0)</f>
        <v>0</v>
      </c>
      <c r="F73" s="14" t="n">
        <f aca="false">IF(AND(F$47,F$48&gt;0,LEN(TRIM($B33))&gt;0,F33=TRUE(),IF(F$50,$C33&lt;&gt;TRUE(),TRUE())),QUOTIENT(F$46,MAX(1,F$48))+IF(IF(F$50,SUMPRODUCT(--(LEN(TRIM($B$12:$B33))&gt;0),--(F$12:F33=TRUE()),--($C$12:$C33&lt;&gt;TRUE())),SUMPRODUCT(--(LEN(TRIM($B$12:$B33))&gt;0),--(F$12:F33=TRUE())))&lt;=MOD(F$46,MAX(1,F$48)),1,0),0)</f>
        <v>0</v>
      </c>
      <c r="H73" s="14" t="n">
        <f aca="false">IF(AND(H$47,H$48&gt;0,LEN(TRIM($B33))&gt;0,H33=TRUE(),IF(H$50,$C33&lt;&gt;TRUE(),TRUE())),QUOTIENT(H$46,MAX(1,H$48))+IF(IF(H$50,SUMPRODUCT(--(LEN(TRIM($B$12:$B33))&gt;0),--(H$12:H33=TRUE()),--($C$12:$C33&lt;&gt;TRUE())),SUMPRODUCT(--(LEN(TRIM($B$12:$B33))&gt;0),--(H$12:H33=TRUE())))&lt;=MOD(H$46,MAX(1,H$48)),1,0),0)</f>
        <v>0</v>
      </c>
      <c r="J73" s="14" t="n">
        <f aca="false">IF(AND(J$47,J$48&gt;0,LEN(TRIM($B33))&gt;0,J33=TRUE(),IF(J$50,$C33&lt;&gt;TRUE(),TRUE())),QUOTIENT(J$46,MAX(1,J$48))+IF(IF(J$50,SUMPRODUCT(--(LEN(TRIM($B$12:$B33))&gt;0),--(J$12:J33=TRUE()),--($C$12:$C33&lt;&gt;TRUE())),SUMPRODUCT(--(LEN(TRIM($B$12:$B33))&gt;0),--(J$12:J33=TRUE())))&lt;=MOD(J$46,MAX(1,J$48)),1,0),0)</f>
        <v>0</v>
      </c>
      <c r="L73" s="14" t="n">
        <f aca="false">IF(AND(L$47,L$48&gt;0,LEN(TRIM($B33))&gt;0,L33=TRUE(),IF(L$50,$C33&lt;&gt;TRUE(),TRUE())),QUOTIENT(L$46,MAX(1,L$48))+IF(IF(L$50,SUMPRODUCT(--(LEN(TRIM($B$12:$B33))&gt;0),--(L$12:L33=TRUE()),--($C$12:$C33&lt;&gt;TRUE())),SUMPRODUCT(--(LEN(TRIM($B$12:$B33))&gt;0),--(L$12:L33=TRUE())))&lt;=MOD(L$46,MAX(1,L$48)),1,0),0)</f>
        <v>0</v>
      </c>
      <c r="N73" s="14" t="n">
        <f aca="false">IF(AND(N$47,N$48&gt;0,LEN(TRIM($B33))&gt;0,N33=TRUE(),IF(N$50,$C33&lt;&gt;TRUE(),TRUE())),QUOTIENT(N$46,MAX(1,N$48))+IF(IF(N$50,SUMPRODUCT(--(LEN(TRIM($B$12:$B33))&gt;0),--(N$12:N33=TRUE()),--($C$12:$C33&lt;&gt;TRUE())),SUMPRODUCT(--(LEN(TRIM($B$12:$B33))&gt;0),--(N$12:N33=TRUE())))&lt;=MOD(N$46,MAX(1,N$48)),1,0),0)</f>
        <v>0</v>
      </c>
      <c r="P73" s="14" t="n">
        <f aca="false">IF(AND(P$47,P$48&gt;0,LEN(TRIM($B33))&gt;0,P33=TRUE(),IF(P$50,$C33&lt;&gt;TRUE(),TRUE())),QUOTIENT(P$46,MAX(1,P$48))+IF(IF(P$50,SUMPRODUCT(--(LEN(TRIM($B$12:$B33))&gt;0),--(P$12:P33=TRUE()),--($C$12:$C33&lt;&gt;TRUE())),SUMPRODUCT(--(LEN(TRIM($B$12:$B33))&gt;0),--(P$12:P33=TRUE())))&lt;=MOD(P$46,MAX(1,P$48)),1,0),0)</f>
        <v>0</v>
      </c>
    </row>
    <row r="74" customFormat="false" ht="15" hidden="true" customHeight="false" outlineLevel="0" collapsed="false">
      <c r="A74" s="13" t="s">
        <v>40</v>
      </c>
      <c r="D74" s="14" t="n">
        <f aca="false">IF(AND(D$47,D$48&gt;0,LEN(TRIM($B34))&gt;0,D34=TRUE(),IF(D$50,$C34&lt;&gt;TRUE(),TRUE())),QUOTIENT(D$46,MAX(1,D$48))+IF(IF(D$50,SUMPRODUCT(--(LEN(TRIM($B$12:$B34))&gt;0),--(D$12:D34=TRUE()),--($C$12:$C34&lt;&gt;TRUE())),SUMPRODUCT(--(LEN(TRIM($B$12:$B34))&gt;0),--(D$12:D34=TRUE())))&lt;=MOD(D$46,MAX(1,D$48)),1,0),0)</f>
        <v>0</v>
      </c>
      <c r="F74" s="14" t="n">
        <f aca="false">IF(AND(F$47,F$48&gt;0,LEN(TRIM($B34))&gt;0,F34=TRUE(),IF(F$50,$C34&lt;&gt;TRUE(),TRUE())),QUOTIENT(F$46,MAX(1,F$48))+IF(IF(F$50,SUMPRODUCT(--(LEN(TRIM($B$12:$B34))&gt;0),--(F$12:F34=TRUE()),--($C$12:$C34&lt;&gt;TRUE())),SUMPRODUCT(--(LEN(TRIM($B$12:$B34))&gt;0),--(F$12:F34=TRUE())))&lt;=MOD(F$46,MAX(1,F$48)),1,0),0)</f>
        <v>0</v>
      </c>
      <c r="H74" s="14" t="n">
        <f aca="false">IF(AND(H$47,H$48&gt;0,LEN(TRIM($B34))&gt;0,H34=TRUE(),IF(H$50,$C34&lt;&gt;TRUE(),TRUE())),QUOTIENT(H$46,MAX(1,H$48))+IF(IF(H$50,SUMPRODUCT(--(LEN(TRIM($B$12:$B34))&gt;0),--(H$12:H34=TRUE()),--($C$12:$C34&lt;&gt;TRUE())),SUMPRODUCT(--(LEN(TRIM($B$12:$B34))&gt;0),--(H$12:H34=TRUE())))&lt;=MOD(H$46,MAX(1,H$48)),1,0),0)</f>
        <v>0</v>
      </c>
      <c r="J74" s="14" t="n">
        <f aca="false">IF(AND(J$47,J$48&gt;0,LEN(TRIM($B34))&gt;0,J34=TRUE(),IF(J$50,$C34&lt;&gt;TRUE(),TRUE())),QUOTIENT(J$46,MAX(1,J$48))+IF(IF(J$50,SUMPRODUCT(--(LEN(TRIM($B$12:$B34))&gt;0),--(J$12:J34=TRUE()),--($C$12:$C34&lt;&gt;TRUE())),SUMPRODUCT(--(LEN(TRIM($B$12:$B34))&gt;0),--(J$12:J34=TRUE())))&lt;=MOD(J$46,MAX(1,J$48)),1,0),0)</f>
        <v>0</v>
      </c>
      <c r="L74" s="14" t="n">
        <f aca="false">IF(AND(L$47,L$48&gt;0,LEN(TRIM($B34))&gt;0,L34=TRUE(),IF(L$50,$C34&lt;&gt;TRUE(),TRUE())),QUOTIENT(L$46,MAX(1,L$48))+IF(IF(L$50,SUMPRODUCT(--(LEN(TRIM($B$12:$B34))&gt;0),--(L$12:L34=TRUE()),--($C$12:$C34&lt;&gt;TRUE())),SUMPRODUCT(--(LEN(TRIM($B$12:$B34))&gt;0),--(L$12:L34=TRUE())))&lt;=MOD(L$46,MAX(1,L$48)),1,0),0)</f>
        <v>0</v>
      </c>
      <c r="N74" s="14" t="n">
        <f aca="false">IF(AND(N$47,N$48&gt;0,LEN(TRIM($B34))&gt;0,N34=TRUE(),IF(N$50,$C34&lt;&gt;TRUE(),TRUE())),QUOTIENT(N$46,MAX(1,N$48))+IF(IF(N$50,SUMPRODUCT(--(LEN(TRIM($B$12:$B34))&gt;0),--(N$12:N34=TRUE()),--($C$12:$C34&lt;&gt;TRUE())),SUMPRODUCT(--(LEN(TRIM($B$12:$B34))&gt;0),--(N$12:N34=TRUE())))&lt;=MOD(N$46,MAX(1,N$48)),1,0),0)</f>
        <v>0</v>
      </c>
      <c r="P74" s="14" t="n">
        <f aca="false">IF(AND(P$47,P$48&gt;0,LEN(TRIM($B34))&gt;0,P34=TRUE(),IF(P$50,$C34&lt;&gt;TRUE(),TRUE())),QUOTIENT(P$46,MAX(1,P$48))+IF(IF(P$50,SUMPRODUCT(--(LEN(TRIM($B$12:$B34))&gt;0),--(P$12:P34=TRUE()),--($C$12:$C34&lt;&gt;TRUE())),SUMPRODUCT(--(LEN(TRIM($B$12:$B34))&gt;0),--(P$12:P34=TRUE())))&lt;=MOD(P$46,MAX(1,P$48)),1,0),0)</f>
        <v>0</v>
      </c>
    </row>
    <row r="75" customFormat="false" ht="15" hidden="true" customHeight="false" outlineLevel="0" collapsed="false">
      <c r="A75" s="13" t="s">
        <v>41</v>
      </c>
      <c r="D75" s="14" t="n">
        <f aca="false">IF(AND(D$47,D$48&gt;0,LEN(TRIM($B35))&gt;0,D35=TRUE(),IF(D$50,$C35&lt;&gt;TRUE(),TRUE())),QUOTIENT(D$46,MAX(1,D$48))+IF(IF(D$50,SUMPRODUCT(--(LEN(TRIM($B$12:$B35))&gt;0),--(D$12:D35=TRUE()),--($C$12:$C35&lt;&gt;TRUE())),SUMPRODUCT(--(LEN(TRIM($B$12:$B35))&gt;0),--(D$12:D35=TRUE())))&lt;=MOD(D$46,MAX(1,D$48)),1,0),0)</f>
        <v>0</v>
      </c>
      <c r="F75" s="14" t="n">
        <f aca="false">IF(AND(F$47,F$48&gt;0,LEN(TRIM($B35))&gt;0,F35=TRUE(),IF(F$50,$C35&lt;&gt;TRUE(),TRUE())),QUOTIENT(F$46,MAX(1,F$48))+IF(IF(F$50,SUMPRODUCT(--(LEN(TRIM($B$12:$B35))&gt;0),--(F$12:F35=TRUE()),--($C$12:$C35&lt;&gt;TRUE())),SUMPRODUCT(--(LEN(TRIM($B$12:$B35))&gt;0),--(F$12:F35=TRUE())))&lt;=MOD(F$46,MAX(1,F$48)),1,0),0)</f>
        <v>0</v>
      </c>
      <c r="H75" s="14" t="n">
        <f aca="false">IF(AND(H$47,H$48&gt;0,LEN(TRIM($B35))&gt;0,H35=TRUE(),IF(H$50,$C35&lt;&gt;TRUE(),TRUE())),QUOTIENT(H$46,MAX(1,H$48))+IF(IF(H$50,SUMPRODUCT(--(LEN(TRIM($B$12:$B35))&gt;0),--(H$12:H35=TRUE()),--($C$12:$C35&lt;&gt;TRUE())),SUMPRODUCT(--(LEN(TRIM($B$12:$B35))&gt;0),--(H$12:H35=TRUE())))&lt;=MOD(H$46,MAX(1,H$48)),1,0),0)</f>
        <v>0</v>
      </c>
      <c r="J75" s="14" t="n">
        <f aca="false">IF(AND(J$47,J$48&gt;0,LEN(TRIM($B35))&gt;0,J35=TRUE(),IF(J$50,$C35&lt;&gt;TRUE(),TRUE())),QUOTIENT(J$46,MAX(1,J$48))+IF(IF(J$50,SUMPRODUCT(--(LEN(TRIM($B$12:$B35))&gt;0),--(J$12:J35=TRUE()),--($C$12:$C35&lt;&gt;TRUE())),SUMPRODUCT(--(LEN(TRIM($B$12:$B35))&gt;0),--(J$12:J35=TRUE())))&lt;=MOD(J$46,MAX(1,J$48)),1,0),0)</f>
        <v>0</v>
      </c>
      <c r="L75" s="14" t="n">
        <f aca="false">IF(AND(L$47,L$48&gt;0,LEN(TRIM($B35))&gt;0,L35=TRUE(),IF(L$50,$C35&lt;&gt;TRUE(),TRUE())),QUOTIENT(L$46,MAX(1,L$48))+IF(IF(L$50,SUMPRODUCT(--(LEN(TRIM($B$12:$B35))&gt;0),--(L$12:L35=TRUE()),--($C$12:$C35&lt;&gt;TRUE())),SUMPRODUCT(--(LEN(TRIM($B$12:$B35))&gt;0),--(L$12:L35=TRUE())))&lt;=MOD(L$46,MAX(1,L$48)),1,0),0)</f>
        <v>0</v>
      </c>
      <c r="N75" s="14" t="n">
        <f aca="false">IF(AND(N$47,N$48&gt;0,LEN(TRIM($B35))&gt;0,N35=TRUE(),IF(N$50,$C35&lt;&gt;TRUE(),TRUE())),QUOTIENT(N$46,MAX(1,N$48))+IF(IF(N$50,SUMPRODUCT(--(LEN(TRIM($B$12:$B35))&gt;0),--(N$12:N35=TRUE()),--($C$12:$C35&lt;&gt;TRUE())),SUMPRODUCT(--(LEN(TRIM($B$12:$B35))&gt;0),--(N$12:N35=TRUE())))&lt;=MOD(N$46,MAX(1,N$48)),1,0),0)</f>
        <v>0</v>
      </c>
      <c r="P75" s="14" t="n">
        <f aca="false">IF(AND(P$47,P$48&gt;0,LEN(TRIM($B35))&gt;0,P35=TRUE(),IF(P$50,$C35&lt;&gt;TRUE(),TRUE())),QUOTIENT(P$46,MAX(1,P$48))+IF(IF(P$50,SUMPRODUCT(--(LEN(TRIM($B$12:$B35))&gt;0),--(P$12:P35=TRUE()),--($C$12:$C35&lt;&gt;TRUE())),SUMPRODUCT(--(LEN(TRIM($B$12:$B35))&gt;0),--(P$12:P35=TRUE())))&lt;=MOD(P$46,MAX(1,P$48)),1,0),0)</f>
        <v>0</v>
      </c>
    </row>
    <row r="76" customFormat="false" ht="15" hidden="true" customHeight="false" outlineLevel="0" collapsed="false">
      <c r="A76" s="13" t="s">
        <v>42</v>
      </c>
      <c r="D76" s="14" t="n">
        <f aca="false">IF(AND(D$47,D$48&gt;0,LEN(TRIM($B36))&gt;0,D36=TRUE(),IF(D$50,$C36&lt;&gt;TRUE(),TRUE())),QUOTIENT(D$46,MAX(1,D$48))+IF(IF(D$50,SUMPRODUCT(--(LEN(TRIM($B$12:$B36))&gt;0),--(D$12:D36=TRUE()),--($C$12:$C36&lt;&gt;TRUE())),SUMPRODUCT(--(LEN(TRIM($B$12:$B36))&gt;0),--(D$12:D36=TRUE())))&lt;=MOD(D$46,MAX(1,D$48)),1,0),0)</f>
        <v>0</v>
      </c>
      <c r="F76" s="14" t="n">
        <f aca="false">IF(AND(F$47,F$48&gt;0,LEN(TRIM($B36))&gt;0,F36=TRUE(),IF(F$50,$C36&lt;&gt;TRUE(),TRUE())),QUOTIENT(F$46,MAX(1,F$48))+IF(IF(F$50,SUMPRODUCT(--(LEN(TRIM($B$12:$B36))&gt;0),--(F$12:F36=TRUE()),--($C$12:$C36&lt;&gt;TRUE())),SUMPRODUCT(--(LEN(TRIM($B$12:$B36))&gt;0),--(F$12:F36=TRUE())))&lt;=MOD(F$46,MAX(1,F$48)),1,0),0)</f>
        <v>0</v>
      </c>
      <c r="H76" s="14" t="n">
        <f aca="false">IF(AND(H$47,H$48&gt;0,LEN(TRIM($B36))&gt;0,H36=TRUE(),IF(H$50,$C36&lt;&gt;TRUE(),TRUE())),QUOTIENT(H$46,MAX(1,H$48))+IF(IF(H$50,SUMPRODUCT(--(LEN(TRIM($B$12:$B36))&gt;0),--(H$12:H36=TRUE()),--($C$12:$C36&lt;&gt;TRUE())),SUMPRODUCT(--(LEN(TRIM($B$12:$B36))&gt;0),--(H$12:H36=TRUE())))&lt;=MOD(H$46,MAX(1,H$48)),1,0),0)</f>
        <v>0</v>
      </c>
      <c r="J76" s="14" t="n">
        <f aca="false">IF(AND(J$47,J$48&gt;0,LEN(TRIM($B36))&gt;0,J36=TRUE(),IF(J$50,$C36&lt;&gt;TRUE(),TRUE())),QUOTIENT(J$46,MAX(1,J$48))+IF(IF(J$50,SUMPRODUCT(--(LEN(TRIM($B$12:$B36))&gt;0),--(J$12:J36=TRUE()),--($C$12:$C36&lt;&gt;TRUE())),SUMPRODUCT(--(LEN(TRIM($B$12:$B36))&gt;0),--(J$12:J36=TRUE())))&lt;=MOD(J$46,MAX(1,J$48)),1,0),0)</f>
        <v>0</v>
      </c>
      <c r="L76" s="14" t="n">
        <f aca="false">IF(AND(L$47,L$48&gt;0,LEN(TRIM($B36))&gt;0,L36=TRUE(),IF(L$50,$C36&lt;&gt;TRUE(),TRUE())),QUOTIENT(L$46,MAX(1,L$48))+IF(IF(L$50,SUMPRODUCT(--(LEN(TRIM($B$12:$B36))&gt;0),--(L$12:L36=TRUE()),--($C$12:$C36&lt;&gt;TRUE())),SUMPRODUCT(--(LEN(TRIM($B$12:$B36))&gt;0),--(L$12:L36=TRUE())))&lt;=MOD(L$46,MAX(1,L$48)),1,0),0)</f>
        <v>0</v>
      </c>
      <c r="N76" s="14" t="n">
        <f aca="false">IF(AND(N$47,N$48&gt;0,LEN(TRIM($B36))&gt;0,N36=TRUE(),IF(N$50,$C36&lt;&gt;TRUE(),TRUE())),QUOTIENT(N$46,MAX(1,N$48))+IF(IF(N$50,SUMPRODUCT(--(LEN(TRIM($B$12:$B36))&gt;0),--(N$12:N36=TRUE()),--($C$12:$C36&lt;&gt;TRUE())),SUMPRODUCT(--(LEN(TRIM($B$12:$B36))&gt;0),--(N$12:N36=TRUE())))&lt;=MOD(N$46,MAX(1,N$48)),1,0),0)</f>
        <v>0</v>
      </c>
      <c r="P76" s="14" t="n">
        <f aca="false">IF(AND(P$47,P$48&gt;0,LEN(TRIM($B36))&gt;0,P36=TRUE(),IF(P$50,$C36&lt;&gt;TRUE(),TRUE())),QUOTIENT(P$46,MAX(1,P$48))+IF(IF(P$50,SUMPRODUCT(--(LEN(TRIM($B$12:$B36))&gt;0),--(P$12:P36=TRUE()),--($C$12:$C36&lt;&gt;TRUE())),SUMPRODUCT(--(LEN(TRIM($B$12:$B36))&gt;0),--(P$12:P36=TRUE())))&lt;=MOD(P$46,MAX(1,P$48)),1,0),0)</f>
        <v>0</v>
      </c>
    </row>
    <row r="77" customFormat="false" ht="15" hidden="true" customHeight="false" outlineLevel="0" collapsed="false">
      <c r="A77" s="13" t="s">
        <v>43</v>
      </c>
      <c r="D77" s="14" t="n">
        <f aca="false">IF(AND(D$47,D$48&gt;0,LEN(TRIM($B37))&gt;0,D37=TRUE(),IF(D$50,$C37&lt;&gt;TRUE(),TRUE())),QUOTIENT(D$46,MAX(1,D$48))+IF(IF(D$50,SUMPRODUCT(--(LEN(TRIM($B$12:$B37))&gt;0),--(D$12:D37=TRUE()),--($C$12:$C37&lt;&gt;TRUE())),SUMPRODUCT(--(LEN(TRIM($B$12:$B37))&gt;0),--(D$12:D37=TRUE())))&lt;=MOD(D$46,MAX(1,D$48)),1,0),0)</f>
        <v>0</v>
      </c>
      <c r="F77" s="14" t="n">
        <f aca="false">IF(AND(F$47,F$48&gt;0,LEN(TRIM($B37))&gt;0,F37=TRUE(),IF(F$50,$C37&lt;&gt;TRUE(),TRUE())),QUOTIENT(F$46,MAX(1,F$48))+IF(IF(F$50,SUMPRODUCT(--(LEN(TRIM($B$12:$B37))&gt;0),--(F$12:F37=TRUE()),--($C$12:$C37&lt;&gt;TRUE())),SUMPRODUCT(--(LEN(TRIM($B$12:$B37))&gt;0),--(F$12:F37=TRUE())))&lt;=MOD(F$46,MAX(1,F$48)),1,0),0)</f>
        <v>0</v>
      </c>
      <c r="H77" s="14" t="n">
        <f aca="false">IF(AND(H$47,H$48&gt;0,LEN(TRIM($B37))&gt;0,H37=TRUE(),IF(H$50,$C37&lt;&gt;TRUE(),TRUE())),QUOTIENT(H$46,MAX(1,H$48))+IF(IF(H$50,SUMPRODUCT(--(LEN(TRIM($B$12:$B37))&gt;0),--(H$12:H37=TRUE()),--($C$12:$C37&lt;&gt;TRUE())),SUMPRODUCT(--(LEN(TRIM($B$12:$B37))&gt;0),--(H$12:H37=TRUE())))&lt;=MOD(H$46,MAX(1,H$48)),1,0),0)</f>
        <v>0</v>
      </c>
      <c r="J77" s="14" t="n">
        <f aca="false">IF(AND(J$47,J$48&gt;0,LEN(TRIM($B37))&gt;0,J37=TRUE(),IF(J$50,$C37&lt;&gt;TRUE(),TRUE())),QUOTIENT(J$46,MAX(1,J$48))+IF(IF(J$50,SUMPRODUCT(--(LEN(TRIM($B$12:$B37))&gt;0),--(J$12:J37=TRUE()),--($C$12:$C37&lt;&gt;TRUE())),SUMPRODUCT(--(LEN(TRIM($B$12:$B37))&gt;0),--(J$12:J37=TRUE())))&lt;=MOD(J$46,MAX(1,J$48)),1,0),0)</f>
        <v>0</v>
      </c>
      <c r="L77" s="14" t="n">
        <f aca="false">IF(AND(L$47,L$48&gt;0,LEN(TRIM($B37))&gt;0,L37=TRUE(),IF(L$50,$C37&lt;&gt;TRUE(),TRUE())),QUOTIENT(L$46,MAX(1,L$48))+IF(IF(L$50,SUMPRODUCT(--(LEN(TRIM($B$12:$B37))&gt;0),--(L$12:L37=TRUE()),--($C$12:$C37&lt;&gt;TRUE())),SUMPRODUCT(--(LEN(TRIM($B$12:$B37))&gt;0),--(L$12:L37=TRUE())))&lt;=MOD(L$46,MAX(1,L$48)),1,0),0)</f>
        <v>0</v>
      </c>
      <c r="N77" s="14" t="n">
        <f aca="false">IF(AND(N$47,N$48&gt;0,LEN(TRIM($B37))&gt;0,N37=TRUE(),IF(N$50,$C37&lt;&gt;TRUE(),TRUE())),QUOTIENT(N$46,MAX(1,N$48))+IF(IF(N$50,SUMPRODUCT(--(LEN(TRIM($B$12:$B37))&gt;0),--(N$12:N37=TRUE()),--($C$12:$C37&lt;&gt;TRUE())),SUMPRODUCT(--(LEN(TRIM($B$12:$B37))&gt;0),--(N$12:N37=TRUE())))&lt;=MOD(N$46,MAX(1,N$48)),1,0),0)</f>
        <v>0</v>
      </c>
      <c r="P77" s="14" t="n">
        <f aca="false">IF(AND(P$47,P$48&gt;0,LEN(TRIM($B37))&gt;0,P37=TRUE(),IF(P$50,$C37&lt;&gt;TRUE(),TRUE())),QUOTIENT(P$46,MAX(1,P$48))+IF(IF(P$50,SUMPRODUCT(--(LEN(TRIM($B$12:$B37))&gt;0),--(P$12:P37=TRUE()),--($C$12:$C37&lt;&gt;TRUE())),SUMPRODUCT(--(LEN(TRIM($B$12:$B37))&gt;0),--(P$12:P37=TRUE())))&lt;=MOD(P$46,MAX(1,P$48)),1,0),0)</f>
        <v>0</v>
      </c>
    </row>
    <row r="78" customFormat="false" ht="15" hidden="true" customHeight="false" outlineLevel="0" collapsed="false">
      <c r="A78" s="13" t="s">
        <v>44</v>
      </c>
      <c r="D78" s="14" t="n">
        <f aca="false">IF(AND(D$47,D$48&gt;0,LEN(TRIM($B38))&gt;0,D38=TRUE(),IF(D$50,$C38&lt;&gt;TRUE(),TRUE())),QUOTIENT(D$46,MAX(1,D$48))+IF(IF(D$50,SUMPRODUCT(--(LEN(TRIM($B$12:$B38))&gt;0),--(D$12:D38=TRUE()),--($C$12:$C38&lt;&gt;TRUE())),SUMPRODUCT(--(LEN(TRIM($B$12:$B38))&gt;0),--(D$12:D38=TRUE())))&lt;=MOD(D$46,MAX(1,D$48)),1,0),0)</f>
        <v>0</v>
      </c>
      <c r="F78" s="14" t="n">
        <f aca="false">IF(AND(F$47,F$48&gt;0,LEN(TRIM($B38))&gt;0,F38=TRUE(),IF(F$50,$C38&lt;&gt;TRUE(),TRUE())),QUOTIENT(F$46,MAX(1,F$48))+IF(IF(F$50,SUMPRODUCT(--(LEN(TRIM($B$12:$B38))&gt;0),--(F$12:F38=TRUE()),--($C$12:$C38&lt;&gt;TRUE())),SUMPRODUCT(--(LEN(TRIM($B$12:$B38))&gt;0),--(F$12:F38=TRUE())))&lt;=MOD(F$46,MAX(1,F$48)),1,0),0)</f>
        <v>0</v>
      </c>
      <c r="H78" s="14" t="n">
        <f aca="false">IF(AND(H$47,H$48&gt;0,LEN(TRIM($B38))&gt;0,H38=TRUE(),IF(H$50,$C38&lt;&gt;TRUE(),TRUE())),QUOTIENT(H$46,MAX(1,H$48))+IF(IF(H$50,SUMPRODUCT(--(LEN(TRIM($B$12:$B38))&gt;0),--(H$12:H38=TRUE()),--($C$12:$C38&lt;&gt;TRUE())),SUMPRODUCT(--(LEN(TRIM($B$12:$B38))&gt;0),--(H$12:H38=TRUE())))&lt;=MOD(H$46,MAX(1,H$48)),1,0),0)</f>
        <v>0</v>
      </c>
      <c r="J78" s="14" t="n">
        <f aca="false">IF(AND(J$47,J$48&gt;0,LEN(TRIM($B38))&gt;0,J38=TRUE(),IF(J$50,$C38&lt;&gt;TRUE(),TRUE())),QUOTIENT(J$46,MAX(1,J$48))+IF(IF(J$50,SUMPRODUCT(--(LEN(TRIM($B$12:$B38))&gt;0),--(J$12:J38=TRUE()),--($C$12:$C38&lt;&gt;TRUE())),SUMPRODUCT(--(LEN(TRIM($B$12:$B38))&gt;0),--(J$12:J38=TRUE())))&lt;=MOD(J$46,MAX(1,J$48)),1,0),0)</f>
        <v>0</v>
      </c>
      <c r="L78" s="14" t="n">
        <f aca="false">IF(AND(L$47,L$48&gt;0,LEN(TRIM($B38))&gt;0,L38=TRUE(),IF(L$50,$C38&lt;&gt;TRUE(),TRUE())),QUOTIENT(L$46,MAX(1,L$48))+IF(IF(L$50,SUMPRODUCT(--(LEN(TRIM($B$12:$B38))&gt;0),--(L$12:L38=TRUE()),--($C$12:$C38&lt;&gt;TRUE())),SUMPRODUCT(--(LEN(TRIM($B$12:$B38))&gt;0),--(L$12:L38=TRUE())))&lt;=MOD(L$46,MAX(1,L$48)),1,0),0)</f>
        <v>0</v>
      </c>
      <c r="N78" s="14" t="n">
        <f aca="false">IF(AND(N$47,N$48&gt;0,LEN(TRIM($B38))&gt;0,N38=TRUE(),IF(N$50,$C38&lt;&gt;TRUE(),TRUE())),QUOTIENT(N$46,MAX(1,N$48))+IF(IF(N$50,SUMPRODUCT(--(LEN(TRIM($B$12:$B38))&gt;0),--(N$12:N38=TRUE()),--($C$12:$C38&lt;&gt;TRUE())),SUMPRODUCT(--(LEN(TRIM($B$12:$B38))&gt;0),--(N$12:N38=TRUE())))&lt;=MOD(N$46,MAX(1,N$48)),1,0),0)</f>
        <v>0</v>
      </c>
      <c r="P78" s="14" t="n">
        <f aca="false">IF(AND(P$47,P$48&gt;0,LEN(TRIM($B38))&gt;0,P38=TRUE(),IF(P$50,$C38&lt;&gt;TRUE(),TRUE())),QUOTIENT(P$46,MAX(1,P$48))+IF(IF(P$50,SUMPRODUCT(--(LEN(TRIM($B$12:$B38))&gt;0),--(P$12:P38=TRUE()),--($C$12:$C38&lt;&gt;TRUE())),SUMPRODUCT(--(LEN(TRIM($B$12:$B38))&gt;0),--(P$12:P38=TRUE())))&lt;=MOD(P$46,MAX(1,P$48)),1,0),0)</f>
        <v>0</v>
      </c>
    </row>
    <row r="79" customFormat="false" ht="15" hidden="true" customHeight="false" outlineLevel="0" collapsed="false">
      <c r="A79" s="13" t="s">
        <v>45</v>
      </c>
      <c r="D79" s="14" t="n">
        <f aca="false">IF(AND(D$47,D$48&gt;0,LEN(TRIM($B39))&gt;0,D39=TRUE(),IF(D$50,$C39&lt;&gt;TRUE(),TRUE())),QUOTIENT(D$46,MAX(1,D$48))+IF(IF(D$50,SUMPRODUCT(--(LEN(TRIM($B$12:$B39))&gt;0),--(D$12:D39=TRUE()),--($C$12:$C39&lt;&gt;TRUE())),SUMPRODUCT(--(LEN(TRIM($B$12:$B39))&gt;0),--(D$12:D39=TRUE())))&lt;=MOD(D$46,MAX(1,D$48)),1,0),0)</f>
        <v>0</v>
      </c>
      <c r="F79" s="14" t="n">
        <f aca="false">IF(AND(F$47,F$48&gt;0,LEN(TRIM($B39))&gt;0,F39=TRUE(),IF(F$50,$C39&lt;&gt;TRUE(),TRUE())),QUOTIENT(F$46,MAX(1,F$48))+IF(IF(F$50,SUMPRODUCT(--(LEN(TRIM($B$12:$B39))&gt;0),--(F$12:F39=TRUE()),--($C$12:$C39&lt;&gt;TRUE())),SUMPRODUCT(--(LEN(TRIM($B$12:$B39))&gt;0),--(F$12:F39=TRUE())))&lt;=MOD(F$46,MAX(1,F$48)),1,0),0)</f>
        <v>0</v>
      </c>
      <c r="H79" s="14" t="n">
        <f aca="false">IF(AND(H$47,H$48&gt;0,LEN(TRIM($B39))&gt;0,H39=TRUE(),IF(H$50,$C39&lt;&gt;TRUE(),TRUE())),QUOTIENT(H$46,MAX(1,H$48))+IF(IF(H$50,SUMPRODUCT(--(LEN(TRIM($B$12:$B39))&gt;0),--(H$12:H39=TRUE()),--($C$12:$C39&lt;&gt;TRUE())),SUMPRODUCT(--(LEN(TRIM($B$12:$B39))&gt;0),--(H$12:H39=TRUE())))&lt;=MOD(H$46,MAX(1,H$48)),1,0),0)</f>
        <v>0</v>
      </c>
      <c r="J79" s="14" t="n">
        <f aca="false">IF(AND(J$47,J$48&gt;0,LEN(TRIM($B39))&gt;0,J39=TRUE(),IF(J$50,$C39&lt;&gt;TRUE(),TRUE())),QUOTIENT(J$46,MAX(1,J$48))+IF(IF(J$50,SUMPRODUCT(--(LEN(TRIM($B$12:$B39))&gt;0),--(J$12:J39=TRUE()),--($C$12:$C39&lt;&gt;TRUE())),SUMPRODUCT(--(LEN(TRIM($B$12:$B39))&gt;0),--(J$12:J39=TRUE())))&lt;=MOD(J$46,MAX(1,J$48)),1,0),0)</f>
        <v>0</v>
      </c>
      <c r="L79" s="14" t="n">
        <f aca="false">IF(AND(L$47,L$48&gt;0,LEN(TRIM($B39))&gt;0,L39=TRUE(),IF(L$50,$C39&lt;&gt;TRUE(),TRUE())),QUOTIENT(L$46,MAX(1,L$48))+IF(IF(L$50,SUMPRODUCT(--(LEN(TRIM($B$12:$B39))&gt;0),--(L$12:L39=TRUE()),--($C$12:$C39&lt;&gt;TRUE())),SUMPRODUCT(--(LEN(TRIM($B$12:$B39))&gt;0),--(L$12:L39=TRUE())))&lt;=MOD(L$46,MAX(1,L$48)),1,0),0)</f>
        <v>0</v>
      </c>
      <c r="N79" s="14" t="n">
        <f aca="false">IF(AND(N$47,N$48&gt;0,LEN(TRIM($B39))&gt;0,N39=TRUE(),IF(N$50,$C39&lt;&gt;TRUE(),TRUE())),QUOTIENT(N$46,MAX(1,N$48))+IF(IF(N$50,SUMPRODUCT(--(LEN(TRIM($B$12:$B39))&gt;0),--(N$12:N39=TRUE()),--($C$12:$C39&lt;&gt;TRUE())),SUMPRODUCT(--(LEN(TRIM($B$12:$B39))&gt;0),--(N$12:N39=TRUE())))&lt;=MOD(N$46,MAX(1,N$48)),1,0),0)</f>
        <v>0</v>
      </c>
      <c r="P79" s="14" t="n">
        <f aca="false">IF(AND(P$47,P$48&gt;0,LEN(TRIM($B39))&gt;0,P39=TRUE(),IF(P$50,$C39&lt;&gt;TRUE(),TRUE())),QUOTIENT(P$46,MAX(1,P$48))+IF(IF(P$50,SUMPRODUCT(--(LEN(TRIM($B$12:$B39))&gt;0),--(P$12:P39=TRUE()),--($C$12:$C39&lt;&gt;TRUE())),SUMPRODUCT(--(LEN(TRIM($B$12:$B39))&gt;0),--(P$12:P39=TRUE())))&lt;=MOD(P$46,MAX(1,P$48)),1,0),0)</f>
        <v>0</v>
      </c>
    </row>
    <row r="80" customFormat="false" ht="15" hidden="true" customHeight="false" outlineLevel="0" collapsed="false">
      <c r="A80" s="13" t="s">
        <v>46</v>
      </c>
      <c r="D80" s="14" t="n">
        <f aca="false">IF(AND(D$47,D$48&gt;0,LEN(TRIM($B40))&gt;0,D40=TRUE(),IF(D$50,$C40&lt;&gt;TRUE(),TRUE())),QUOTIENT(D$46,MAX(1,D$48))+IF(IF(D$50,SUMPRODUCT(--(LEN(TRIM($B$12:$B40))&gt;0),--(D$12:D40=TRUE()),--($C$12:$C40&lt;&gt;TRUE())),SUMPRODUCT(--(LEN(TRIM($B$12:$B40))&gt;0),--(D$12:D40=TRUE())))&lt;=MOD(D$46,MAX(1,D$48)),1,0),0)</f>
        <v>0</v>
      </c>
      <c r="F80" s="14" t="n">
        <f aca="false">IF(AND(F$47,F$48&gt;0,LEN(TRIM($B40))&gt;0,F40=TRUE(),IF(F$50,$C40&lt;&gt;TRUE(),TRUE())),QUOTIENT(F$46,MAX(1,F$48))+IF(IF(F$50,SUMPRODUCT(--(LEN(TRIM($B$12:$B40))&gt;0),--(F$12:F40=TRUE()),--($C$12:$C40&lt;&gt;TRUE())),SUMPRODUCT(--(LEN(TRIM($B$12:$B40))&gt;0),--(F$12:F40=TRUE())))&lt;=MOD(F$46,MAX(1,F$48)),1,0),0)</f>
        <v>0</v>
      </c>
      <c r="H80" s="14" t="n">
        <f aca="false">IF(AND(H$47,H$48&gt;0,LEN(TRIM($B40))&gt;0,H40=TRUE(),IF(H$50,$C40&lt;&gt;TRUE(),TRUE())),QUOTIENT(H$46,MAX(1,H$48))+IF(IF(H$50,SUMPRODUCT(--(LEN(TRIM($B$12:$B40))&gt;0),--(H$12:H40=TRUE()),--($C$12:$C40&lt;&gt;TRUE())),SUMPRODUCT(--(LEN(TRIM($B$12:$B40))&gt;0),--(H$12:H40=TRUE())))&lt;=MOD(H$46,MAX(1,H$48)),1,0),0)</f>
        <v>0</v>
      </c>
      <c r="J80" s="14" t="n">
        <f aca="false">IF(AND(J$47,J$48&gt;0,LEN(TRIM($B40))&gt;0,J40=TRUE(),IF(J$50,$C40&lt;&gt;TRUE(),TRUE())),QUOTIENT(J$46,MAX(1,J$48))+IF(IF(J$50,SUMPRODUCT(--(LEN(TRIM($B$12:$B40))&gt;0),--(J$12:J40=TRUE()),--($C$12:$C40&lt;&gt;TRUE())),SUMPRODUCT(--(LEN(TRIM($B$12:$B40))&gt;0),--(J$12:J40=TRUE())))&lt;=MOD(J$46,MAX(1,J$48)),1,0),0)</f>
        <v>0</v>
      </c>
      <c r="L80" s="14" t="n">
        <f aca="false">IF(AND(L$47,L$48&gt;0,LEN(TRIM($B40))&gt;0,L40=TRUE(),IF(L$50,$C40&lt;&gt;TRUE(),TRUE())),QUOTIENT(L$46,MAX(1,L$48))+IF(IF(L$50,SUMPRODUCT(--(LEN(TRIM($B$12:$B40))&gt;0),--(L$12:L40=TRUE()),--($C$12:$C40&lt;&gt;TRUE())),SUMPRODUCT(--(LEN(TRIM($B$12:$B40))&gt;0),--(L$12:L40=TRUE())))&lt;=MOD(L$46,MAX(1,L$48)),1,0),0)</f>
        <v>0</v>
      </c>
      <c r="N80" s="14" t="n">
        <f aca="false">IF(AND(N$47,N$48&gt;0,LEN(TRIM($B40))&gt;0,N40=TRUE(),IF(N$50,$C40&lt;&gt;TRUE(),TRUE())),QUOTIENT(N$46,MAX(1,N$48))+IF(IF(N$50,SUMPRODUCT(--(LEN(TRIM($B$12:$B40))&gt;0),--(N$12:N40=TRUE()),--($C$12:$C40&lt;&gt;TRUE())),SUMPRODUCT(--(LEN(TRIM($B$12:$B40))&gt;0),--(N$12:N40=TRUE())))&lt;=MOD(N$46,MAX(1,N$48)),1,0),0)</f>
        <v>0</v>
      </c>
      <c r="P80" s="14" t="n">
        <f aca="false">IF(AND(P$47,P$48&gt;0,LEN(TRIM($B40))&gt;0,P40=TRUE(),IF(P$50,$C40&lt;&gt;TRUE(),TRUE())),QUOTIENT(P$46,MAX(1,P$48))+IF(IF(P$50,SUMPRODUCT(--(LEN(TRIM($B$12:$B40))&gt;0),--(P$12:P40=TRUE()),--($C$12:$C40&lt;&gt;TRUE())),SUMPRODUCT(--(LEN(TRIM($B$12:$B40))&gt;0),--(P$12:P40=TRUE())))&lt;=MOD(P$46,MAX(1,P$48)),1,0),0)</f>
        <v>0</v>
      </c>
    </row>
    <row r="81" customFormat="false" ht="15" hidden="true" customHeight="false" outlineLevel="0" collapsed="false">
      <c r="A81" s="13" t="s">
        <v>47</v>
      </c>
      <c r="D81" s="14" t="n">
        <f aca="false">IF(AND(D$47,D$48&gt;0,LEN(TRIM($B41))&gt;0,D41=TRUE(),IF(D$50,$C41&lt;&gt;TRUE(),TRUE())),QUOTIENT(D$46,MAX(1,D$48))+IF(IF(D$50,SUMPRODUCT(--(LEN(TRIM($B$12:$B41))&gt;0),--(D$12:D41=TRUE()),--($C$12:$C41&lt;&gt;TRUE())),SUMPRODUCT(--(LEN(TRIM($B$12:$B41))&gt;0),--(D$12:D41=TRUE())))&lt;=MOD(D$46,MAX(1,D$48)),1,0),0)</f>
        <v>0</v>
      </c>
      <c r="F81" s="14" t="n">
        <f aca="false">IF(AND(F$47,F$48&gt;0,LEN(TRIM($B41))&gt;0,F41=TRUE(),IF(F$50,$C41&lt;&gt;TRUE(),TRUE())),QUOTIENT(F$46,MAX(1,F$48))+IF(IF(F$50,SUMPRODUCT(--(LEN(TRIM($B$12:$B41))&gt;0),--(F$12:F41=TRUE()),--($C$12:$C41&lt;&gt;TRUE())),SUMPRODUCT(--(LEN(TRIM($B$12:$B41))&gt;0),--(F$12:F41=TRUE())))&lt;=MOD(F$46,MAX(1,F$48)),1,0),0)</f>
        <v>0</v>
      </c>
      <c r="H81" s="14" t="n">
        <f aca="false">IF(AND(H$47,H$48&gt;0,LEN(TRIM($B41))&gt;0,H41=TRUE(),IF(H$50,$C41&lt;&gt;TRUE(),TRUE())),QUOTIENT(H$46,MAX(1,H$48))+IF(IF(H$50,SUMPRODUCT(--(LEN(TRIM($B$12:$B41))&gt;0),--(H$12:H41=TRUE()),--($C$12:$C41&lt;&gt;TRUE())),SUMPRODUCT(--(LEN(TRIM($B$12:$B41))&gt;0),--(H$12:H41=TRUE())))&lt;=MOD(H$46,MAX(1,H$48)),1,0),0)</f>
        <v>0</v>
      </c>
      <c r="J81" s="14" t="n">
        <f aca="false">IF(AND(J$47,J$48&gt;0,LEN(TRIM($B41))&gt;0,J41=TRUE(),IF(J$50,$C41&lt;&gt;TRUE(),TRUE())),QUOTIENT(J$46,MAX(1,J$48))+IF(IF(J$50,SUMPRODUCT(--(LEN(TRIM($B$12:$B41))&gt;0),--(J$12:J41=TRUE()),--($C$12:$C41&lt;&gt;TRUE())),SUMPRODUCT(--(LEN(TRIM($B$12:$B41))&gt;0),--(J$12:J41=TRUE())))&lt;=MOD(J$46,MAX(1,J$48)),1,0),0)</f>
        <v>0</v>
      </c>
      <c r="L81" s="14" t="n">
        <f aca="false">IF(AND(L$47,L$48&gt;0,LEN(TRIM($B41))&gt;0,L41=TRUE(),IF(L$50,$C41&lt;&gt;TRUE(),TRUE())),QUOTIENT(L$46,MAX(1,L$48))+IF(IF(L$50,SUMPRODUCT(--(LEN(TRIM($B$12:$B41))&gt;0),--(L$12:L41=TRUE()),--($C$12:$C41&lt;&gt;TRUE())),SUMPRODUCT(--(LEN(TRIM($B$12:$B41))&gt;0),--(L$12:L41=TRUE())))&lt;=MOD(L$46,MAX(1,L$48)),1,0),0)</f>
        <v>0</v>
      </c>
      <c r="N81" s="14" t="n">
        <f aca="false">IF(AND(N$47,N$48&gt;0,LEN(TRIM($B41))&gt;0,N41=TRUE(),IF(N$50,$C41&lt;&gt;TRUE(),TRUE())),QUOTIENT(N$46,MAX(1,N$48))+IF(IF(N$50,SUMPRODUCT(--(LEN(TRIM($B$12:$B41))&gt;0),--(N$12:N41=TRUE()),--($C$12:$C41&lt;&gt;TRUE())),SUMPRODUCT(--(LEN(TRIM($B$12:$B41))&gt;0),--(N$12:N41=TRUE())))&lt;=MOD(N$46,MAX(1,N$48)),1,0),0)</f>
        <v>0</v>
      </c>
      <c r="P81" s="14" t="n">
        <f aca="false">IF(AND(P$47,P$48&gt;0,LEN(TRIM($B41))&gt;0,P41=TRUE(),IF(P$50,$C41&lt;&gt;TRUE(),TRUE())),QUOTIENT(P$46,MAX(1,P$48))+IF(IF(P$50,SUMPRODUCT(--(LEN(TRIM($B$12:$B41))&gt;0),--(P$12:P41=TRUE()),--($C$12:$C41&lt;&gt;TRUE())),SUMPRODUCT(--(LEN(TRIM($B$12:$B41))&gt;0),--(P$12:P41=TRUE())))&lt;=MOD(P$46,MAX(1,P$48)),1,0),0)</f>
        <v>0</v>
      </c>
    </row>
  </sheetData>
  <mergeCells count="28">
    <mergeCell ref="D4:E4"/>
    <mergeCell ref="F4:G4"/>
    <mergeCell ref="H4:I4"/>
    <mergeCell ref="J4:K4"/>
    <mergeCell ref="L4:M4"/>
    <mergeCell ref="N4:O4"/>
    <mergeCell ref="P4:Q4"/>
    <mergeCell ref="D5:E5"/>
    <mergeCell ref="F5:G5"/>
    <mergeCell ref="H5:I5"/>
    <mergeCell ref="J5:K5"/>
    <mergeCell ref="L5:M5"/>
    <mergeCell ref="N5:O5"/>
    <mergeCell ref="P5:Q5"/>
    <mergeCell ref="D9:E9"/>
    <mergeCell ref="F9:G9"/>
    <mergeCell ref="H9:I9"/>
    <mergeCell ref="J9:K9"/>
    <mergeCell ref="L9:M9"/>
    <mergeCell ref="N9:O9"/>
    <mergeCell ref="P9:Q9"/>
    <mergeCell ref="D10:E10"/>
    <mergeCell ref="F10:G10"/>
    <mergeCell ref="H10:I10"/>
    <mergeCell ref="J10:K10"/>
    <mergeCell ref="L10:M10"/>
    <mergeCell ref="N10:O10"/>
    <mergeCell ref="P10:Q10"/>
  </mergeCells>
  <dataValidations count="30"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3" type="custom">
      <formula1>OR(C3=1,C3=0)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12:C41" type="custom">
      <formula1>OR(C12=1,C12=0)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D12:D41" type="custom">
      <formula1>OR(D12=1,D12=0)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F12:F41" type="custom">
      <formula1>OR(F12=1,F12=0)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H12:H41" type="custom">
      <formula1>OR(H12=1,H12=0)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J12:J41" type="custom">
      <formula1>OR(J12=1,J12=0)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L12:L41" type="custom">
      <formula1>OR(L12=1,L12=0)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N12:N41" type="custom">
      <formula1>OR(N12=1,N12=0)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P12:P41" type="custom">
      <formula1>OR(P12=1,P12=0)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D5:E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6" type="custom">
      <formula1>OR(LEN(TRIM(D6&amp;""))=0,IFERROR(AND(ISNUMBER(D6),D6&gt;=0,D6&lt;=100000000,ROUND(D6,1)=D6),0))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F5:G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6" type="custom">
      <formula1>OR(LEN(TRIM(F6&amp;""))=0,IFERROR(AND(ISNUMBER(F6),F6&gt;=0,F6&lt;=100000000,ROUND(F6,1)=F6),0))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H5:I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6" type="custom">
      <formula1>OR(LEN(TRIM(H6&amp;""))=0,IFERROR(AND(ISNUMBER(H6),H6&gt;=0,H6&lt;=100000000,ROUND(H6,1)=H6),0))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J5:K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6" type="custom">
      <formula1>OR(LEN(TRIM(J6&amp;""))=0,IFERROR(AND(ISNUMBER(J6),J6&gt;=0,J6&lt;=100000000,ROUND(J6,1)=J6),0))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L5:M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6" type="custom">
      <formula1>OR(LEN(TRIM(L6&amp;""))=0,IFERROR(AND(ISNUMBER(L6),L6&gt;=0,L6&lt;=100000000,ROUND(L6,1)=L6),0))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N5:O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6" type="custom">
      <formula1>OR(LEN(TRIM(N6&amp;""))=0,IFERROR(AND(ISNUMBER(N6),N6&gt;=0,N6&lt;=100000000,ROUND(N6,1)=N6),0))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P5:Q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6" type="custom">
      <formula1>OR(LEN(TRIM(P6&amp;""))=0,IFERROR(AND(ISNUMBER(P6),P6&gt;=0,P6&lt;=100000000,ROUND(P6,1)=P6),0))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40"/>
    <col collapsed="false" customWidth="true" hidden="false" outlineLevel="0" max="2" min="2" style="0" width="22.86"/>
    <col collapsed="false" customWidth="true" hidden="false" outlineLevel="0" max="3" min="3" style="0" width="13.15"/>
    <col collapsed="false" customWidth="true" hidden="false" outlineLevel="0" max="17" min="4" style="0" width="21.14"/>
  </cols>
  <sheetData>
    <row r="1" customFormat="false" ht="32.8" hidden="true" customHeight="false" outlineLevel="0" collapsed="false">
      <c r="A1" s="1" t="s">
        <v>143</v>
      </c>
      <c r="D1" s="1" t="s">
        <v>144</v>
      </c>
      <c r="F1" s="1" t="s">
        <v>145</v>
      </c>
      <c r="H1" s="1" t="s">
        <v>146</v>
      </c>
      <c r="J1" s="1" t="s">
        <v>147</v>
      </c>
      <c r="L1" s="1" t="s">
        <v>148</v>
      </c>
      <c r="N1" s="1" t="s">
        <v>149</v>
      </c>
      <c r="P1" s="1" t="s">
        <v>150</v>
      </c>
    </row>
    <row r="2" customFormat="false" ht="48.5" hidden="false" customHeight="false" outlineLevel="0" collapsed="false">
      <c r="B2" s="16" t="s">
        <v>151</v>
      </c>
      <c r="D2" s="1" t="s">
        <v>67</v>
      </c>
    </row>
    <row r="3" customFormat="false" ht="48.5" hidden="false" customHeight="false" outlineLevel="0" collapsed="false">
      <c r="B3" s="1" t="s">
        <v>68</v>
      </c>
      <c r="C3" s="18" t="b">
        <f aca="false">FALSE()</f>
        <v>0</v>
      </c>
      <c r="D3" s="1" t="s">
        <v>69</v>
      </c>
    </row>
    <row r="4" customFormat="false" ht="27.75" hidden="false" customHeight="true" outlineLevel="0" collapsed="false">
      <c r="B4" s="1" t="s">
        <v>70</v>
      </c>
      <c r="D4" s="19" t="s">
        <v>71</v>
      </c>
      <c r="E4" s="19"/>
      <c r="F4" s="19" t="s">
        <v>72</v>
      </c>
      <c r="G4" s="19"/>
      <c r="H4" s="19" t="s">
        <v>73</v>
      </c>
      <c r="I4" s="19"/>
      <c r="J4" s="19" t="s">
        <v>74</v>
      </c>
      <c r="K4" s="19"/>
      <c r="L4" s="19" t="s">
        <v>75</v>
      </c>
      <c r="M4" s="19"/>
      <c r="N4" s="19" t="s">
        <v>76</v>
      </c>
      <c r="O4" s="19"/>
      <c r="P4" s="19" t="s">
        <v>77</v>
      </c>
      <c r="Q4" s="19"/>
    </row>
    <row r="5" customFormat="false" ht="27.75" hidden="false" customHeight="true" outlineLevel="0" collapsed="false">
      <c r="B5" s="1" t="s">
        <v>78</v>
      </c>
      <c r="D5" s="19" t="s">
        <v>71</v>
      </c>
      <c r="E5" s="19"/>
      <c r="F5" s="19" t="s">
        <v>72</v>
      </c>
      <c r="G5" s="19"/>
      <c r="H5" s="19" t="s">
        <v>73</v>
      </c>
      <c r="I5" s="19"/>
      <c r="J5" s="19" t="s">
        <v>74</v>
      </c>
      <c r="K5" s="19"/>
      <c r="L5" s="19" t="s">
        <v>75</v>
      </c>
      <c r="M5" s="19"/>
      <c r="N5" s="19" t="s">
        <v>76</v>
      </c>
      <c r="O5" s="19"/>
      <c r="P5" s="19" t="s">
        <v>77</v>
      </c>
      <c r="Q5" s="19"/>
    </row>
    <row r="6" customFormat="false" ht="27.75" hidden="false" customHeight="true" outlineLevel="0" collapsed="false">
      <c r="B6" s="1" t="s">
        <v>79</v>
      </c>
      <c r="D6" s="16"/>
      <c r="E6" s="1" t="s">
        <v>80</v>
      </c>
      <c r="F6" s="16"/>
      <c r="G6" s="1" t="s">
        <v>80</v>
      </c>
      <c r="H6" s="16"/>
      <c r="I6" s="1" t="s">
        <v>80</v>
      </c>
      <c r="J6" s="16"/>
      <c r="K6" s="1" t="s">
        <v>80</v>
      </c>
      <c r="L6" s="16"/>
      <c r="M6" s="1" t="s">
        <v>80</v>
      </c>
      <c r="N6" s="16"/>
      <c r="O6" s="1" t="s">
        <v>80</v>
      </c>
      <c r="P6" s="16"/>
      <c r="Q6" s="1" t="s">
        <v>80</v>
      </c>
    </row>
    <row r="7" customFormat="false" ht="27.75" hidden="false" customHeight="true" outlineLevel="0" collapsed="false">
      <c r="B7" s="1" t="s">
        <v>81</v>
      </c>
      <c r="D7" s="16"/>
      <c r="E7" s="20" t="str">
        <f aca="false">IFERROR(INDEX(成員名單!$B$5:$B$34,MATCH(D7,成員名單!$A$5:$A$34,0))&amp;"","")</f>
        <v/>
      </c>
      <c r="F7" s="16"/>
      <c r="G7" s="20" t="str">
        <f aca="false">IFERROR(INDEX(成員名單!$B$5:$B$34,MATCH(F7,成員名單!$A$5:$A$34,0))&amp;"","")</f>
        <v/>
      </c>
      <c r="H7" s="16"/>
      <c r="I7" s="20" t="str">
        <f aca="false">IFERROR(INDEX(成員名單!$B$5:$B$34,MATCH(H7,成員名單!$A$5:$A$34,0))&amp;"","")</f>
        <v/>
      </c>
      <c r="J7" s="16"/>
      <c r="K7" s="20" t="str">
        <f aca="false">IFERROR(INDEX(成員名單!$B$5:$B$34,MATCH(J7,成員名單!$A$5:$A$34,0))&amp;"","")</f>
        <v/>
      </c>
      <c r="L7" s="16"/>
      <c r="M7" s="20" t="str">
        <f aca="false">IFERROR(INDEX(成員名單!$B$5:$B$34,MATCH(L7,成員名單!$A$5:$A$34,0))&amp;"","")</f>
        <v/>
      </c>
      <c r="N7" s="16"/>
      <c r="O7" s="20" t="str">
        <f aca="false">IFERROR(INDEX(成員名單!$B$5:$B$34,MATCH(N7,成員名單!$A$5:$A$34,0))&amp;"","")</f>
        <v/>
      </c>
      <c r="P7" s="16"/>
      <c r="Q7" s="20" t="str">
        <f aca="false">IFERROR(INDEX(成員名單!$B$5:$B$34,MATCH(P7,成員名單!$A$5:$A$34,0))&amp;"","")</f>
        <v/>
      </c>
    </row>
    <row r="8" customFormat="false" ht="27.75" hidden="false" customHeight="true" outlineLevel="0" collapsed="false">
      <c r="B8" s="1" t="s">
        <v>82</v>
      </c>
      <c r="D8" s="20" t="n">
        <f aca="false">IF(D$47,D$48,0)</f>
        <v>0</v>
      </c>
      <c r="E8" s="1" t="s">
        <v>83</v>
      </c>
      <c r="F8" s="20" t="n">
        <f aca="false">IF(F$47,F$48,0)</f>
        <v>0</v>
      </c>
      <c r="G8" s="1" t="s">
        <v>83</v>
      </c>
      <c r="H8" s="20" t="n">
        <f aca="false">IF(H$47,H$48,0)</f>
        <v>0</v>
      </c>
      <c r="I8" s="1" t="s">
        <v>83</v>
      </c>
      <c r="J8" s="20" t="n">
        <f aca="false">IF(J$47,J$48,0)</f>
        <v>0</v>
      </c>
      <c r="K8" s="1" t="s">
        <v>83</v>
      </c>
      <c r="L8" s="20" t="n">
        <f aca="false">IF(L$47,L$48,0)</f>
        <v>0</v>
      </c>
      <c r="M8" s="1" t="s">
        <v>83</v>
      </c>
      <c r="N8" s="20" t="n">
        <f aca="false">IF(N$47,N$48,0)</f>
        <v>0</v>
      </c>
      <c r="O8" s="1" t="s">
        <v>83</v>
      </c>
      <c r="P8" s="20" t="n">
        <f aca="false">IF(P$47,P$48,0)</f>
        <v>0</v>
      </c>
      <c r="Q8" s="1" t="s">
        <v>83</v>
      </c>
    </row>
    <row r="9" customFormat="false" ht="27.75" hidden="false" customHeight="true" outlineLevel="0" collapsed="false">
      <c r="B9" s="1" t="s">
        <v>84</v>
      </c>
      <c r="D9" s="21" t="str">
        <f aca="false">IF(OR(NOT(D$47),D$48=0),"暫不分攤",TEXT(QUOTIENT(D$46,MAX(1,D$48))/10,"0.0")&amp;IF(MOD(D$46,MAX(1,D$48))&gt;0,"–"&amp;TEXT((QUOTIENT(D$46,MAX(1,D$48))+1)/10,"0.0"),"")&amp;" 元／人")</f>
        <v>暫不分攤</v>
      </c>
      <c r="E9" s="21"/>
      <c r="F9" s="21" t="str">
        <f aca="false">IF(OR(NOT(F$47),F$48=0),"暫不分攤",TEXT(QUOTIENT(F$46,MAX(1,F$48))/10,"0.0")&amp;IF(MOD(F$46,MAX(1,F$48))&gt;0,"–"&amp;TEXT((QUOTIENT(F$46,MAX(1,F$48))+1)/10,"0.0"),"")&amp;" 元／人")</f>
        <v>暫不分攤</v>
      </c>
      <c r="G9" s="21"/>
      <c r="H9" s="21" t="str">
        <f aca="false">IF(OR(NOT(H$47),H$48=0),"暫不分攤",TEXT(QUOTIENT(H$46,MAX(1,H$48))/10,"0.0")&amp;IF(MOD(H$46,MAX(1,H$48))&gt;0,"–"&amp;TEXT((QUOTIENT(H$46,MAX(1,H$48))+1)/10,"0.0"),"")&amp;" 元／人")</f>
        <v>暫不分攤</v>
      </c>
      <c r="I9" s="21"/>
      <c r="J9" s="21" t="str">
        <f aca="false">IF(OR(NOT(J$47),J$48=0),"暫不分攤",TEXT(QUOTIENT(J$46,MAX(1,J$48))/10,"0.0")&amp;IF(MOD(J$46,MAX(1,J$48))&gt;0,"–"&amp;TEXT((QUOTIENT(J$46,MAX(1,J$48))+1)/10,"0.0"),"")&amp;" 元／人")</f>
        <v>暫不分攤</v>
      </c>
      <c r="K9" s="21"/>
      <c r="L9" s="21" t="str">
        <f aca="false">IF(OR(NOT(L$47),L$48=0),"暫不分攤",TEXT(QUOTIENT(L$46,MAX(1,L$48))/10,"0.0")&amp;IF(MOD(L$46,MAX(1,L$48))&gt;0,"–"&amp;TEXT((QUOTIENT(L$46,MAX(1,L$48))+1)/10,"0.0"),"")&amp;" 元／人")</f>
        <v>暫不分攤</v>
      </c>
      <c r="M9" s="21"/>
      <c r="N9" s="21" t="str">
        <f aca="false">IF(OR(NOT(N$47),N$48=0),"暫不分攤",TEXT(QUOTIENT(N$46,MAX(1,N$48))/10,"0.0")&amp;IF(MOD(N$46,MAX(1,N$48))&gt;0,"–"&amp;TEXT((QUOTIENT(N$46,MAX(1,N$48))+1)/10,"0.0"),"")&amp;" 元／人")</f>
        <v>暫不分攤</v>
      </c>
      <c r="O9" s="21"/>
      <c r="P9" s="21" t="str">
        <f aca="false">IF(OR(NOT(P$47),P$48=0),"暫不分攤",TEXT(QUOTIENT(P$46,MAX(1,P$48))/10,"0.0")&amp;IF(MOD(P$46,MAX(1,P$48))&gt;0,"–"&amp;TEXT((QUOTIENT(P$46,MAX(1,P$48))+1)/10,"0.0"),"")&amp;" 元／人")</f>
        <v>暫不分攤</v>
      </c>
      <c r="Q9" s="21"/>
    </row>
    <row r="10" customFormat="false" ht="81.75" hidden="false" customHeight="true" outlineLevel="0" collapsed="false">
      <c r="B10" s="1" t="s">
        <v>53</v>
      </c>
      <c r="D10" s="22" t="str">
        <f aca="false">IF(NOT(D$47),"金額須為非負數且最多一位小數。 ","")&amp;IF(AND(D$46&gt;0,D$50,$C$3&lt;&gt;TRUE()),"未用車但有車資：保留金額，暫不分攤。 ","")&amp;IF(AND(D$46&gt;0,D$50,$C$3=TRUE(),$C$49=0),"請設定具名司機；車資暫不分攤。 ","")&amp;IF(AND(D$46&gt;0,D$48=0,NOT(AND(D$46&gt;0,D$50,$C$3&lt;&gt;TRUE())),NOT(AND(D$46&gt;0,D$50,$C$3=TRUE(),$C$49=0))),"沒有可分攤者。 ","")&amp;IF(AND(D$46&gt;0,LEN(TRIM(E7))=0),"請指定具名代墊者。","")</f>
        <v/>
      </c>
      <c r="E10" s="22"/>
      <c r="F10" s="22" t="str">
        <f aca="false">IF(NOT(F$47),"金額須為非負數且最多一位小數。 ","")&amp;IF(AND(F$46&gt;0,F$50,$C$3&lt;&gt;TRUE()),"未用車但有車資：保留金額，暫不分攤。 ","")&amp;IF(AND(F$46&gt;0,F$50,$C$3=TRUE(),$C$49=0),"請設定具名司機；車資暫不分攤。 ","")&amp;IF(AND(F$46&gt;0,F$48=0,NOT(AND(F$46&gt;0,F$50,$C$3&lt;&gt;TRUE())),NOT(AND(F$46&gt;0,F$50,$C$3=TRUE(),$C$49=0))),"沒有可分攤者。 ","")&amp;IF(AND(F$46&gt;0,LEN(TRIM(G7))=0),"請指定具名代墊者。","")</f>
        <v/>
      </c>
      <c r="G10" s="22"/>
      <c r="H10" s="22" t="str">
        <f aca="false">IF(NOT(H$47),"金額須為非負數且最多一位小數。 ","")&amp;IF(AND(H$46&gt;0,H$50,$C$3&lt;&gt;TRUE()),"未用車但有車資：保留金額，暫不分攤。 ","")&amp;IF(AND(H$46&gt;0,H$50,$C$3=TRUE(),$C$49=0),"請設定具名司機；車資暫不分攤。 ","")&amp;IF(AND(H$46&gt;0,H$48=0,NOT(AND(H$46&gt;0,H$50,$C$3&lt;&gt;TRUE())),NOT(AND(H$46&gt;0,H$50,$C$3=TRUE(),$C$49=0))),"沒有可分攤者。 ","")&amp;IF(AND(H$46&gt;0,LEN(TRIM(I7))=0),"請指定具名代墊者。","")</f>
        <v/>
      </c>
      <c r="I10" s="22"/>
      <c r="J10" s="22" t="str">
        <f aca="false">IF(NOT(J$47),"金額須為非負數且最多一位小數。 ","")&amp;IF(AND(J$46&gt;0,J$50,$C$3&lt;&gt;TRUE()),"未用車但有車資：保留金額，暫不分攤。 ","")&amp;IF(AND(J$46&gt;0,J$50,$C$3=TRUE(),$C$49=0),"請設定具名司機；車資暫不分攤。 ","")&amp;IF(AND(J$46&gt;0,J$48=0,NOT(AND(J$46&gt;0,J$50,$C$3&lt;&gt;TRUE())),NOT(AND(J$46&gt;0,J$50,$C$3=TRUE(),$C$49=0))),"沒有可分攤者。 ","")&amp;IF(AND(J$46&gt;0,LEN(TRIM(K7))=0),"請指定具名代墊者。","")</f>
        <v/>
      </c>
      <c r="K10" s="22"/>
      <c r="L10" s="22" t="str">
        <f aca="false">IF(NOT(L$47),"金額須為非負數且最多一位小數。 ","")&amp;IF(AND(L$46&gt;0,L$50,$C$3&lt;&gt;TRUE()),"未用車但有車資：保留金額，暫不分攤。 ","")&amp;IF(AND(L$46&gt;0,L$50,$C$3=TRUE(),$C$49=0),"請設定具名司機；車資暫不分攤。 ","")&amp;IF(AND(L$46&gt;0,L$48=0,NOT(AND(L$46&gt;0,L$50,$C$3&lt;&gt;TRUE())),NOT(AND(L$46&gt;0,L$50,$C$3=TRUE(),$C$49=0))),"沒有可分攤者。 ","")&amp;IF(AND(L$46&gt;0,LEN(TRIM(M7))=0),"請指定具名代墊者。","")</f>
        <v/>
      </c>
      <c r="M10" s="22"/>
      <c r="N10" s="22" t="str">
        <f aca="false">IF(NOT(N$47),"金額須為非負數且最多一位小數。 ","")&amp;IF(AND(N$46&gt;0,N$50,$C$3&lt;&gt;TRUE()),"未用車但有車資：保留金額，暫不分攤。 ","")&amp;IF(AND(N$46&gt;0,N$50,$C$3=TRUE(),$C$49=0),"請設定具名司機；車資暫不分攤。 ","")&amp;IF(AND(N$46&gt;0,N$48=0,NOT(AND(N$46&gt;0,N$50,$C$3&lt;&gt;TRUE())),NOT(AND(N$46&gt;0,N$50,$C$3=TRUE(),$C$49=0))),"沒有可分攤者。 ","")&amp;IF(AND(N$46&gt;0,LEN(TRIM(O7))=0),"請指定具名代墊者。","")</f>
        <v/>
      </c>
      <c r="O10" s="22"/>
      <c r="P10" s="22" t="str">
        <f aca="false">IF(NOT(P$47),"金額須為非負數且最多一位小數。 ","")&amp;IF(AND(P$46&gt;0,P$50,$C$3&lt;&gt;TRUE()),"未用車但有車資：保留金額，暫不分攤。 ","")&amp;IF(AND(P$46&gt;0,P$50,$C$3=TRUE(),$C$49=0),"請設定具名司機；車資暫不分攤。 ","")&amp;IF(AND(P$46&gt;0,P$48=0,NOT(AND(P$46&gt;0,P$50,$C$3&lt;&gt;TRUE())),NOT(AND(P$46&gt;0,P$50,$C$3=TRUE(),$C$49=0))),"沒有可分攤者。 ","")&amp;IF(AND(P$46&gt;0,LEN(TRIM(Q7))=0),"請指定具名代墊者。","")</f>
        <v/>
      </c>
      <c r="Q10" s="22"/>
    </row>
    <row r="11" customFormat="false" ht="30" hidden="false" customHeight="true" outlineLevel="0" collapsed="false">
      <c r="A11" s="3" t="s">
        <v>8</v>
      </c>
      <c r="B11" s="3" t="s">
        <v>9</v>
      </c>
      <c r="C11" s="3" t="s">
        <v>85</v>
      </c>
      <c r="D11" s="3" t="s">
        <v>86</v>
      </c>
      <c r="E11" s="3" t="s">
        <v>87</v>
      </c>
      <c r="F11" s="3" t="s">
        <v>86</v>
      </c>
      <c r="G11" s="3" t="s">
        <v>87</v>
      </c>
      <c r="H11" s="3" t="s">
        <v>86</v>
      </c>
      <c r="I11" s="3" t="s">
        <v>87</v>
      </c>
      <c r="J11" s="3" t="s">
        <v>86</v>
      </c>
      <c r="K11" s="3" t="s">
        <v>87</v>
      </c>
      <c r="L11" s="3" t="s">
        <v>86</v>
      </c>
      <c r="M11" s="3" t="s">
        <v>87</v>
      </c>
      <c r="N11" s="3" t="s">
        <v>86</v>
      </c>
      <c r="O11" s="3" t="s">
        <v>87</v>
      </c>
      <c r="P11" s="3" t="s">
        <v>86</v>
      </c>
      <c r="Q11" s="3" t="s">
        <v>87</v>
      </c>
    </row>
    <row r="12" customFormat="false" ht="27" hidden="false" customHeight="true" outlineLevel="0" collapsed="false">
      <c r="A12" s="8" t="s">
        <v>18</v>
      </c>
      <c r="B12" s="9" t="str">
        <f aca="false">IFERROR(INDEX(成員名單!$B$5:$B$34,MATCH($A12,成員名單!$A$5:$A$34,0))&amp;"","")</f>
        <v/>
      </c>
      <c r="C12" s="23" t="b">
        <f aca="false">FALSE()</f>
        <v>0</v>
      </c>
      <c r="D12" s="23" t="b">
        <f aca="false">FALSE()</f>
        <v>0</v>
      </c>
      <c r="E12" s="9" t="n">
        <f aca="false">D52/10</f>
        <v>0</v>
      </c>
      <c r="F12" s="23" t="b">
        <f aca="false">FALSE()</f>
        <v>0</v>
      </c>
      <c r="G12" s="9" t="n">
        <f aca="false">F52/10</f>
        <v>0</v>
      </c>
      <c r="H12" s="23" t="b">
        <f aca="false">FALSE()</f>
        <v>0</v>
      </c>
      <c r="I12" s="9" t="n">
        <f aca="false">H52/10</f>
        <v>0</v>
      </c>
      <c r="J12" s="23" t="b">
        <f aca="false">FALSE()</f>
        <v>0</v>
      </c>
      <c r="K12" s="9" t="n">
        <f aca="false">J52/10</f>
        <v>0</v>
      </c>
      <c r="L12" s="23" t="b">
        <f aca="false">FALSE()</f>
        <v>0</v>
      </c>
      <c r="M12" s="9" t="n">
        <f aca="false">L52/10</f>
        <v>0</v>
      </c>
      <c r="N12" s="23" t="b">
        <f aca="false">FALSE()</f>
        <v>0</v>
      </c>
      <c r="O12" s="9" t="n">
        <f aca="false">N52/10</f>
        <v>0</v>
      </c>
      <c r="P12" s="23" t="b">
        <f aca="false">FALSE()</f>
        <v>0</v>
      </c>
      <c r="Q12" s="9" t="n">
        <f aca="false">P52/10</f>
        <v>0</v>
      </c>
    </row>
    <row r="13" customFormat="false" ht="27" hidden="false" customHeight="true" outlineLevel="0" collapsed="false">
      <c r="A13" s="10" t="s">
        <v>19</v>
      </c>
      <c r="B13" s="11" t="str">
        <f aca="false">IFERROR(INDEX(成員名單!$B$5:$B$34,MATCH($A13,成員名單!$A$5:$A$34,0))&amp;"","")</f>
        <v/>
      </c>
      <c r="C13" s="23" t="b">
        <f aca="false">FALSE()</f>
        <v>0</v>
      </c>
      <c r="D13" s="23" t="b">
        <f aca="false">FALSE()</f>
        <v>0</v>
      </c>
      <c r="E13" s="11" t="n">
        <f aca="false">D53/10</f>
        <v>0</v>
      </c>
      <c r="F13" s="23" t="b">
        <f aca="false">FALSE()</f>
        <v>0</v>
      </c>
      <c r="G13" s="11" t="n">
        <f aca="false">F53/10</f>
        <v>0</v>
      </c>
      <c r="H13" s="23" t="b">
        <f aca="false">FALSE()</f>
        <v>0</v>
      </c>
      <c r="I13" s="11" t="n">
        <f aca="false">H53/10</f>
        <v>0</v>
      </c>
      <c r="J13" s="23" t="b">
        <f aca="false">FALSE()</f>
        <v>0</v>
      </c>
      <c r="K13" s="11" t="n">
        <f aca="false">J53/10</f>
        <v>0</v>
      </c>
      <c r="L13" s="23" t="b">
        <f aca="false">FALSE()</f>
        <v>0</v>
      </c>
      <c r="M13" s="11" t="n">
        <f aca="false">L53/10</f>
        <v>0</v>
      </c>
      <c r="N13" s="23" t="b">
        <f aca="false">FALSE()</f>
        <v>0</v>
      </c>
      <c r="O13" s="11" t="n">
        <f aca="false">N53/10</f>
        <v>0</v>
      </c>
      <c r="P13" s="23" t="b">
        <f aca="false">FALSE()</f>
        <v>0</v>
      </c>
      <c r="Q13" s="11" t="n">
        <f aca="false">P53/10</f>
        <v>0</v>
      </c>
    </row>
    <row r="14" customFormat="false" ht="27" hidden="false" customHeight="true" outlineLevel="0" collapsed="false">
      <c r="A14" s="8" t="s">
        <v>20</v>
      </c>
      <c r="B14" s="9" t="str">
        <f aca="false">IFERROR(INDEX(成員名單!$B$5:$B$34,MATCH($A14,成員名單!$A$5:$A$34,0))&amp;"","")</f>
        <v/>
      </c>
      <c r="C14" s="23" t="b">
        <f aca="false">FALSE()</f>
        <v>0</v>
      </c>
      <c r="D14" s="23" t="b">
        <f aca="false">FALSE()</f>
        <v>0</v>
      </c>
      <c r="E14" s="9" t="n">
        <f aca="false">D54/10</f>
        <v>0</v>
      </c>
      <c r="F14" s="23" t="b">
        <f aca="false">FALSE()</f>
        <v>0</v>
      </c>
      <c r="G14" s="9" t="n">
        <f aca="false">F54/10</f>
        <v>0</v>
      </c>
      <c r="H14" s="23" t="b">
        <f aca="false">FALSE()</f>
        <v>0</v>
      </c>
      <c r="I14" s="9" t="n">
        <f aca="false">H54/10</f>
        <v>0</v>
      </c>
      <c r="J14" s="23" t="b">
        <f aca="false">FALSE()</f>
        <v>0</v>
      </c>
      <c r="K14" s="9" t="n">
        <f aca="false">J54/10</f>
        <v>0</v>
      </c>
      <c r="L14" s="23" t="b">
        <f aca="false">FALSE()</f>
        <v>0</v>
      </c>
      <c r="M14" s="9" t="n">
        <f aca="false">L54/10</f>
        <v>0</v>
      </c>
      <c r="N14" s="23" t="b">
        <f aca="false">FALSE()</f>
        <v>0</v>
      </c>
      <c r="O14" s="9" t="n">
        <f aca="false">N54/10</f>
        <v>0</v>
      </c>
      <c r="P14" s="23" t="b">
        <f aca="false">FALSE()</f>
        <v>0</v>
      </c>
      <c r="Q14" s="9" t="n">
        <f aca="false">P54/10</f>
        <v>0</v>
      </c>
    </row>
    <row r="15" customFormat="false" ht="27" hidden="false" customHeight="true" outlineLevel="0" collapsed="false">
      <c r="A15" s="10" t="s">
        <v>21</v>
      </c>
      <c r="B15" s="11" t="str">
        <f aca="false">IFERROR(INDEX(成員名單!$B$5:$B$34,MATCH($A15,成員名單!$A$5:$A$34,0))&amp;"","")</f>
        <v/>
      </c>
      <c r="C15" s="23" t="b">
        <f aca="false">FALSE()</f>
        <v>0</v>
      </c>
      <c r="D15" s="23" t="b">
        <f aca="false">FALSE()</f>
        <v>0</v>
      </c>
      <c r="E15" s="11" t="n">
        <f aca="false">D55/10</f>
        <v>0</v>
      </c>
      <c r="F15" s="23" t="b">
        <f aca="false">FALSE()</f>
        <v>0</v>
      </c>
      <c r="G15" s="11" t="n">
        <f aca="false">F55/10</f>
        <v>0</v>
      </c>
      <c r="H15" s="23" t="b">
        <f aca="false">FALSE()</f>
        <v>0</v>
      </c>
      <c r="I15" s="11" t="n">
        <f aca="false">H55/10</f>
        <v>0</v>
      </c>
      <c r="J15" s="23" t="b">
        <f aca="false">FALSE()</f>
        <v>0</v>
      </c>
      <c r="K15" s="11" t="n">
        <f aca="false">J55/10</f>
        <v>0</v>
      </c>
      <c r="L15" s="23" t="b">
        <f aca="false">FALSE()</f>
        <v>0</v>
      </c>
      <c r="M15" s="11" t="n">
        <f aca="false">L55/10</f>
        <v>0</v>
      </c>
      <c r="N15" s="23" t="b">
        <f aca="false">FALSE()</f>
        <v>0</v>
      </c>
      <c r="O15" s="11" t="n">
        <f aca="false">N55/10</f>
        <v>0</v>
      </c>
      <c r="P15" s="23" t="b">
        <f aca="false">FALSE()</f>
        <v>0</v>
      </c>
      <c r="Q15" s="11" t="n">
        <f aca="false">P55/10</f>
        <v>0</v>
      </c>
    </row>
    <row r="16" customFormat="false" ht="27" hidden="false" customHeight="true" outlineLevel="0" collapsed="false">
      <c r="A16" s="8" t="s">
        <v>22</v>
      </c>
      <c r="B16" s="9" t="str">
        <f aca="false">IFERROR(INDEX(成員名單!$B$5:$B$34,MATCH($A16,成員名單!$A$5:$A$34,0))&amp;"","")</f>
        <v/>
      </c>
      <c r="C16" s="23" t="b">
        <f aca="false">FALSE()</f>
        <v>0</v>
      </c>
      <c r="D16" s="23" t="b">
        <f aca="false">FALSE()</f>
        <v>0</v>
      </c>
      <c r="E16" s="9" t="n">
        <f aca="false">D56/10</f>
        <v>0</v>
      </c>
      <c r="F16" s="23" t="b">
        <f aca="false">FALSE()</f>
        <v>0</v>
      </c>
      <c r="G16" s="9" t="n">
        <f aca="false">F56/10</f>
        <v>0</v>
      </c>
      <c r="H16" s="23" t="b">
        <f aca="false">FALSE()</f>
        <v>0</v>
      </c>
      <c r="I16" s="9" t="n">
        <f aca="false">H56/10</f>
        <v>0</v>
      </c>
      <c r="J16" s="23" t="b">
        <f aca="false">FALSE()</f>
        <v>0</v>
      </c>
      <c r="K16" s="9" t="n">
        <f aca="false">J56/10</f>
        <v>0</v>
      </c>
      <c r="L16" s="23" t="b">
        <f aca="false">FALSE()</f>
        <v>0</v>
      </c>
      <c r="M16" s="9" t="n">
        <f aca="false">L56/10</f>
        <v>0</v>
      </c>
      <c r="N16" s="23" t="b">
        <f aca="false">FALSE()</f>
        <v>0</v>
      </c>
      <c r="O16" s="9" t="n">
        <f aca="false">N56/10</f>
        <v>0</v>
      </c>
      <c r="P16" s="23" t="b">
        <f aca="false">FALSE()</f>
        <v>0</v>
      </c>
      <c r="Q16" s="9" t="n">
        <f aca="false">P56/10</f>
        <v>0</v>
      </c>
    </row>
    <row r="17" customFormat="false" ht="27" hidden="false" customHeight="true" outlineLevel="0" collapsed="false">
      <c r="A17" s="10" t="s">
        <v>23</v>
      </c>
      <c r="B17" s="11" t="str">
        <f aca="false">IFERROR(INDEX(成員名單!$B$5:$B$34,MATCH($A17,成員名單!$A$5:$A$34,0))&amp;"","")</f>
        <v/>
      </c>
      <c r="C17" s="23" t="b">
        <f aca="false">FALSE()</f>
        <v>0</v>
      </c>
      <c r="D17" s="23" t="b">
        <f aca="false">FALSE()</f>
        <v>0</v>
      </c>
      <c r="E17" s="11" t="n">
        <f aca="false">D57/10</f>
        <v>0</v>
      </c>
      <c r="F17" s="23" t="b">
        <f aca="false">FALSE()</f>
        <v>0</v>
      </c>
      <c r="G17" s="11" t="n">
        <f aca="false">F57/10</f>
        <v>0</v>
      </c>
      <c r="H17" s="23" t="b">
        <f aca="false">FALSE()</f>
        <v>0</v>
      </c>
      <c r="I17" s="11" t="n">
        <f aca="false">H57/10</f>
        <v>0</v>
      </c>
      <c r="J17" s="23" t="b">
        <f aca="false">FALSE()</f>
        <v>0</v>
      </c>
      <c r="K17" s="11" t="n">
        <f aca="false">J57/10</f>
        <v>0</v>
      </c>
      <c r="L17" s="23" t="b">
        <f aca="false">FALSE()</f>
        <v>0</v>
      </c>
      <c r="M17" s="11" t="n">
        <f aca="false">L57/10</f>
        <v>0</v>
      </c>
      <c r="N17" s="23" t="b">
        <f aca="false">FALSE()</f>
        <v>0</v>
      </c>
      <c r="O17" s="11" t="n">
        <f aca="false">N57/10</f>
        <v>0</v>
      </c>
      <c r="P17" s="23" t="b">
        <f aca="false">FALSE()</f>
        <v>0</v>
      </c>
      <c r="Q17" s="11" t="n">
        <f aca="false">P57/10</f>
        <v>0</v>
      </c>
    </row>
    <row r="18" customFormat="false" ht="27" hidden="false" customHeight="true" outlineLevel="0" collapsed="false">
      <c r="A18" s="8" t="s">
        <v>24</v>
      </c>
      <c r="B18" s="9" t="str">
        <f aca="false">IFERROR(INDEX(成員名單!$B$5:$B$34,MATCH($A18,成員名單!$A$5:$A$34,0))&amp;"","")</f>
        <v/>
      </c>
      <c r="C18" s="23" t="b">
        <f aca="false">FALSE()</f>
        <v>0</v>
      </c>
      <c r="D18" s="23" t="b">
        <f aca="false">FALSE()</f>
        <v>0</v>
      </c>
      <c r="E18" s="9" t="n">
        <f aca="false">D58/10</f>
        <v>0</v>
      </c>
      <c r="F18" s="23" t="b">
        <f aca="false">FALSE()</f>
        <v>0</v>
      </c>
      <c r="G18" s="9" t="n">
        <f aca="false">F58/10</f>
        <v>0</v>
      </c>
      <c r="H18" s="23" t="b">
        <f aca="false">FALSE()</f>
        <v>0</v>
      </c>
      <c r="I18" s="9" t="n">
        <f aca="false">H58/10</f>
        <v>0</v>
      </c>
      <c r="J18" s="23" t="b">
        <f aca="false">FALSE()</f>
        <v>0</v>
      </c>
      <c r="K18" s="9" t="n">
        <f aca="false">J58/10</f>
        <v>0</v>
      </c>
      <c r="L18" s="23" t="b">
        <f aca="false">FALSE()</f>
        <v>0</v>
      </c>
      <c r="M18" s="9" t="n">
        <f aca="false">L58/10</f>
        <v>0</v>
      </c>
      <c r="N18" s="23" t="b">
        <f aca="false">FALSE()</f>
        <v>0</v>
      </c>
      <c r="O18" s="9" t="n">
        <f aca="false">N58/10</f>
        <v>0</v>
      </c>
      <c r="P18" s="23" t="b">
        <f aca="false">FALSE()</f>
        <v>0</v>
      </c>
      <c r="Q18" s="9" t="n">
        <f aca="false">P58/10</f>
        <v>0</v>
      </c>
    </row>
    <row r="19" customFormat="false" ht="27" hidden="false" customHeight="true" outlineLevel="0" collapsed="false">
      <c r="A19" s="10" t="s">
        <v>25</v>
      </c>
      <c r="B19" s="11" t="str">
        <f aca="false">IFERROR(INDEX(成員名單!$B$5:$B$34,MATCH($A19,成員名單!$A$5:$A$34,0))&amp;"","")</f>
        <v/>
      </c>
      <c r="C19" s="23" t="b">
        <f aca="false">FALSE()</f>
        <v>0</v>
      </c>
      <c r="D19" s="23" t="b">
        <f aca="false">FALSE()</f>
        <v>0</v>
      </c>
      <c r="E19" s="11" t="n">
        <f aca="false">D59/10</f>
        <v>0</v>
      </c>
      <c r="F19" s="23" t="b">
        <f aca="false">FALSE()</f>
        <v>0</v>
      </c>
      <c r="G19" s="11" t="n">
        <f aca="false">F59/10</f>
        <v>0</v>
      </c>
      <c r="H19" s="23" t="b">
        <f aca="false">FALSE()</f>
        <v>0</v>
      </c>
      <c r="I19" s="11" t="n">
        <f aca="false">H59/10</f>
        <v>0</v>
      </c>
      <c r="J19" s="23" t="b">
        <f aca="false">FALSE()</f>
        <v>0</v>
      </c>
      <c r="K19" s="11" t="n">
        <f aca="false">J59/10</f>
        <v>0</v>
      </c>
      <c r="L19" s="23" t="b">
        <f aca="false">FALSE()</f>
        <v>0</v>
      </c>
      <c r="M19" s="11" t="n">
        <f aca="false">L59/10</f>
        <v>0</v>
      </c>
      <c r="N19" s="23" t="b">
        <f aca="false">FALSE()</f>
        <v>0</v>
      </c>
      <c r="O19" s="11" t="n">
        <f aca="false">N59/10</f>
        <v>0</v>
      </c>
      <c r="P19" s="23" t="b">
        <f aca="false">FALSE()</f>
        <v>0</v>
      </c>
      <c r="Q19" s="11" t="n">
        <f aca="false">P59/10</f>
        <v>0</v>
      </c>
    </row>
    <row r="20" customFormat="false" ht="27" hidden="false" customHeight="true" outlineLevel="0" collapsed="false">
      <c r="A20" s="8" t="s">
        <v>26</v>
      </c>
      <c r="B20" s="9" t="str">
        <f aca="false">IFERROR(INDEX(成員名單!$B$5:$B$34,MATCH($A20,成員名單!$A$5:$A$34,0))&amp;"","")</f>
        <v/>
      </c>
      <c r="C20" s="23" t="b">
        <f aca="false">FALSE()</f>
        <v>0</v>
      </c>
      <c r="D20" s="23" t="b">
        <f aca="false">FALSE()</f>
        <v>0</v>
      </c>
      <c r="E20" s="9" t="n">
        <f aca="false">D60/10</f>
        <v>0</v>
      </c>
      <c r="F20" s="23" t="b">
        <f aca="false">FALSE()</f>
        <v>0</v>
      </c>
      <c r="G20" s="9" t="n">
        <f aca="false">F60/10</f>
        <v>0</v>
      </c>
      <c r="H20" s="23" t="b">
        <f aca="false">FALSE()</f>
        <v>0</v>
      </c>
      <c r="I20" s="9" t="n">
        <f aca="false">H60/10</f>
        <v>0</v>
      </c>
      <c r="J20" s="23" t="b">
        <f aca="false">FALSE()</f>
        <v>0</v>
      </c>
      <c r="K20" s="9" t="n">
        <f aca="false">J60/10</f>
        <v>0</v>
      </c>
      <c r="L20" s="23" t="b">
        <f aca="false">FALSE()</f>
        <v>0</v>
      </c>
      <c r="M20" s="9" t="n">
        <f aca="false">L60/10</f>
        <v>0</v>
      </c>
      <c r="N20" s="23" t="b">
        <f aca="false">FALSE()</f>
        <v>0</v>
      </c>
      <c r="O20" s="9" t="n">
        <f aca="false">N60/10</f>
        <v>0</v>
      </c>
      <c r="P20" s="23" t="b">
        <f aca="false">FALSE()</f>
        <v>0</v>
      </c>
      <c r="Q20" s="9" t="n">
        <f aca="false">P60/10</f>
        <v>0</v>
      </c>
    </row>
    <row r="21" customFormat="false" ht="27" hidden="false" customHeight="true" outlineLevel="0" collapsed="false">
      <c r="A21" s="10" t="s">
        <v>27</v>
      </c>
      <c r="B21" s="11" t="str">
        <f aca="false">IFERROR(INDEX(成員名單!$B$5:$B$34,MATCH($A21,成員名單!$A$5:$A$34,0))&amp;"","")</f>
        <v/>
      </c>
      <c r="C21" s="23" t="b">
        <f aca="false">FALSE()</f>
        <v>0</v>
      </c>
      <c r="D21" s="23" t="b">
        <f aca="false">FALSE()</f>
        <v>0</v>
      </c>
      <c r="E21" s="11" t="n">
        <f aca="false">D61/10</f>
        <v>0</v>
      </c>
      <c r="F21" s="23" t="b">
        <f aca="false">FALSE()</f>
        <v>0</v>
      </c>
      <c r="G21" s="11" t="n">
        <f aca="false">F61/10</f>
        <v>0</v>
      </c>
      <c r="H21" s="23" t="b">
        <f aca="false">FALSE()</f>
        <v>0</v>
      </c>
      <c r="I21" s="11" t="n">
        <f aca="false">H61/10</f>
        <v>0</v>
      </c>
      <c r="J21" s="23" t="b">
        <f aca="false">FALSE()</f>
        <v>0</v>
      </c>
      <c r="K21" s="11" t="n">
        <f aca="false">J61/10</f>
        <v>0</v>
      </c>
      <c r="L21" s="23" t="b">
        <f aca="false">FALSE()</f>
        <v>0</v>
      </c>
      <c r="M21" s="11" t="n">
        <f aca="false">L61/10</f>
        <v>0</v>
      </c>
      <c r="N21" s="23" t="b">
        <f aca="false">FALSE()</f>
        <v>0</v>
      </c>
      <c r="O21" s="11" t="n">
        <f aca="false">N61/10</f>
        <v>0</v>
      </c>
      <c r="P21" s="23" t="b">
        <f aca="false">FALSE()</f>
        <v>0</v>
      </c>
      <c r="Q21" s="11" t="n">
        <f aca="false">P61/10</f>
        <v>0</v>
      </c>
    </row>
    <row r="22" customFormat="false" ht="27" hidden="false" customHeight="true" outlineLevel="0" collapsed="false">
      <c r="A22" s="8" t="s">
        <v>28</v>
      </c>
      <c r="B22" s="9" t="str">
        <f aca="false">IFERROR(INDEX(成員名單!$B$5:$B$34,MATCH($A22,成員名單!$A$5:$A$34,0))&amp;"","")</f>
        <v/>
      </c>
      <c r="C22" s="23" t="b">
        <f aca="false">FALSE()</f>
        <v>0</v>
      </c>
      <c r="D22" s="23" t="b">
        <f aca="false">FALSE()</f>
        <v>0</v>
      </c>
      <c r="E22" s="9" t="n">
        <f aca="false">D62/10</f>
        <v>0</v>
      </c>
      <c r="F22" s="23" t="b">
        <f aca="false">FALSE()</f>
        <v>0</v>
      </c>
      <c r="G22" s="9" t="n">
        <f aca="false">F62/10</f>
        <v>0</v>
      </c>
      <c r="H22" s="23" t="b">
        <f aca="false">FALSE()</f>
        <v>0</v>
      </c>
      <c r="I22" s="9" t="n">
        <f aca="false">H62/10</f>
        <v>0</v>
      </c>
      <c r="J22" s="23" t="b">
        <f aca="false">FALSE()</f>
        <v>0</v>
      </c>
      <c r="K22" s="9" t="n">
        <f aca="false">J62/10</f>
        <v>0</v>
      </c>
      <c r="L22" s="23" t="b">
        <f aca="false">FALSE()</f>
        <v>0</v>
      </c>
      <c r="M22" s="9" t="n">
        <f aca="false">L62/10</f>
        <v>0</v>
      </c>
      <c r="N22" s="23" t="b">
        <f aca="false">FALSE()</f>
        <v>0</v>
      </c>
      <c r="O22" s="9" t="n">
        <f aca="false">N62/10</f>
        <v>0</v>
      </c>
      <c r="P22" s="23" t="b">
        <f aca="false">FALSE()</f>
        <v>0</v>
      </c>
      <c r="Q22" s="9" t="n">
        <f aca="false">P62/10</f>
        <v>0</v>
      </c>
    </row>
    <row r="23" customFormat="false" ht="27" hidden="false" customHeight="true" outlineLevel="0" collapsed="false">
      <c r="A23" s="10" t="s">
        <v>29</v>
      </c>
      <c r="B23" s="11" t="str">
        <f aca="false">IFERROR(INDEX(成員名單!$B$5:$B$34,MATCH($A23,成員名單!$A$5:$A$34,0))&amp;"","")</f>
        <v/>
      </c>
      <c r="C23" s="23" t="b">
        <f aca="false">FALSE()</f>
        <v>0</v>
      </c>
      <c r="D23" s="23" t="b">
        <f aca="false">FALSE()</f>
        <v>0</v>
      </c>
      <c r="E23" s="11" t="n">
        <f aca="false">D63/10</f>
        <v>0</v>
      </c>
      <c r="F23" s="23" t="b">
        <f aca="false">FALSE()</f>
        <v>0</v>
      </c>
      <c r="G23" s="11" t="n">
        <f aca="false">F63/10</f>
        <v>0</v>
      </c>
      <c r="H23" s="23" t="b">
        <f aca="false">FALSE()</f>
        <v>0</v>
      </c>
      <c r="I23" s="11" t="n">
        <f aca="false">H63/10</f>
        <v>0</v>
      </c>
      <c r="J23" s="23" t="b">
        <f aca="false">FALSE()</f>
        <v>0</v>
      </c>
      <c r="K23" s="11" t="n">
        <f aca="false">J63/10</f>
        <v>0</v>
      </c>
      <c r="L23" s="23" t="b">
        <f aca="false">FALSE()</f>
        <v>0</v>
      </c>
      <c r="M23" s="11" t="n">
        <f aca="false">L63/10</f>
        <v>0</v>
      </c>
      <c r="N23" s="23" t="b">
        <f aca="false">FALSE()</f>
        <v>0</v>
      </c>
      <c r="O23" s="11" t="n">
        <f aca="false">N63/10</f>
        <v>0</v>
      </c>
      <c r="P23" s="23" t="b">
        <f aca="false">FALSE()</f>
        <v>0</v>
      </c>
      <c r="Q23" s="11" t="n">
        <f aca="false">P63/10</f>
        <v>0</v>
      </c>
    </row>
    <row r="24" customFormat="false" ht="27" hidden="false" customHeight="true" outlineLevel="0" collapsed="false">
      <c r="A24" s="8" t="s">
        <v>30</v>
      </c>
      <c r="B24" s="9" t="str">
        <f aca="false">IFERROR(INDEX(成員名單!$B$5:$B$34,MATCH($A24,成員名單!$A$5:$A$34,0))&amp;"","")</f>
        <v/>
      </c>
      <c r="C24" s="23" t="b">
        <f aca="false">FALSE()</f>
        <v>0</v>
      </c>
      <c r="D24" s="23" t="b">
        <f aca="false">FALSE()</f>
        <v>0</v>
      </c>
      <c r="E24" s="9" t="n">
        <f aca="false">D64/10</f>
        <v>0</v>
      </c>
      <c r="F24" s="23" t="b">
        <f aca="false">FALSE()</f>
        <v>0</v>
      </c>
      <c r="G24" s="9" t="n">
        <f aca="false">F64/10</f>
        <v>0</v>
      </c>
      <c r="H24" s="23" t="b">
        <f aca="false">FALSE()</f>
        <v>0</v>
      </c>
      <c r="I24" s="9" t="n">
        <f aca="false">H64/10</f>
        <v>0</v>
      </c>
      <c r="J24" s="23" t="b">
        <f aca="false">FALSE()</f>
        <v>0</v>
      </c>
      <c r="K24" s="9" t="n">
        <f aca="false">J64/10</f>
        <v>0</v>
      </c>
      <c r="L24" s="23" t="b">
        <f aca="false">FALSE()</f>
        <v>0</v>
      </c>
      <c r="M24" s="9" t="n">
        <f aca="false">L64/10</f>
        <v>0</v>
      </c>
      <c r="N24" s="23" t="b">
        <f aca="false">FALSE()</f>
        <v>0</v>
      </c>
      <c r="O24" s="9" t="n">
        <f aca="false">N64/10</f>
        <v>0</v>
      </c>
      <c r="P24" s="23" t="b">
        <f aca="false">FALSE()</f>
        <v>0</v>
      </c>
      <c r="Q24" s="9" t="n">
        <f aca="false">P64/10</f>
        <v>0</v>
      </c>
    </row>
    <row r="25" customFormat="false" ht="27" hidden="false" customHeight="true" outlineLevel="0" collapsed="false">
      <c r="A25" s="10" t="s">
        <v>31</v>
      </c>
      <c r="B25" s="11" t="str">
        <f aca="false">IFERROR(INDEX(成員名單!$B$5:$B$34,MATCH($A25,成員名單!$A$5:$A$34,0))&amp;"","")</f>
        <v/>
      </c>
      <c r="C25" s="23" t="b">
        <f aca="false">FALSE()</f>
        <v>0</v>
      </c>
      <c r="D25" s="23" t="b">
        <f aca="false">FALSE()</f>
        <v>0</v>
      </c>
      <c r="E25" s="11" t="n">
        <f aca="false">D65/10</f>
        <v>0</v>
      </c>
      <c r="F25" s="23" t="b">
        <f aca="false">FALSE()</f>
        <v>0</v>
      </c>
      <c r="G25" s="11" t="n">
        <f aca="false">F65/10</f>
        <v>0</v>
      </c>
      <c r="H25" s="23" t="b">
        <f aca="false">FALSE()</f>
        <v>0</v>
      </c>
      <c r="I25" s="11" t="n">
        <f aca="false">H65/10</f>
        <v>0</v>
      </c>
      <c r="J25" s="23" t="b">
        <f aca="false">FALSE()</f>
        <v>0</v>
      </c>
      <c r="K25" s="11" t="n">
        <f aca="false">J65/10</f>
        <v>0</v>
      </c>
      <c r="L25" s="23" t="b">
        <f aca="false">FALSE()</f>
        <v>0</v>
      </c>
      <c r="M25" s="11" t="n">
        <f aca="false">L65/10</f>
        <v>0</v>
      </c>
      <c r="N25" s="23" t="b">
        <f aca="false">FALSE()</f>
        <v>0</v>
      </c>
      <c r="O25" s="11" t="n">
        <f aca="false">N65/10</f>
        <v>0</v>
      </c>
      <c r="P25" s="23" t="b">
        <f aca="false">FALSE()</f>
        <v>0</v>
      </c>
      <c r="Q25" s="11" t="n">
        <f aca="false">P65/10</f>
        <v>0</v>
      </c>
    </row>
    <row r="26" customFormat="false" ht="27" hidden="false" customHeight="true" outlineLevel="0" collapsed="false">
      <c r="A26" s="8" t="s">
        <v>32</v>
      </c>
      <c r="B26" s="9" t="str">
        <f aca="false">IFERROR(INDEX(成員名單!$B$5:$B$34,MATCH($A26,成員名單!$A$5:$A$34,0))&amp;"","")</f>
        <v/>
      </c>
      <c r="C26" s="23" t="b">
        <f aca="false">FALSE()</f>
        <v>0</v>
      </c>
      <c r="D26" s="23" t="b">
        <f aca="false">FALSE()</f>
        <v>0</v>
      </c>
      <c r="E26" s="9" t="n">
        <f aca="false">D66/10</f>
        <v>0</v>
      </c>
      <c r="F26" s="23" t="b">
        <f aca="false">FALSE()</f>
        <v>0</v>
      </c>
      <c r="G26" s="9" t="n">
        <f aca="false">F66/10</f>
        <v>0</v>
      </c>
      <c r="H26" s="23" t="b">
        <f aca="false">FALSE()</f>
        <v>0</v>
      </c>
      <c r="I26" s="9" t="n">
        <f aca="false">H66/10</f>
        <v>0</v>
      </c>
      <c r="J26" s="23" t="b">
        <f aca="false">FALSE()</f>
        <v>0</v>
      </c>
      <c r="K26" s="9" t="n">
        <f aca="false">J66/10</f>
        <v>0</v>
      </c>
      <c r="L26" s="23" t="b">
        <f aca="false">FALSE()</f>
        <v>0</v>
      </c>
      <c r="M26" s="9" t="n">
        <f aca="false">L66/10</f>
        <v>0</v>
      </c>
      <c r="N26" s="23" t="b">
        <f aca="false">FALSE()</f>
        <v>0</v>
      </c>
      <c r="O26" s="9" t="n">
        <f aca="false">N66/10</f>
        <v>0</v>
      </c>
      <c r="P26" s="23" t="b">
        <f aca="false">FALSE()</f>
        <v>0</v>
      </c>
      <c r="Q26" s="9" t="n">
        <f aca="false">P66/10</f>
        <v>0</v>
      </c>
    </row>
    <row r="27" customFormat="false" ht="27" hidden="false" customHeight="true" outlineLevel="0" collapsed="false">
      <c r="A27" s="10" t="s">
        <v>33</v>
      </c>
      <c r="B27" s="11" t="str">
        <f aca="false">IFERROR(INDEX(成員名單!$B$5:$B$34,MATCH($A27,成員名單!$A$5:$A$34,0))&amp;"","")</f>
        <v/>
      </c>
      <c r="C27" s="23" t="b">
        <f aca="false">FALSE()</f>
        <v>0</v>
      </c>
      <c r="D27" s="23" t="b">
        <f aca="false">FALSE()</f>
        <v>0</v>
      </c>
      <c r="E27" s="11" t="n">
        <f aca="false">D67/10</f>
        <v>0</v>
      </c>
      <c r="F27" s="23" t="b">
        <f aca="false">FALSE()</f>
        <v>0</v>
      </c>
      <c r="G27" s="11" t="n">
        <f aca="false">F67/10</f>
        <v>0</v>
      </c>
      <c r="H27" s="23" t="b">
        <f aca="false">FALSE()</f>
        <v>0</v>
      </c>
      <c r="I27" s="11" t="n">
        <f aca="false">H67/10</f>
        <v>0</v>
      </c>
      <c r="J27" s="23" t="b">
        <f aca="false">FALSE()</f>
        <v>0</v>
      </c>
      <c r="K27" s="11" t="n">
        <f aca="false">J67/10</f>
        <v>0</v>
      </c>
      <c r="L27" s="23" t="b">
        <f aca="false">FALSE()</f>
        <v>0</v>
      </c>
      <c r="M27" s="11" t="n">
        <f aca="false">L67/10</f>
        <v>0</v>
      </c>
      <c r="N27" s="23" t="b">
        <f aca="false">FALSE()</f>
        <v>0</v>
      </c>
      <c r="O27" s="11" t="n">
        <f aca="false">N67/10</f>
        <v>0</v>
      </c>
      <c r="P27" s="23" t="b">
        <f aca="false">FALSE()</f>
        <v>0</v>
      </c>
      <c r="Q27" s="11" t="n">
        <f aca="false">P67/10</f>
        <v>0</v>
      </c>
    </row>
    <row r="28" customFormat="false" ht="27" hidden="false" customHeight="true" outlineLevel="0" collapsed="false">
      <c r="A28" s="8" t="s">
        <v>34</v>
      </c>
      <c r="B28" s="9" t="str">
        <f aca="false">IFERROR(INDEX(成員名單!$B$5:$B$34,MATCH($A28,成員名單!$A$5:$A$34,0))&amp;"","")</f>
        <v/>
      </c>
      <c r="C28" s="23" t="b">
        <f aca="false">FALSE()</f>
        <v>0</v>
      </c>
      <c r="D28" s="23" t="b">
        <f aca="false">FALSE()</f>
        <v>0</v>
      </c>
      <c r="E28" s="9" t="n">
        <f aca="false">D68/10</f>
        <v>0</v>
      </c>
      <c r="F28" s="23" t="b">
        <f aca="false">FALSE()</f>
        <v>0</v>
      </c>
      <c r="G28" s="9" t="n">
        <f aca="false">F68/10</f>
        <v>0</v>
      </c>
      <c r="H28" s="23" t="b">
        <f aca="false">FALSE()</f>
        <v>0</v>
      </c>
      <c r="I28" s="9" t="n">
        <f aca="false">H68/10</f>
        <v>0</v>
      </c>
      <c r="J28" s="23" t="b">
        <f aca="false">FALSE()</f>
        <v>0</v>
      </c>
      <c r="K28" s="9" t="n">
        <f aca="false">J68/10</f>
        <v>0</v>
      </c>
      <c r="L28" s="23" t="b">
        <f aca="false">FALSE()</f>
        <v>0</v>
      </c>
      <c r="M28" s="9" t="n">
        <f aca="false">L68/10</f>
        <v>0</v>
      </c>
      <c r="N28" s="23" t="b">
        <f aca="false">FALSE()</f>
        <v>0</v>
      </c>
      <c r="O28" s="9" t="n">
        <f aca="false">N68/10</f>
        <v>0</v>
      </c>
      <c r="P28" s="23" t="b">
        <f aca="false">FALSE()</f>
        <v>0</v>
      </c>
      <c r="Q28" s="9" t="n">
        <f aca="false">P68/10</f>
        <v>0</v>
      </c>
    </row>
    <row r="29" customFormat="false" ht="27" hidden="false" customHeight="true" outlineLevel="0" collapsed="false">
      <c r="A29" s="10" t="s">
        <v>35</v>
      </c>
      <c r="B29" s="11" t="str">
        <f aca="false">IFERROR(INDEX(成員名單!$B$5:$B$34,MATCH($A29,成員名單!$A$5:$A$34,0))&amp;"","")</f>
        <v/>
      </c>
      <c r="C29" s="23" t="b">
        <f aca="false">FALSE()</f>
        <v>0</v>
      </c>
      <c r="D29" s="23" t="b">
        <f aca="false">FALSE()</f>
        <v>0</v>
      </c>
      <c r="E29" s="11" t="n">
        <f aca="false">D69/10</f>
        <v>0</v>
      </c>
      <c r="F29" s="23" t="b">
        <f aca="false">FALSE()</f>
        <v>0</v>
      </c>
      <c r="G29" s="11" t="n">
        <f aca="false">F69/10</f>
        <v>0</v>
      </c>
      <c r="H29" s="23" t="b">
        <f aca="false">FALSE()</f>
        <v>0</v>
      </c>
      <c r="I29" s="11" t="n">
        <f aca="false">H69/10</f>
        <v>0</v>
      </c>
      <c r="J29" s="23" t="b">
        <f aca="false">FALSE()</f>
        <v>0</v>
      </c>
      <c r="K29" s="11" t="n">
        <f aca="false">J69/10</f>
        <v>0</v>
      </c>
      <c r="L29" s="23" t="b">
        <f aca="false">FALSE()</f>
        <v>0</v>
      </c>
      <c r="M29" s="11" t="n">
        <f aca="false">L69/10</f>
        <v>0</v>
      </c>
      <c r="N29" s="23" t="b">
        <f aca="false">FALSE()</f>
        <v>0</v>
      </c>
      <c r="O29" s="11" t="n">
        <f aca="false">N69/10</f>
        <v>0</v>
      </c>
      <c r="P29" s="23" t="b">
        <f aca="false">FALSE()</f>
        <v>0</v>
      </c>
      <c r="Q29" s="11" t="n">
        <f aca="false">P69/10</f>
        <v>0</v>
      </c>
    </row>
    <row r="30" customFormat="false" ht="27" hidden="false" customHeight="true" outlineLevel="0" collapsed="false">
      <c r="A30" s="8" t="s">
        <v>36</v>
      </c>
      <c r="B30" s="9" t="str">
        <f aca="false">IFERROR(INDEX(成員名單!$B$5:$B$34,MATCH($A30,成員名單!$A$5:$A$34,0))&amp;"","")</f>
        <v/>
      </c>
      <c r="C30" s="23" t="b">
        <f aca="false">FALSE()</f>
        <v>0</v>
      </c>
      <c r="D30" s="23" t="b">
        <f aca="false">FALSE()</f>
        <v>0</v>
      </c>
      <c r="E30" s="9" t="n">
        <f aca="false">D70/10</f>
        <v>0</v>
      </c>
      <c r="F30" s="23" t="b">
        <f aca="false">FALSE()</f>
        <v>0</v>
      </c>
      <c r="G30" s="9" t="n">
        <f aca="false">F70/10</f>
        <v>0</v>
      </c>
      <c r="H30" s="23" t="b">
        <f aca="false">FALSE()</f>
        <v>0</v>
      </c>
      <c r="I30" s="9" t="n">
        <f aca="false">H70/10</f>
        <v>0</v>
      </c>
      <c r="J30" s="23" t="b">
        <f aca="false">FALSE()</f>
        <v>0</v>
      </c>
      <c r="K30" s="9" t="n">
        <f aca="false">J70/10</f>
        <v>0</v>
      </c>
      <c r="L30" s="23" t="b">
        <f aca="false">FALSE()</f>
        <v>0</v>
      </c>
      <c r="M30" s="9" t="n">
        <f aca="false">L70/10</f>
        <v>0</v>
      </c>
      <c r="N30" s="23" t="b">
        <f aca="false">FALSE()</f>
        <v>0</v>
      </c>
      <c r="O30" s="9" t="n">
        <f aca="false">N70/10</f>
        <v>0</v>
      </c>
      <c r="P30" s="23" t="b">
        <f aca="false">FALSE()</f>
        <v>0</v>
      </c>
      <c r="Q30" s="9" t="n">
        <f aca="false">P70/10</f>
        <v>0</v>
      </c>
    </row>
    <row r="31" customFormat="false" ht="27" hidden="false" customHeight="true" outlineLevel="0" collapsed="false">
      <c r="A31" s="10" t="s">
        <v>37</v>
      </c>
      <c r="B31" s="11" t="str">
        <f aca="false">IFERROR(INDEX(成員名單!$B$5:$B$34,MATCH($A31,成員名單!$A$5:$A$34,0))&amp;"","")</f>
        <v/>
      </c>
      <c r="C31" s="23" t="b">
        <f aca="false">FALSE()</f>
        <v>0</v>
      </c>
      <c r="D31" s="23" t="b">
        <f aca="false">FALSE()</f>
        <v>0</v>
      </c>
      <c r="E31" s="11" t="n">
        <f aca="false">D71/10</f>
        <v>0</v>
      </c>
      <c r="F31" s="23" t="b">
        <f aca="false">FALSE()</f>
        <v>0</v>
      </c>
      <c r="G31" s="11" t="n">
        <f aca="false">F71/10</f>
        <v>0</v>
      </c>
      <c r="H31" s="23" t="b">
        <f aca="false">FALSE()</f>
        <v>0</v>
      </c>
      <c r="I31" s="11" t="n">
        <f aca="false">H71/10</f>
        <v>0</v>
      </c>
      <c r="J31" s="23" t="b">
        <f aca="false">FALSE()</f>
        <v>0</v>
      </c>
      <c r="K31" s="11" t="n">
        <f aca="false">J71/10</f>
        <v>0</v>
      </c>
      <c r="L31" s="23" t="b">
        <f aca="false">FALSE()</f>
        <v>0</v>
      </c>
      <c r="M31" s="11" t="n">
        <f aca="false">L71/10</f>
        <v>0</v>
      </c>
      <c r="N31" s="23" t="b">
        <f aca="false">FALSE()</f>
        <v>0</v>
      </c>
      <c r="O31" s="11" t="n">
        <f aca="false">N71/10</f>
        <v>0</v>
      </c>
      <c r="P31" s="23" t="b">
        <f aca="false">FALSE()</f>
        <v>0</v>
      </c>
      <c r="Q31" s="11" t="n">
        <f aca="false">P71/10</f>
        <v>0</v>
      </c>
    </row>
    <row r="32" customFormat="false" ht="27" hidden="false" customHeight="true" outlineLevel="0" collapsed="false">
      <c r="A32" s="8" t="s">
        <v>38</v>
      </c>
      <c r="B32" s="9" t="str">
        <f aca="false">IFERROR(INDEX(成員名單!$B$5:$B$34,MATCH($A32,成員名單!$A$5:$A$34,0))&amp;"","")</f>
        <v/>
      </c>
      <c r="C32" s="23" t="b">
        <f aca="false">FALSE()</f>
        <v>0</v>
      </c>
      <c r="D32" s="23" t="b">
        <f aca="false">FALSE()</f>
        <v>0</v>
      </c>
      <c r="E32" s="9" t="n">
        <f aca="false">D72/10</f>
        <v>0</v>
      </c>
      <c r="F32" s="23" t="b">
        <f aca="false">FALSE()</f>
        <v>0</v>
      </c>
      <c r="G32" s="9" t="n">
        <f aca="false">F72/10</f>
        <v>0</v>
      </c>
      <c r="H32" s="23" t="b">
        <f aca="false">FALSE()</f>
        <v>0</v>
      </c>
      <c r="I32" s="9" t="n">
        <f aca="false">H72/10</f>
        <v>0</v>
      </c>
      <c r="J32" s="23" t="b">
        <f aca="false">FALSE()</f>
        <v>0</v>
      </c>
      <c r="K32" s="9" t="n">
        <f aca="false">J72/10</f>
        <v>0</v>
      </c>
      <c r="L32" s="23" t="b">
        <f aca="false">FALSE()</f>
        <v>0</v>
      </c>
      <c r="M32" s="9" t="n">
        <f aca="false">L72/10</f>
        <v>0</v>
      </c>
      <c r="N32" s="23" t="b">
        <f aca="false">FALSE()</f>
        <v>0</v>
      </c>
      <c r="O32" s="9" t="n">
        <f aca="false">N72/10</f>
        <v>0</v>
      </c>
      <c r="P32" s="23" t="b">
        <f aca="false">FALSE()</f>
        <v>0</v>
      </c>
      <c r="Q32" s="9" t="n">
        <f aca="false">P72/10</f>
        <v>0</v>
      </c>
    </row>
    <row r="33" customFormat="false" ht="27" hidden="false" customHeight="true" outlineLevel="0" collapsed="false">
      <c r="A33" s="10" t="s">
        <v>39</v>
      </c>
      <c r="B33" s="11" t="str">
        <f aca="false">IFERROR(INDEX(成員名單!$B$5:$B$34,MATCH($A33,成員名單!$A$5:$A$34,0))&amp;"","")</f>
        <v/>
      </c>
      <c r="C33" s="23" t="b">
        <f aca="false">FALSE()</f>
        <v>0</v>
      </c>
      <c r="D33" s="23" t="b">
        <f aca="false">FALSE()</f>
        <v>0</v>
      </c>
      <c r="E33" s="11" t="n">
        <f aca="false">D73/10</f>
        <v>0</v>
      </c>
      <c r="F33" s="23" t="b">
        <f aca="false">FALSE()</f>
        <v>0</v>
      </c>
      <c r="G33" s="11" t="n">
        <f aca="false">F73/10</f>
        <v>0</v>
      </c>
      <c r="H33" s="23" t="b">
        <f aca="false">FALSE()</f>
        <v>0</v>
      </c>
      <c r="I33" s="11" t="n">
        <f aca="false">H73/10</f>
        <v>0</v>
      </c>
      <c r="J33" s="23" t="b">
        <f aca="false">FALSE()</f>
        <v>0</v>
      </c>
      <c r="K33" s="11" t="n">
        <f aca="false">J73/10</f>
        <v>0</v>
      </c>
      <c r="L33" s="23" t="b">
        <f aca="false">FALSE()</f>
        <v>0</v>
      </c>
      <c r="M33" s="11" t="n">
        <f aca="false">L73/10</f>
        <v>0</v>
      </c>
      <c r="N33" s="23" t="b">
        <f aca="false">FALSE()</f>
        <v>0</v>
      </c>
      <c r="O33" s="11" t="n">
        <f aca="false">N73/10</f>
        <v>0</v>
      </c>
      <c r="P33" s="23" t="b">
        <f aca="false">FALSE()</f>
        <v>0</v>
      </c>
      <c r="Q33" s="11" t="n">
        <f aca="false">P73/10</f>
        <v>0</v>
      </c>
    </row>
    <row r="34" customFormat="false" ht="27" hidden="false" customHeight="true" outlineLevel="0" collapsed="false">
      <c r="A34" s="8" t="s">
        <v>40</v>
      </c>
      <c r="B34" s="9" t="str">
        <f aca="false">IFERROR(INDEX(成員名單!$B$5:$B$34,MATCH($A34,成員名單!$A$5:$A$34,0))&amp;"","")</f>
        <v/>
      </c>
      <c r="C34" s="23" t="b">
        <f aca="false">FALSE()</f>
        <v>0</v>
      </c>
      <c r="D34" s="23" t="b">
        <f aca="false">FALSE()</f>
        <v>0</v>
      </c>
      <c r="E34" s="9" t="n">
        <f aca="false">D74/10</f>
        <v>0</v>
      </c>
      <c r="F34" s="23" t="b">
        <f aca="false">FALSE()</f>
        <v>0</v>
      </c>
      <c r="G34" s="9" t="n">
        <f aca="false">F74/10</f>
        <v>0</v>
      </c>
      <c r="H34" s="23" t="b">
        <f aca="false">FALSE()</f>
        <v>0</v>
      </c>
      <c r="I34" s="9" t="n">
        <f aca="false">H74/10</f>
        <v>0</v>
      </c>
      <c r="J34" s="23" t="b">
        <f aca="false">FALSE()</f>
        <v>0</v>
      </c>
      <c r="K34" s="9" t="n">
        <f aca="false">J74/10</f>
        <v>0</v>
      </c>
      <c r="L34" s="23" t="b">
        <f aca="false">FALSE()</f>
        <v>0</v>
      </c>
      <c r="M34" s="9" t="n">
        <f aca="false">L74/10</f>
        <v>0</v>
      </c>
      <c r="N34" s="23" t="b">
        <f aca="false">FALSE()</f>
        <v>0</v>
      </c>
      <c r="O34" s="9" t="n">
        <f aca="false">N74/10</f>
        <v>0</v>
      </c>
      <c r="P34" s="23" t="b">
        <f aca="false">FALSE()</f>
        <v>0</v>
      </c>
      <c r="Q34" s="9" t="n">
        <f aca="false">P74/10</f>
        <v>0</v>
      </c>
    </row>
    <row r="35" customFormat="false" ht="27" hidden="false" customHeight="true" outlineLevel="0" collapsed="false">
      <c r="A35" s="10" t="s">
        <v>41</v>
      </c>
      <c r="B35" s="11" t="str">
        <f aca="false">IFERROR(INDEX(成員名單!$B$5:$B$34,MATCH($A35,成員名單!$A$5:$A$34,0))&amp;"","")</f>
        <v/>
      </c>
      <c r="C35" s="23" t="b">
        <f aca="false">FALSE()</f>
        <v>0</v>
      </c>
      <c r="D35" s="23" t="b">
        <f aca="false">FALSE()</f>
        <v>0</v>
      </c>
      <c r="E35" s="11" t="n">
        <f aca="false">D75/10</f>
        <v>0</v>
      </c>
      <c r="F35" s="23" t="b">
        <f aca="false">FALSE()</f>
        <v>0</v>
      </c>
      <c r="G35" s="11" t="n">
        <f aca="false">F75/10</f>
        <v>0</v>
      </c>
      <c r="H35" s="23" t="b">
        <f aca="false">FALSE()</f>
        <v>0</v>
      </c>
      <c r="I35" s="11" t="n">
        <f aca="false">H75/10</f>
        <v>0</v>
      </c>
      <c r="J35" s="23" t="b">
        <f aca="false">FALSE()</f>
        <v>0</v>
      </c>
      <c r="K35" s="11" t="n">
        <f aca="false">J75/10</f>
        <v>0</v>
      </c>
      <c r="L35" s="23" t="b">
        <f aca="false">FALSE()</f>
        <v>0</v>
      </c>
      <c r="M35" s="11" t="n">
        <f aca="false">L75/10</f>
        <v>0</v>
      </c>
      <c r="N35" s="23" t="b">
        <f aca="false">FALSE()</f>
        <v>0</v>
      </c>
      <c r="O35" s="11" t="n">
        <f aca="false">N75/10</f>
        <v>0</v>
      </c>
      <c r="P35" s="23" t="b">
        <f aca="false">FALSE()</f>
        <v>0</v>
      </c>
      <c r="Q35" s="11" t="n">
        <f aca="false">P75/10</f>
        <v>0</v>
      </c>
    </row>
    <row r="36" customFormat="false" ht="27" hidden="false" customHeight="true" outlineLevel="0" collapsed="false">
      <c r="A36" s="8" t="s">
        <v>42</v>
      </c>
      <c r="B36" s="9" t="str">
        <f aca="false">IFERROR(INDEX(成員名單!$B$5:$B$34,MATCH($A36,成員名單!$A$5:$A$34,0))&amp;"","")</f>
        <v/>
      </c>
      <c r="C36" s="23" t="b">
        <f aca="false">FALSE()</f>
        <v>0</v>
      </c>
      <c r="D36" s="23" t="b">
        <f aca="false">FALSE()</f>
        <v>0</v>
      </c>
      <c r="E36" s="9" t="n">
        <f aca="false">D76/10</f>
        <v>0</v>
      </c>
      <c r="F36" s="23" t="b">
        <f aca="false">FALSE()</f>
        <v>0</v>
      </c>
      <c r="G36" s="9" t="n">
        <f aca="false">F76/10</f>
        <v>0</v>
      </c>
      <c r="H36" s="23" t="b">
        <f aca="false">FALSE()</f>
        <v>0</v>
      </c>
      <c r="I36" s="9" t="n">
        <f aca="false">H76/10</f>
        <v>0</v>
      </c>
      <c r="J36" s="23" t="b">
        <f aca="false">FALSE()</f>
        <v>0</v>
      </c>
      <c r="K36" s="9" t="n">
        <f aca="false">J76/10</f>
        <v>0</v>
      </c>
      <c r="L36" s="23" t="b">
        <f aca="false">FALSE()</f>
        <v>0</v>
      </c>
      <c r="M36" s="9" t="n">
        <f aca="false">L76/10</f>
        <v>0</v>
      </c>
      <c r="N36" s="23" t="b">
        <f aca="false">FALSE()</f>
        <v>0</v>
      </c>
      <c r="O36" s="9" t="n">
        <f aca="false">N76/10</f>
        <v>0</v>
      </c>
      <c r="P36" s="23" t="b">
        <f aca="false">FALSE()</f>
        <v>0</v>
      </c>
      <c r="Q36" s="9" t="n">
        <f aca="false">P76/10</f>
        <v>0</v>
      </c>
    </row>
    <row r="37" customFormat="false" ht="27" hidden="false" customHeight="true" outlineLevel="0" collapsed="false">
      <c r="A37" s="10" t="s">
        <v>43</v>
      </c>
      <c r="B37" s="11" t="str">
        <f aca="false">IFERROR(INDEX(成員名單!$B$5:$B$34,MATCH($A37,成員名單!$A$5:$A$34,0))&amp;"","")</f>
        <v/>
      </c>
      <c r="C37" s="23" t="b">
        <f aca="false">FALSE()</f>
        <v>0</v>
      </c>
      <c r="D37" s="23" t="b">
        <f aca="false">FALSE()</f>
        <v>0</v>
      </c>
      <c r="E37" s="11" t="n">
        <f aca="false">D77/10</f>
        <v>0</v>
      </c>
      <c r="F37" s="23" t="b">
        <f aca="false">FALSE()</f>
        <v>0</v>
      </c>
      <c r="G37" s="11" t="n">
        <f aca="false">F77/10</f>
        <v>0</v>
      </c>
      <c r="H37" s="23" t="b">
        <f aca="false">FALSE()</f>
        <v>0</v>
      </c>
      <c r="I37" s="11" t="n">
        <f aca="false">H77/10</f>
        <v>0</v>
      </c>
      <c r="J37" s="23" t="b">
        <f aca="false">FALSE()</f>
        <v>0</v>
      </c>
      <c r="K37" s="11" t="n">
        <f aca="false">J77/10</f>
        <v>0</v>
      </c>
      <c r="L37" s="23" t="b">
        <f aca="false">FALSE()</f>
        <v>0</v>
      </c>
      <c r="M37" s="11" t="n">
        <f aca="false">L77/10</f>
        <v>0</v>
      </c>
      <c r="N37" s="23" t="b">
        <f aca="false">FALSE()</f>
        <v>0</v>
      </c>
      <c r="O37" s="11" t="n">
        <f aca="false">N77/10</f>
        <v>0</v>
      </c>
      <c r="P37" s="23" t="b">
        <f aca="false">FALSE()</f>
        <v>0</v>
      </c>
      <c r="Q37" s="11" t="n">
        <f aca="false">P77/10</f>
        <v>0</v>
      </c>
    </row>
    <row r="38" customFormat="false" ht="27" hidden="false" customHeight="true" outlineLevel="0" collapsed="false">
      <c r="A38" s="8" t="s">
        <v>44</v>
      </c>
      <c r="B38" s="9" t="str">
        <f aca="false">IFERROR(INDEX(成員名單!$B$5:$B$34,MATCH($A38,成員名單!$A$5:$A$34,0))&amp;"","")</f>
        <v/>
      </c>
      <c r="C38" s="23" t="b">
        <f aca="false">FALSE()</f>
        <v>0</v>
      </c>
      <c r="D38" s="23" t="b">
        <f aca="false">FALSE()</f>
        <v>0</v>
      </c>
      <c r="E38" s="9" t="n">
        <f aca="false">D78/10</f>
        <v>0</v>
      </c>
      <c r="F38" s="23" t="b">
        <f aca="false">FALSE()</f>
        <v>0</v>
      </c>
      <c r="G38" s="9" t="n">
        <f aca="false">F78/10</f>
        <v>0</v>
      </c>
      <c r="H38" s="23" t="b">
        <f aca="false">FALSE()</f>
        <v>0</v>
      </c>
      <c r="I38" s="9" t="n">
        <f aca="false">H78/10</f>
        <v>0</v>
      </c>
      <c r="J38" s="23" t="b">
        <f aca="false">FALSE()</f>
        <v>0</v>
      </c>
      <c r="K38" s="9" t="n">
        <f aca="false">J78/10</f>
        <v>0</v>
      </c>
      <c r="L38" s="23" t="b">
        <f aca="false">FALSE()</f>
        <v>0</v>
      </c>
      <c r="M38" s="9" t="n">
        <f aca="false">L78/10</f>
        <v>0</v>
      </c>
      <c r="N38" s="23" t="b">
        <f aca="false">FALSE()</f>
        <v>0</v>
      </c>
      <c r="O38" s="9" t="n">
        <f aca="false">N78/10</f>
        <v>0</v>
      </c>
      <c r="P38" s="23" t="b">
        <f aca="false">FALSE()</f>
        <v>0</v>
      </c>
      <c r="Q38" s="9" t="n">
        <f aca="false">P78/10</f>
        <v>0</v>
      </c>
    </row>
    <row r="39" customFormat="false" ht="27" hidden="false" customHeight="true" outlineLevel="0" collapsed="false">
      <c r="A39" s="10" t="s">
        <v>45</v>
      </c>
      <c r="B39" s="11" t="str">
        <f aca="false">IFERROR(INDEX(成員名單!$B$5:$B$34,MATCH($A39,成員名單!$A$5:$A$34,0))&amp;"","")</f>
        <v/>
      </c>
      <c r="C39" s="23" t="b">
        <f aca="false">FALSE()</f>
        <v>0</v>
      </c>
      <c r="D39" s="23" t="b">
        <f aca="false">FALSE()</f>
        <v>0</v>
      </c>
      <c r="E39" s="11" t="n">
        <f aca="false">D79/10</f>
        <v>0</v>
      </c>
      <c r="F39" s="23" t="b">
        <f aca="false">FALSE()</f>
        <v>0</v>
      </c>
      <c r="G39" s="11" t="n">
        <f aca="false">F79/10</f>
        <v>0</v>
      </c>
      <c r="H39" s="23" t="b">
        <f aca="false">FALSE()</f>
        <v>0</v>
      </c>
      <c r="I39" s="11" t="n">
        <f aca="false">H79/10</f>
        <v>0</v>
      </c>
      <c r="J39" s="23" t="b">
        <f aca="false">FALSE()</f>
        <v>0</v>
      </c>
      <c r="K39" s="11" t="n">
        <f aca="false">J79/10</f>
        <v>0</v>
      </c>
      <c r="L39" s="23" t="b">
        <f aca="false">FALSE()</f>
        <v>0</v>
      </c>
      <c r="M39" s="11" t="n">
        <f aca="false">L79/10</f>
        <v>0</v>
      </c>
      <c r="N39" s="23" t="b">
        <f aca="false">FALSE()</f>
        <v>0</v>
      </c>
      <c r="O39" s="11" t="n">
        <f aca="false">N79/10</f>
        <v>0</v>
      </c>
      <c r="P39" s="23" t="b">
        <f aca="false">FALSE()</f>
        <v>0</v>
      </c>
      <c r="Q39" s="11" t="n">
        <f aca="false">P79/10</f>
        <v>0</v>
      </c>
    </row>
    <row r="40" customFormat="false" ht="27" hidden="false" customHeight="true" outlineLevel="0" collapsed="false">
      <c r="A40" s="8" t="s">
        <v>46</v>
      </c>
      <c r="B40" s="9" t="str">
        <f aca="false">IFERROR(INDEX(成員名單!$B$5:$B$34,MATCH($A40,成員名單!$A$5:$A$34,0))&amp;"","")</f>
        <v/>
      </c>
      <c r="C40" s="23" t="b">
        <f aca="false">FALSE()</f>
        <v>0</v>
      </c>
      <c r="D40" s="23" t="b">
        <f aca="false">FALSE()</f>
        <v>0</v>
      </c>
      <c r="E40" s="9" t="n">
        <f aca="false">D80/10</f>
        <v>0</v>
      </c>
      <c r="F40" s="23" t="b">
        <f aca="false">FALSE()</f>
        <v>0</v>
      </c>
      <c r="G40" s="9" t="n">
        <f aca="false">F80/10</f>
        <v>0</v>
      </c>
      <c r="H40" s="23" t="b">
        <f aca="false">FALSE()</f>
        <v>0</v>
      </c>
      <c r="I40" s="9" t="n">
        <f aca="false">H80/10</f>
        <v>0</v>
      </c>
      <c r="J40" s="23" t="b">
        <f aca="false">FALSE()</f>
        <v>0</v>
      </c>
      <c r="K40" s="9" t="n">
        <f aca="false">J80/10</f>
        <v>0</v>
      </c>
      <c r="L40" s="23" t="b">
        <f aca="false">FALSE()</f>
        <v>0</v>
      </c>
      <c r="M40" s="9" t="n">
        <f aca="false">L80/10</f>
        <v>0</v>
      </c>
      <c r="N40" s="23" t="b">
        <f aca="false">FALSE()</f>
        <v>0</v>
      </c>
      <c r="O40" s="9" t="n">
        <f aca="false">N80/10</f>
        <v>0</v>
      </c>
      <c r="P40" s="23" t="b">
        <f aca="false">FALSE()</f>
        <v>0</v>
      </c>
      <c r="Q40" s="9" t="n">
        <f aca="false">P80/10</f>
        <v>0</v>
      </c>
    </row>
    <row r="41" customFormat="false" ht="27" hidden="false" customHeight="true" outlineLevel="0" collapsed="false">
      <c r="A41" s="10" t="s">
        <v>47</v>
      </c>
      <c r="B41" s="11" t="str">
        <f aca="false">IFERROR(INDEX(成員名單!$B$5:$B$34,MATCH($A41,成員名單!$A$5:$A$34,0))&amp;"","")</f>
        <v/>
      </c>
      <c r="C41" s="23" t="b">
        <f aca="false">FALSE()</f>
        <v>0</v>
      </c>
      <c r="D41" s="23" t="b">
        <f aca="false">FALSE()</f>
        <v>0</v>
      </c>
      <c r="E41" s="11" t="n">
        <f aca="false">D81/10</f>
        <v>0</v>
      </c>
      <c r="F41" s="23" t="b">
        <f aca="false">FALSE()</f>
        <v>0</v>
      </c>
      <c r="G41" s="11" t="n">
        <f aca="false">F81/10</f>
        <v>0</v>
      </c>
      <c r="H41" s="23" t="b">
        <f aca="false">FALSE()</f>
        <v>0</v>
      </c>
      <c r="I41" s="11" t="n">
        <f aca="false">H81/10</f>
        <v>0</v>
      </c>
      <c r="J41" s="23" t="b">
        <f aca="false">FALSE()</f>
        <v>0</v>
      </c>
      <c r="K41" s="11" t="n">
        <f aca="false">J81/10</f>
        <v>0</v>
      </c>
      <c r="L41" s="23" t="b">
        <f aca="false">FALSE()</f>
        <v>0</v>
      </c>
      <c r="M41" s="11" t="n">
        <f aca="false">L81/10</f>
        <v>0</v>
      </c>
      <c r="N41" s="23" t="b">
        <f aca="false">FALSE()</f>
        <v>0</v>
      </c>
      <c r="O41" s="11" t="n">
        <f aca="false">N81/10</f>
        <v>0</v>
      </c>
      <c r="P41" s="23" t="b">
        <f aca="false">FALSE()</f>
        <v>0</v>
      </c>
      <c r="Q41" s="11" t="n">
        <f aca="false">P81/10</f>
        <v>0</v>
      </c>
    </row>
    <row r="42" customFormat="false" ht="27" hidden="false" customHeight="true" outlineLevel="0" collapsed="false">
      <c r="A42" s="12"/>
      <c r="B42" s="8" t="s">
        <v>88</v>
      </c>
      <c r="C42" s="12"/>
      <c r="D42" s="12"/>
      <c r="E42" s="9" t="n">
        <f aca="false">D51/10</f>
        <v>0</v>
      </c>
      <c r="F42" s="12"/>
      <c r="G42" s="9" t="n">
        <f aca="false">F51/10</f>
        <v>0</v>
      </c>
      <c r="H42" s="12"/>
      <c r="I42" s="9" t="n">
        <f aca="false">H51/10</f>
        <v>0</v>
      </c>
      <c r="J42" s="12"/>
      <c r="K42" s="9" t="n">
        <f aca="false">J51/10</f>
        <v>0</v>
      </c>
      <c r="L42" s="12"/>
      <c r="M42" s="9" t="n">
        <f aca="false">L51/10</f>
        <v>0</v>
      </c>
      <c r="N42" s="12"/>
      <c r="O42" s="9" t="n">
        <f aca="false">N51/10</f>
        <v>0</v>
      </c>
      <c r="P42" s="12"/>
      <c r="Q42" s="9" t="n">
        <f aca="false">P51/10</f>
        <v>0</v>
      </c>
    </row>
    <row r="46" customFormat="false" ht="15" hidden="true" customHeight="false" outlineLevel="0" collapsed="false">
      <c r="D46" s="14" t="n">
        <f aca="false">IFERROR(IF(D$47,ROUND(D$6*10,0),0),0)</f>
        <v>0</v>
      </c>
      <c r="F46" s="14" t="n">
        <f aca="false">IFERROR(IF(F$47,ROUND(F$6*10,0),0),0)</f>
        <v>0</v>
      </c>
      <c r="H46" s="14" t="n">
        <f aca="false">IFERROR(IF(H$47,ROUND(H$6*10,0),0),0)</f>
        <v>0</v>
      </c>
      <c r="J46" s="14" t="n">
        <f aca="false">IFERROR(IF(J$47,ROUND(J$6*10,0),0),0)</f>
        <v>0</v>
      </c>
      <c r="L46" s="14" t="n">
        <f aca="false">IFERROR(IF(L$47,ROUND(L$6*10,0),0),0)</f>
        <v>0</v>
      </c>
      <c r="N46" s="14" t="n">
        <f aca="false">IFERROR(IF(N$47,ROUND(N$6*10,0),0),0)</f>
        <v>0</v>
      </c>
      <c r="P46" s="14" t="n">
        <f aca="false">IFERROR(IF(P$47,ROUND(P$6*10,0),0),0)</f>
        <v>0</v>
      </c>
    </row>
    <row r="47" customFormat="false" ht="15" hidden="true" customHeight="false" outlineLevel="0" collapsed="false">
      <c r="D47" s="14" t="n">
        <f aca="false">IF(LEN(TRIM(D$6&amp;""))=0,TRUE(),IFERROR(AND(ISNUMBER(D$6),D$6&gt;=0,D$6&lt;=100000000,ROUND(D$6,1)=D$6),FALSE()))</f>
        <v>1</v>
      </c>
      <c r="F47" s="14" t="n">
        <f aca="false">IF(LEN(TRIM(F$6&amp;""))=0,TRUE(),IFERROR(AND(ISNUMBER(F$6),F$6&gt;=0,F$6&lt;=100000000,ROUND(F$6,1)=F$6),FALSE()))</f>
        <v>1</v>
      </c>
      <c r="H47" s="14" t="n">
        <f aca="false">IF(LEN(TRIM(H$6&amp;""))=0,TRUE(),IFERROR(AND(ISNUMBER(H$6),H$6&gt;=0,H$6&lt;=100000000,ROUND(H$6,1)=H$6),FALSE()))</f>
        <v>1</v>
      </c>
      <c r="J47" s="14" t="n">
        <f aca="false">IF(LEN(TRIM(J$6&amp;""))=0,TRUE(),IFERROR(AND(ISNUMBER(J$6),J$6&gt;=0,J$6&lt;=100000000,ROUND(J$6,1)=J$6),FALSE()))</f>
        <v>1</v>
      </c>
      <c r="L47" s="14" t="n">
        <f aca="false">IF(LEN(TRIM(L$6&amp;""))=0,TRUE(),IFERROR(AND(ISNUMBER(L$6),L$6&gt;=0,L$6&lt;=100000000,ROUND(L$6,1)=L$6),FALSE()))</f>
        <v>1</v>
      </c>
      <c r="N47" s="14" t="n">
        <f aca="false">IF(LEN(TRIM(N$6&amp;""))=0,TRUE(),IFERROR(AND(ISNUMBER(N$6),N$6&gt;=0,N$6&lt;=100000000,ROUND(N$6,1)=N$6),FALSE()))</f>
        <v>1</v>
      </c>
      <c r="P47" s="14" t="n">
        <f aca="false">IF(LEN(TRIM(P$6&amp;""))=0,TRUE(),IFERROR(AND(ISNUMBER(P$6),P$6&gt;=0,P$6&lt;=100000000,ROUND(P$6,1)=P$6),FALSE()))</f>
        <v>1</v>
      </c>
    </row>
    <row r="48" customFormat="false" ht="15" hidden="true" customHeight="false" outlineLevel="0" collapsed="false">
      <c r="D48" s="14" t="n">
        <f aca="false">IF(D$50,IF(AND($C$3=TRUE(),$C$49&gt;0),SUMPRODUCT(--(LEN(TRIM($B$12:$B$41))&gt;0),--(D$12:D$41=TRUE()),--($C$12:$C$41&lt;&gt;TRUE())),0),SUMPRODUCT(--(LEN(TRIM($B$12:$B$41))&gt;0),--(D$12:D$41=TRUE())))</f>
        <v>0</v>
      </c>
      <c r="F48" s="14" t="n">
        <f aca="false">IF(F$50,IF(AND($C$3=TRUE(),$C$49&gt;0),SUMPRODUCT(--(LEN(TRIM($B$12:$B$41))&gt;0),--(F$12:F$41=TRUE()),--($C$12:$C$41&lt;&gt;TRUE())),0),SUMPRODUCT(--(LEN(TRIM($B$12:$B$41))&gt;0),--(F$12:F$41=TRUE())))</f>
        <v>0</v>
      </c>
      <c r="H48" s="14" t="n">
        <f aca="false">IF(H$50,IF(AND($C$3=TRUE(),$C$49&gt;0),SUMPRODUCT(--(LEN(TRIM($B$12:$B$41))&gt;0),--(H$12:H$41=TRUE()),--($C$12:$C$41&lt;&gt;TRUE())),0),SUMPRODUCT(--(LEN(TRIM($B$12:$B$41))&gt;0),--(H$12:H$41=TRUE())))</f>
        <v>0</v>
      </c>
      <c r="J48" s="14" t="n">
        <f aca="false">IF(J$50,IF(AND($C$3=TRUE(),$C$49&gt;0),SUMPRODUCT(--(LEN(TRIM($B$12:$B$41))&gt;0),--(J$12:J$41=TRUE()),--($C$12:$C$41&lt;&gt;TRUE())),0),SUMPRODUCT(--(LEN(TRIM($B$12:$B$41))&gt;0),--(J$12:J$41=TRUE())))</f>
        <v>0</v>
      </c>
      <c r="L48" s="14" t="n">
        <f aca="false">IF(L$50,IF(AND($C$3=TRUE(),$C$49&gt;0),SUMPRODUCT(--(LEN(TRIM($B$12:$B$41))&gt;0),--(L$12:L$41=TRUE()),--($C$12:$C$41&lt;&gt;TRUE())),0),SUMPRODUCT(--(LEN(TRIM($B$12:$B$41))&gt;0),--(L$12:L$41=TRUE())))</f>
        <v>0</v>
      </c>
      <c r="N48" s="14" t="n">
        <f aca="false">IF(N$50,IF(AND($C$3=TRUE(),$C$49&gt;0),SUMPRODUCT(--(LEN(TRIM($B$12:$B$41))&gt;0),--(N$12:N$41=TRUE()),--($C$12:$C$41&lt;&gt;TRUE())),0),SUMPRODUCT(--(LEN(TRIM($B$12:$B$41))&gt;0),--(N$12:N$41=TRUE())))</f>
        <v>0</v>
      </c>
      <c r="P48" s="14" t="n">
        <f aca="false">IF(P$50,IF(AND($C$3=TRUE(),$C$49&gt;0),SUMPRODUCT(--(LEN(TRIM($B$12:$B$41))&gt;0),--(P$12:P$41=TRUE()),--($C$12:$C$41&lt;&gt;TRUE())),0),SUMPRODUCT(--(LEN(TRIM($B$12:$B$41))&gt;0),--(P$12:P$41=TRUE())))</f>
        <v>0</v>
      </c>
    </row>
    <row r="49" customFormat="false" ht="15" hidden="true" customHeight="false" outlineLevel="0" collapsed="false">
      <c r="C49" s="14" t="n">
        <f aca="false">SUMPRODUCT(--(LEN(TRIM($B$12:$B$41))&gt;0),--($C$12:$C$41=TRUE()))</f>
        <v>0</v>
      </c>
    </row>
    <row r="50" customFormat="false" ht="15" hidden="true" customHeight="false" outlineLevel="0" collapsed="false">
      <c r="D50" s="14" t="n">
        <f aca="false">OR(D$5="油錢",D$5="租車費")</f>
        <v>0</v>
      </c>
      <c r="F50" s="14" t="n">
        <f aca="false">OR(F$5="油錢",F$5="租車費")</f>
        <v>0</v>
      </c>
      <c r="H50" s="14" t="n">
        <f aca="false">OR(H$5="油錢",H$5="租車費")</f>
        <v>0</v>
      </c>
      <c r="J50" s="14" t="n">
        <f aca="false">OR(J$5="油錢",J$5="租車費")</f>
        <v>1</v>
      </c>
      <c r="L50" s="14" t="n">
        <f aca="false">OR(L$5="油錢",L$5="租車費")</f>
        <v>1</v>
      </c>
      <c r="N50" s="14" t="n">
        <f aca="false">OR(N$5="油錢",N$5="租車費")</f>
        <v>0</v>
      </c>
      <c r="P50" s="14" t="n">
        <f aca="false">OR(P$5="油錢",P$5="租車費")</f>
        <v>0</v>
      </c>
    </row>
    <row r="51" customFormat="false" ht="15" hidden="true" customHeight="false" outlineLevel="0" collapsed="false">
      <c r="D51" s="14" t="n">
        <f aca="false">SUM(D52:D81)</f>
        <v>0</v>
      </c>
      <c r="F51" s="14" t="n">
        <f aca="false">SUM(F52:F81)</f>
        <v>0</v>
      </c>
      <c r="H51" s="14" t="n">
        <f aca="false">SUM(H52:H81)</f>
        <v>0</v>
      </c>
      <c r="J51" s="14" t="n">
        <f aca="false">SUM(J52:J81)</f>
        <v>0</v>
      </c>
      <c r="L51" s="14" t="n">
        <f aca="false">SUM(L52:L81)</f>
        <v>0</v>
      </c>
      <c r="N51" s="14" t="n">
        <f aca="false">SUM(N52:N81)</f>
        <v>0</v>
      </c>
      <c r="P51" s="14" t="n">
        <f aca="false">SUM(P52:P81)</f>
        <v>0</v>
      </c>
    </row>
    <row r="52" customFormat="false" ht="15" hidden="true" customHeight="false" outlineLevel="0" collapsed="false">
      <c r="A52" s="13" t="s">
        <v>18</v>
      </c>
      <c r="D52" s="14" t="n">
        <f aca="false">IF(AND(D$47,D$48&gt;0,LEN(TRIM($B12))&gt;0,D12=TRUE(),IF(D$50,$C12&lt;&gt;TRUE(),TRUE())),QUOTIENT(D$46,MAX(1,D$48))+IF(IF(D$50,SUMPRODUCT(--(LEN(TRIM($B$12:$B12))&gt;0),--(D$12:D12=TRUE()),--($C$12:$C12&lt;&gt;TRUE())),SUMPRODUCT(--(LEN(TRIM($B$12:$B12))&gt;0),--(D$12:D12=TRUE())))&lt;=MOD(D$46,MAX(1,D$48)),1,0),0)</f>
        <v>0</v>
      </c>
      <c r="F52" s="14" t="n">
        <f aca="false">IF(AND(F$47,F$48&gt;0,LEN(TRIM($B12))&gt;0,F12=TRUE(),IF(F$50,$C12&lt;&gt;TRUE(),TRUE())),QUOTIENT(F$46,MAX(1,F$48))+IF(IF(F$50,SUMPRODUCT(--(LEN(TRIM($B$12:$B12))&gt;0),--(F$12:F12=TRUE()),--($C$12:$C12&lt;&gt;TRUE())),SUMPRODUCT(--(LEN(TRIM($B$12:$B12))&gt;0),--(F$12:F12=TRUE())))&lt;=MOD(F$46,MAX(1,F$48)),1,0),0)</f>
        <v>0</v>
      </c>
      <c r="H52" s="14" t="n">
        <f aca="false">IF(AND(H$47,H$48&gt;0,LEN(TRIM($B12))&gt;0,H12=TRUE(),IF(H$50,$C12&lt;&gt;TRUE(),TRUE())),QUOTIENT(H$46,MAX(1,H$48))+IF(IF(H$50,SUMPRODUCT(--(LEN(TRIM($B$12:$B12))&gt;0),--(H$12:H12=TRUE()),--($C$12:$C12&lt;&gt;TRUE())),SUMPRODUCT(--(LEN(TRIM($B$12:$B12))&gt;0),--(H$12:H12=TRUE())))&lt;=MOD(H$46,MAX(1,H$48)),1,0),0)</f>
        <v>0</v>
      </c>
      <c r="J52" s="14" t="n">
        <f aca="false">IF(AND(J$47,J$48&gt;0,LEN(TRIM($B12))&gt;0,J12=TRUE(),IF(J$50,$C12&lt;&gt;TRUE(),TRUE())),QUOTIENT(J$46,MAX(1,J$48))+IF(IF(J$50,SUMPRODUCT(--(LEN(TRIM($B$12:$B12))&gt;0),--(J$12:J12=TRUE()),--($C$12:$C12&lt;&gt;TRUE())),SUMPRODUCT(--(LEN(TRIM($B$12:$B12))&gt;0),--(J$12:J12=TRUE())))&lt;=MOD(J$46,MAX(1,J$48)),1,0),0)</f>
        <v>0</v>
      </c>
      <c r="L52" s="14" t="n">
        <f aca="false">IF(AND(L$47,L$48&gt;0,LEN(TRIM($B12))&gt;0,L12=TRUE(),IF(L$50,$C12&lt;&gt;TRUE(),TRUE())),QUOTIENT(L$46,MAX(1,L$48))+IF(IF(L$50,SUMPRODUCT(--(LEN(TRIM($B$12:$B12))&gt;0),--(L$12:L12=TRUE()),--($C$12:$C12&lt;&gt;TRUE())),SUMPRODUCT(--(LEN(TRIM($B$12:$B12))&gt;0),--(L$12:L12=TRUE())))&lt;=MOD(L$46,MAX(1,L$48)),1,0),0)</f>
        <v>0</v>
      </c>
      <c r="N52" s="14" t="n">
        <f aca="false">IF(AND(N$47,N$48&gt;0,LEN(TRIM($B12))&gt;0,N12=TRUE(),IF(N$50,$C12&lt;&gt;TRUE(),TRUE())),QUOTIENT(N$46,MAX(1,N$48))+IF(IF(N$50,SUMPRODUCT(--(LEN(TRIM($B$12:$B12))&gt;0),--(N$12:N12=TRUE()),--($C$12:$C12&lt;&gt;TRUE())),SUMPRODUCT(--(LEN(TRIM($B$12:$B12))&gt;0),--(N$12:N12=TRUE())))&lt;=MOD(N$46,MAX(1,N$48)),1,0),0)</f>
        <v>0</v>
      </c>
      <c r="P52" s="14" t="n">
        <f aca="false">IF(AND(P$47,P$48&gt;0,LEN(TRIM($B12))&gt;0,P12=TRUE(),IF(P$50,$C12&lt;&gt;TRUE(),TRUE())),QUOTIENT(P$46,MAX(1,P$48))+IF(IF(P$50,SUMPRODUCT(--(LEN(TRIM($B$12:$B12))&gt;0),--(P$12:P12=TRUE()),--($C$12:$C12&lt;&gt;TRUE())),SUMPRODUCT(--(LEN(TRIM($B$12:$B12))&gt;0),--(P$12:P12=TRUE())))&lt;=MOD(P$46,MAX(1,P$48)),1,0),0)</f>
        <v>0</v>
      </c>
    </row>
    <row r="53" customFormat="false" ht="15" hidden="true" customHeight="false" outlineLevel="0" collapsed="false">
      <c r="A53" s="13" t="s">
        <v>19</v>
      </c>
      <c r="D53" s="14" t="n">
        <f aca="false">IF(AND(D$47,D$48&gt;0,LEN(TRIM($B13))&gt;0,D13=TRUE(),IF(D$50,$C13&lt;&gt;TRUE(),TRUE())),QUOTIENT(D$46,MAX(1,D$48))+IF(IF(D$50,SUMPRODUCT(--(LEN(TRIM($B$12:$B13))&gt;0),--(D$12:D13=TRUE()),--($C$12:$C13&lt;&gt;TRUE())),SUMPRODUCT(--(LEN(TRIM($B$12:$B13))&gt;0),--(D$12:D13=TRUE())))&lt;=MOD(D$46,MAX(1,D$48)),1,0),0)</f>
        <v>0</v>
      </c>
      <c r="F53" s="14" t="n">
        <f aca="false">IF(AND(F$47,F$48&gt;0,LEN(TRIM($B13))&gt;0,F13=TRUE(),IF(F$50,$C13&lt;&gt;TRUE(),TRUE())),QUOTIENT(F$46,MAX(1,F$48))+IF(IF(F$50,SUMPRODUCT(--(LEN(TRIM($B$12:$B13))&gt;0),--(F$12:F13=TRUE()),--($C$12:$C13&lt;&gt;TRUE())),SUMPRODUCT(--(LEN(TRIM($B$12:$B13))&gt;0),--(F$12:F13=TRUE())))&lt;=MOD(F$46,MAX(1,F$48)),1,0),0)</f>
        <v>0</v>
      </c>
      <c r="H53" s="14" t="n">
        <f aca="false">IF(AND(H$47,H$48&gt;0,LEN(TRIM($B13))&gt;0,H13=TRUE(),IF(H$50,$C13&lt;&gt;TRUE(),TRUE())),QUOTIENT(H$46,MAX(1,H$48))+IF(IF(H$50,SUMPRODUCT(--(LEN(TRIM($B$12:$B13))&gt;0),--(H$12:H13=TRUE()),--($C$12:$C13&lt;&gt;TRUE())),SUMPRODUCT(--(LEN(TRIM($B$12:$B13))&gt;0),--(H$12:H13=TRUE())))&lt;=MOD(H$46,MAX(1,H$48)),1,0),0)</f>
        <v>0</v>
      </c>
      <c r="J53" s="14" t="n">
        <f aca="false">IF(AND(J$47,J$48&gt;0,LEN(TRIM($B13))&gt;0,J13=TRUE(),IF(J$50,$C13&lt;&gt;TRUE(),TRUE())),QUOTIENT(J$46,MAX(1,J$48))+IF(IF(J$50,SUMPRODUCT(--(LEN(TRIM($B$12:$B13))&gt;0),--(J$12:J13=TRUE()),--($C$12:$C13&lt;&gt;TRUE())),SUMPRODUCT(--(LEN(TRIM($B$12:$B13))&gt;0),--(J$12:J13=TRUE())))&lt;=MOD(J$46,MAX(1,J$48)),1,0),0)</f>
        <v>0</v>
      </c>
      <c r="L53" s="14" t="n">
        <f aca="false">IF(AND(L$47,L$48&gt;0,LEN(TRIM($B13))&gt;0,L13=TRUE(),IF(L$50,$C13&lt;&gt;TRUE(),TRUE())),QUOTIENT(L$46,MAX(1,L$48))+IF(IF(L$50,SUMPRODUCT(--(LEN(TRIM($B$12:$B13))&gt;0),--(L$12:L13=TRUE()),--($C$12:$C13&lt;&gt;TRUE())),SUMPRODUCT(--(LEN(TRIM($B$12:$B13))&gt;0),--(L$12:L13=TRUE())))&lt;=MOD(L$46,MAX(1,L$48)),1,0),0)</f>
        <v>0</v>
      </c>
      <c r="N53" s="14" t="n">
        <f aca="false">IF(AND(N$47,N$48&gt;0,LEN(TRIM($B13))&gt;0,N13=TRUE(),IF(N$50,$C13&lt;&gt;TRUE(),TRUE())),QUOTIENT(N$46,MAX(1,N$48))+IF(IF(N$50,SUMPRODUCT(--(LEN(TRIM($B$12:$B13))&gt;0),--(N$12:N13=TRUE()),--($C$12:$C13&lt;&gt;TRUE())),SUMPRODUCT(--(LEN(TRIM($B$12:$B13))&gt;0),--(N$12:N13=TRUE())))&lt;=MOD(N$46,MAX(1,N$48)),1,0),0)</f>
        <v>0</v>
      </c>
      <c r="P53" s="14" t="n">
        <f aca="false">IF(AND(P$47,P$48&gt;0,LEN(TRIM($B13))&gt;0,P13=TRUE(),IF(P$50,$C13&lt;&gt;TRUE(),TRUE())),QUOTIENT(P$46,MAX(1,P$48))+IF(IF(P$50,SUMPRODUCT(--(LEN(TRIM($B$12:$B13))&gt;0),--(P$12:P13=TRUE()),--($C$12:$C13&lt;&gt;TRUE())),SUMPRODUCT(--(LEN(TRIM($B$12:$B13))&gt;0),--(P$12:P13=TRUE())))&lt;=MOD(P$46,MAX(1,P$48)),1,0),0)</f>
        <v>0</v>
      </c>
    </row>
    <row r="54" customFormat="false" ht="15" hidden="true" customHeight="false" outlineLevel="0" collapsed="false">
      <c r="A54" s="13" t="s">
        <v>20</v>
      </c>
      <c r="D54" s="14" t="n">
        <f aca="false">IF(AND(D$47,D$48&gt;0,LEN(TRIM($B14))&gt;0,D14=TRUE(),IF(D$50,$C14&lt;&gt;TRUE(),TRUE())),QUOTIENT(D$46,MAX(1,D$48))+IF(IF(D$50,SUMPRODUCT(--(LEN(TRIM($B$12:$B14))&gt;0),--(D$12:D14=TRUE()),--($C$12:$C14&lt;&gt;TRUE())),SUMPRODUCT(--(LEN(TRIM($B$12:$B14))&gt;0),--(D$12:D14=TRUE())))&lt;=MOD(D$46,MAX(1,D$48)),1,0),0)</f>
        <v>0</v>
      </c>
      <c r="F54" s="14" t="n">
        <f aca="false">IF(AND(F$47,F$48&gt;0,LEN(TRIM($B14))&gt;0,F14=TRUE(),IF(F$50,$C14&lt;&gt;TRUE(),TRUE())),QUOTIENT(F$46,MAX(1,F$48))+IF(IF(F$50,SUMPRODUCT(--(LEN(TRIM($B$12:$B14))&gt;0),--(F$12:F14=TRUE()),--($C$12:$C14&lt;&gt;TRUE())),SUMPRODUCT(--(LEN(TRIM($B$12:$B14))&gt;0),--(F$12:F14=TRUE())))&lt;=MOD(F$46,MAX(1,F$48)),1,0),0)</f>
        <v>0</v>
      </c>
      <c r="H54" s="14" t="n">
        <f aca="false">IF(AND(H$47,H$48&gt;0,LEN(TRIM($B14))&gt;0,H14=TRUE(),IF(H$50,$C14&lt;&gt;TRUE(),TRUE())),QUOTIENT(H$46,MAX(1,H$48))+IF(IF(H$50,SUMPRODUCT(--(LEN(TRIM($B$12:$B14))&gt;0),--(H$12:H14=TRUE()),--($C$12:$C14&lt;&gt;TRUE())),SUMPRODUCT(--(LEN(TRIM($B$12:$B14))&gt;0),--(H$12:H14=TRUE())))&lt;=MOD(H$46,MAX(1,H$48)),1,0),0)</f>
        <v>0</v>
      </c>
      <c r="J54" s="14" t="n">
        <f aca="false">IF(AND(J$47,J$48&gt;0,LEN(TRIM($B14))&gt;0,J14=TRUE(),IF(J$50,$C14&lt;&gt;TRUE(),TRUE())),QUOTIENT(J$46,MAX(1,J$48))+IF(IF(J$50,SUMPRODUCT(--(LEN(TRIM($B$12:$B14))&gt;0),--(J$12:J14=TRUE()),--($C$12:$C14&lt;&gt;TRUE())),SUMPRODUCT(--(LEN(TRIM($B$12:$B14))&gt;0),--(J$12:J14=TRUE())))&lt;=MOD(J$46,MAX(1,J$48)),1,0),0)</f>
        <v>0</v>
      </c>
      <c r="L54" s="14" t="n">
        <f aca="false">IF(AND(L$47,L$48&gt;0,LEN(TRIM($B14))&gt;0,L14=TRUE(),IF(L$50,$C14&lt;&gt;TRUE(),TRUE())),QUOTIENT(L$46,MAX(1,L$48))+IF(IF(L$50,SUMPRODUCT(--(LEN(TRIM($B$12:$B14))&gt;0),--(L$12:L14=TRUE()),--($C$12:$C14&lt;&gt;TRUE())),SUMPRODUCT(--(LEN(TRIM($B$12:$B14))&gt;0),--(L$12:L14=TRUE())))&lt;=MOD(L$46,MAX(1,L$48)),1,0),0)</f>
        <v>0</v>
      </c>
      <c r="N54" s="14" t="n">
        <f aca="false">IF(AND(N$47,N$48&gt;0,LEN(TRIM($B14))&gt;0,N14=TRUE(),IF(N$50,$C14&lt;&gt;TRUE(),TRUE())),QUOTIENT(N$46,MAX(1,N$48))+IF(IF(N$50,SUMPRODUCT(--(LEN(TRIM($B$12:$B14))&gt;0),--(N$12:N14=TRUE()),--($C$12:$C14&lt;&gt;TRUE())),SUMPRODUCT(--(LEN(TRIM($B$12:$B14))&gt;0),--(N$12:N14=TRUE())))&lt;=MOD(N$46,MAX(1,N$48)),1,0),0)</f>
        <v>0</v>
      </c>
      <c r="P54" s="14" t="n">
        <f aca="false">IF(AND(P$47,P$48&gt;0,LEN(TRIM($B14))&gt;0,P14=TRUE(),IF(P$50,$C14&lt;&gt;TRUE(),TRUE())),QUOTIENT(P$46,MAX(1,P$48))+IF(IF(P$50,SUMPRODUCT(--(LEN(TRIM($B$12:$B14))&gt;0),--(P$12:P14=TRUE()),--($C$12:$C14&lt;&gt;TRUE())),SUMPRODUCT(--(LEN(TRIM($B$12:$B14))&gt;0),--(P$12:P14=TRUE())))&lt;=MOD(P$46,MAX(1,P$48)),1,0),0)</f>
        <v>0</v>
      </c>
    </row>
    <row r="55" customFormat="false" ht="15" hidden="true" customHeight="false" outlineLevel="0" collapsed="false">
      <c r="A55" s="13" t="s">
        <v>21</v>
      </c>
      <c r="D55" s="14" t="n">
        <f aca="false">IF(AND(D$47,D$48&gt;0,LEN(TRIM($B15))&gt;0,D15=TRUE(),IF(D$50,$C15&lt;&gt;TRUE(),TRUE())),QUOTIENT(D$46,MAX(1,D$48))+IF(IF(D$50,SUMPRODUCT(--(LEN(TRIM($B$12:$B15))&gt;0),--(D$12:D15=TRUE()),--($C$12:$C15&lt;&gt;TRUE())),SUMPRODUCT(--(LEN(TRIM($B$12:$B15))&gt;0),--(D$12:D15=TRUE())))&lt;=MOD(D$46,MAX(1,D$48)),1,0),0)</f>
        <v>0</v>
      </c>
      <c r="F55" s="14" t="n">
        <f aca="false">IF(AND(F$47,F$48&gt;0,LEN(TRIM($B15))&gt;0,F15=TRUE(),IF(F$50,$C15&lt;&gt;TRUE(),TRUE())),QUOTIENT(F$46,MAX(1,F$48))+IF(IF(F$50,SUMPRODUCT(--(LEN(TRIM($B$12:$B15))&gt;0),--(F$12:F15=TRUE()),--($C$12:$C15&lt;&gt;TRUE())),SUMPRODUCT(--(LEN(TRIM($B$12:$B15))&gt;0),--(F$12:F15=TRUE())))&lt;=MOD(F$46,MAX(1,F$48)),1,0),0)</f>
        <v>0</v>
      </c>
      <c r="H55" s="14" t="n">
        <f aca="false">IF(AND(H$47,H$48&gt;0,LEN(TRIM($B15))&gt;0,H15=TRUE(),IF(H$50,$C15&lt;&gt;TRUE(),TRUE())),QUOTIENT(H$46,MAX(1,H$48))+IF(IF(H$50,SUMPRODUCT(--(LEN(TRIM($B$12:$B15))&gt;0),--(H$12:H15=TRUE()),--($C$12:$C15&lt;&gt;TRUE())),SUMPRODUCT(--(LEN(TRIM($B$12:$B15))&gt;0),--(H$12:H15=TRUE())))&lt;=MOD(H$46,MAX(1,H$48)),1,0),0)</f>
        <v>0</v>
      </c>
      <c r="J55" s="14" t="n">
        <f aca="false">IF(AND(J$47,J$48&gt;0,LEN(TRIM($B15))&gt;0,J15=TRUE(),IF(J$50,$C15&lt;&gt;TRUE(),TRUE())),QUOTIENT(J$46,MAX(1,J$48))+IF(IF(J$50,SUMPRODUCT(--(LEN(TRIM($B$12:$B15))&gt;0),--(J$12:J15=TRUE()),--($C$12:$C15&lt;&gt;TRUE())),SUMPRODUCT(--(LEN(TRIM($B$12:$B15))&gt;0),--(J$12:J15=TRUE())))&lt;=MOD(J$46,MAX(1,J$48)),1,0),0)</f>
        <v>0</v>
      </c>
      <c r="L55" s="14" t="n">
        <f aca="false">IF(AND(L$47,L$48&gt;0,LEN(TRIM($B15))&gt;0,L15=TRUE(),IF(L$50,$C15&lt;&gt;TRUE(),TRUE())),QUOTIENT(L$46,MAX(1,L$48))+IF(IF(L$50,SUMPRODUCT(--(LEN(TRIM($B$12:$B15))&gt;0),--(L$12:L15=TRUE()),--($C$12:$C15&lt;&gt;TRUE())),SUMPRODUCT(--(LEN(TRIM($B$12:$B15))&gt;0),--(L$12:L15=TRUE())))&lt;=MOD(L$46,MAX(1,L$48)),1,0),0)</f>
        <v>0</v>
      </c>
      <c r="N55" s="14" t="n">
        <f aca="false">IF(AND(N$47,N$48&gt;0,LEN(TRIM($B15))&gt;0,N15=TRUE(),IF(N$50,$C15&lt;&gt;TRUE(),TRUE())),QUOTIENT(N$46,MAX(1,N$48))+IF(IF(N$50,SUMPRODUCT(--(LEN(TRIM($B$12:$B15))&gt;0),--(N$12:N15=TRUE()),--($C$12:$C15&lt;&gt;TRUE())),SUMPRODUCT(--(LEN(TRIM($B$12:$B15))&gt;0),--(N$12:N15=TRUE())))&lt;=MOD(N$46,MAX(1,N$48)),1,0),0)</f>
        <v>0</v>
      </c>
      <c r="P55" s="14" t="n">
        <f aca="false">IF(AND(P$47,P$48&gt;0,LEN(TRIM($B15))&gt;0,P15=TRUE(),IF(P$50,$C15&lt;&gt;TRUE(),TRUE())),QUOTIENT(P$46,MAX(1,P$48))+IF(IF(P$50,SUMPRODUCT(--(LEN(TRIM($B$12:$B15))&gt;0),--(P$12:P15=TRUE()),--($C$12:$C15&lt;&gt;TRUE())),SUMPRODUCT(--(LEN(TRIM($B$12:$B15))&gt;0),--(P$12:P15=TRUE())))&lt;=MOD(P$46,MAX(1,P$48)),1,0),0)</f>
        <v>0</v>
      </c>
    </row>
    <row r="56" customFormat="false" ht="15" hidden="true" customHeight="false" outlineLevel="0" collapsed="false">
      <c r="A56" s="13" t="s">
        <v>22</v>
      </c>
      <c r="D56" s="14" t="n">
        <f aca="false">IF(AND(D$47,D$48&gt;0,LEN(TRIM($B16))&gt;0,D16=TRUE(),IF(D$50,$C16&lt;&gt;TRUE(),TRUE())),QUOTIENT(D$46,MAX(1,D$48))+IF(IF(D$50,SUMPRODUCT(--(LEN(TRIM($B$12:$B16))&gt;0),--(D$12:D16=TRUE()),--($C$12:$C16&lt;&gt;TRUE())),SUMPRODUCT(--(LEN(TRIM($B$12:$B16))&gt;0),--(D$12:D16=TRUE())))&lt;=MOD(D$46,MAX(1,D$48)),1,0),0)</f>
        <v>0</v>
      </c>
      <c r="F56" s="14" t="n">
        <f aca="false">IF(AND(F$47,F$48&gt;0,LEN(TRIM($B16))&gt;0,F16=TRUE(),IF(F$50,$C16&lt;&gt;TRUE(),TRUE())),QUOTIENT(F$46,MAX(1,F$48))+IF(IF(F$50,SUMPRODUCT(--(LEN(TRIM($B$12:$B16))&gt;0),--(F$12:F16=TRUE()),--($C$12:$C16&lt;&gt;TRUE())),SUMPRODUCT(--(LEN(TRIM($B$12:$B16))&gt;0),--(F$12:F16=TRUE())))&lt;=MOD(F$46,MAX(1,F$48)),1,0),0)</f>
        <v>0</v>
      </c>
      <c r="H56" s="14" t="n">
        <f aca="false">IF(AND(H$47,H$48&gt;0,LEN(TRIM($B16))&gt;0,H16=TRUE(),IF(H$50,$C16&lt;&gt;TRUE(),TRUE())),QUOTIENT(H$46,MAX(1,H$48))+IF(IF(H$50,SUMPRODUCT(--(LEN(TRIM($B$12:$B16))&gt;0),--(H$12:H16=TRUE()),--($C$12:$C16&lt;&gt;TRUE())),SUMPRODUCT(--(LEN(TRIM($B$12:$B16))&gt;0),--(H$12:H16=TRUE())))&lt;=MOD(H$46,MAX(1,H$48)),1,0),0)</f>
        <v>0</v>
      </c>
      <c r="J56" s="14" t="n">
        <f aca="false">IF(AND(J$47,J$48&gt;0,LEN(TRIM($B16))&gt;0,J16=TRUE(),IF(J$50,$C16&lt;&gt;TRUE(),TRUE())),QUOTIENT(J$46,MAX(1,J$48))+IF(IF(J$50,SUMPRODUCT(--(LEN(TRIM($B$12:$B16))&gt;0),--(J$12:J16=TRUE()),--($C$12:$C16&lt;&gt;TRUE())),SUMPRODUCT(--(LEN(TRIM($B$12:$B16))&gt;0),--(J$12:J16=TRUE())))&lt;=MOD(J$46,MAX(1,J$48)),1,0),0)</f>
        <v>0</v>
      </c>
      <c r="L56" s="14" t="n">
        <f aca="false">IF(AND(L$47,L$48&gt;0,LEN(TRIM($B16))&gt;0,L16=TRUE(),IF(L$50,$C16&lt;&gt;TRUE(),TRUE())),QUOTIENT(L$46,MAX(1,L$48))+IF(IF(L$50,SUMPRODUCT(--(LEN(TRIM($B$12:$B16))&gt;0),--(L$12:L16=TRUE()),--($C$12:$C16&lt;&gt;TRUE())),SUMPRODUCT(--(LEN(TRIM($B$12:$B16))&gt;0),--(L$12:L16=TRUE())))&lt;=MOD(L$46,MAX(1,L$48)),1,0),0)</f>
        <v>0</v>
      </c>
      <c r="N56" s="14" t="n">
        <f aca="false">IF(AND(N$47,N$48&gt;0,LEN(TRIM($B16))&gt;0,N16=TRUE(),IF(N$50,$C16&lt;&gt;TRUE(),TRUE())),QUOTIENT(N$46,MAX(1,N$48))+IF(IF(N$50,SUMPRODUCT(--(LEN(TRIM($B$12:$B16))&gt;0),--(N$12:N16=TRUE()),--($C$12:$C16&lt;&gt;TRUE())),SUMPRODUCT(--(LEN(TRIM($B$12:$B16))&gt;0),--(N$12:N16=TRUE())))&lt;=MOD(N$46,MAX(1,N$48)),1,0),0)</f>
        <v>0</v>
      </c>
      <c r="P56" s="14" t="n">
        <f aca="false">IF(AND(P$47,P$48&gt;0,LEN(TRIM($B16))&gt;0,P16=TRUE(),IF(P$50,$C16&lt;&gt;TRUE(),TRUE())),QUOTIENT(P$46,MAX(1,P$48))+IF(IF(P$50,SUMPRODUCT(--(LEN(TRIM($B$12:$B16))&gt;0),--(P$12:P16=TRUE()),--($C$12:$C16&lt;&gt;TRUE())),SUMPRODUCT(--(LEN(TRIM($B$12:$B16))&gt;0),--(P$12:P16=TRUE())))&lt;=MOD(P$46,MAX(1,P$48)),1,0),0)</f>
        <v>0</v>
      </c>
    </row>
    <row r="57" customFormat="false" ht="15" hidden="true" customHeight="false" outlineLevel="0" collapsed="false">
      <c r="A57" s="13" t="s">
        <v>23</v>
      </c>
      <c r="D57" s="14" t="n">
        <f aca="false">IF(AND(D$47,D$48&gt;0,LEN(TRIM($B17))&gt;0,D17=TRUE(),IF(D$50,$C17&lt;&gt;TRUE(),TRUE())),QUOTIENT(D$46,MAX(1,D$48))+IF(IF(D$50,SUMPRODUCT(--(LEN(TRIM($B$12:$B17))&gt;0),--(D$12:D17=TRUE()),--($C$12:$C17&lt;&gt;TRUE())),SUMPRODUCT(--(LEN(TRIM($B$12:$B17))&gt;0),--(D$12:D17=TRUE())))&lt;=MOD(D$46,MAX(1,D$48)),1,0),0)</f>
        <v>0</v>
      </c>
      <c r="F57" s="14" t="n">
        <f aca="false">IF(AND(F$47,F$48&gt;0,LEN(TRIM($B17))&gt;0,F17=TRUE(),IF(F$50,$C17&lt;&gt;TRUE(),TRUE())),QUOTIENT(F$46,MAX(1,F$48))+IF(IF(F$50,SUMPRODUCT(--(LEN(TRIM($B$12:$B17))&gt;0),--(F$12:F17=TRUE()),--($C$12:$C17&lt;&gt;TRUE())),SUMPRODUCT(--(LEN(TRIM($B$12:$B17))&gt;0),--(F$12:F17=TRUE())))&lt;=MOD(F$46,MAX(1,F$48)),1,0),0)</f>
        <v>0</v>
      </c>
      <c r="H57" s="14" t="n">
        <f aca="false">IF(AND(H$47,H$48&gt;0,LEN(TRIM($B17))&gt;0,H17=TRUE(),IF(H$50,$C17&lt;&gt;TRUE(),TRUE())),QUOTIENT(H$46,MAX(1,H$48))+IF(IF(H$50,SUMPRODUCT(--(LEN(TRIM($B$12:$B17))&gt;0),--(H$12:H17=TRUE()),--($C$12:$C17&lt;&gt;TRUE())),SUMPRODUCT(--(LEN(TRIM($B$12:$B17))&gt;0),--(H$12:H17=TRUE())))&lt;=MOD(H$46,MAX(1,H$48)),1,0),0)</f>
        <v>0</v>
      </c>
      <c r="J57" s="14" t="n">
        <f aca="false">IF(AND(J$47,J$48&gt;0,LEN(TRIM($B17))&gt;0,J17=TRUE(),IF(J$50,$C17&lt;&gt;TRUE(),TRUE())),QUOTIENT(J$46,MAX(1,J$48))+IF(IF(J$50,SUMPRODUCT(--(LEN(TRIM($B$12:$B17))&gt;0),--(J$12:J17=TRUE()),--($C$12:$C17&lt;&gt;TRUE())),SUMPRODUCT(--(LEN(TRIM($B$12:$B17))&gt;0),--(J$12:J17=TRUE())))&lt;=MOD(J$46,MAX(1,J$48)),1,0),0)</f>
        <v>0</v>
      </c>
      <c r="L57" s="14" t="n">
        <f aca="false">IF(AND(L$47,L$48&gt;0,LEN(TRIM($B17))&gt;0,L17=TRUE(),IF(L$50,$C17&lt;&gt;TRUE(),TRUE())),QUOTIENT(L$46,MAX(1,L$48))+IF(IF(L$50,SUMPRODUCT(--(LEN(TRIM($B$12:$B17))&gt;0),--(L$12:L17=TRUE()),--($C$12:$C17&lt;&gt;TRUE())),SUMPRODUCT(--(LEN(TRIM($B$12:$B17))&gt;0),--(L$12:L17=TRUE())))&lt;=MOD(L$46,MAX(1,L$48)),1,0),0)</f>
        <v>0</v>
      </c>
      <c r="N57" s="14" t="n">
        <f aca="false">IF(AND(N$47,N$48&gt;0,LEN(TRIM($B17))&gt;0,N17=TRUE(),IF(N$50,$C17&lt;&gt;TRUE(),TRUE())),QUOTIENT(N$46,MAX(1,N$48))+IF(IF(N$50,SUMPRODUCT(--(LEN(TRIM($B$12:$B17))&gt;0),--(N$12:N17=TRUE()),--($C$12:$C17&lt;&gt;TRUE())),SUMPRODUCT(--(LEN(TRIM($B$12:$B17))&gt;0),--(N$12:N17=TRUE())))&lt;=MOD(N$46,MAX(1,N$48)),1,0),0)</f>
        <v>0</v>
      </c>
      <c r="P57" s="14" t="n">
        <f aca="false">IF(AND(P$47,P$48&gt;0,LEN(TRIM($B17))&gt;0,P17=TRUE(),IF(P$50,$C17&lt;&gt;TRUE(),TRUE())),QUOTIENT(P$46,MAX(1,P$48))+IF(IF(P$50,SUMPRODUCT(--(LEN(TRIM($B$12:$B17))&gt;0),--(P$12:P17=TRUE()),--($C$12:$C17&lt;&gt;TRUE())),SUMPRODUCT(--(LEN(TRIM($B$12:$B17))&gt;0),--(P$12:P17=TRUE())))&lt;=MOD(P$46,MAX(1,P$48)),1,0),0)</f>
        <v>0</v>
      </c>
    </row>
    <row r="58" customFormat="false" ht="15" hidden="true" customHeight="false" outlineLevel="0" collapsed="false">
      <c r="A58" s="13" t="s">
        <v>24</v>
      </c>
      <c r="D58" s="14" t="n">
        <f aca="false">IF(AND(D$47,D$48&gt;0,LEN(TRIM($B18))&gt;0,D18=TRUE(),IF(D$50,$C18&lt;&gt;TRUE(),TRUE())),QUOTIENT(D$46,MAX(1,D$48))+IF(IF(D$50,SUMPRODUCT(--(LEN(TRIM($B$12:$B18))&gt;0),--(D$12:D18=TRUE()),--($C$12:$C18&lt;&gt;TRUE())),SUMPRODUCT(--(LEN(TRIM($B$12:$B18))&gt;0),--(D$12:D18=TRUE())))&lt;=MOD(D$46,MAX(1,D$48)),1,0),0)</f>
        <v>0</v>
      </c>
      <c r="F58" s="14" t="n">
        <f aca="false">IF(AND(F$47,F$48&gt;0,LEN(TRIM($B18))&gt;0,F18=TRUE(),IF(F$50,$C18&lt;&gt;TRUE(),TRUE())),QUOTIENT(F$46,MAX(1,F$48))+IF(IF(F$50,SUMPRODUCT(--(LEN(TRIM($B$12:$B18))&gt;0),--(F$12:F18=TRUE()),--($C$12:$C18&lt;&gt;TRUE())),SUMPRODUCT(--(LEN(TRIM($B$12:$B18))&gt;0),--(F$12:F18=TRUE())))&lt;=MOD(F$46,MAX(1,F$48)),1,0),0)</f>
        <v>0</v>
      </c>
      <c r="H58" s="14" t="n">
        <f aca="false">IF(AND(H$47,H$48&gt;0,LEN(TRIM($B18))&gt;0,H18=TRUE(),IF(H$50,$C18&lt;&gt;TRUE(),TRUE())),QUOTIENT(H$46,MAX(1,H$48))+IF(IF(H$50,SUMPRODUCT(--(LEN(TRIM($B$12:$B18))&gt;0),--(H$12:H18=TRUE()),--($C$12:$C18&lt;&gt;TRUE())),SUMPRODUCT(--(LEN(TRIM($B$12:$B18))&gt;0),--(H$12:H18=TRUE())))&lt;=MOD(H$46,MAX(1,H$48)),1,0),0)</f>
        <v>0</v>
      </c>
      <c r="J58" s="14" t="n">
        <f aca="false">IF(AND(J$47,J$48&gt;0,LEN(TRIM($B18))&gt;0,J18=TRUE(),IF(J$50,$C18&lt;&gt;TRUE(),TRUE())),QUOTIENT(J$46,MAX(1,J$48))+IF(IF(J$50,SUMPRODUCT(--(LEN(TRIM($B$12:$B18))&gt;0),--(J$12:J18=TRUE()),--($C$12:$C18&lt;&gt;TRUE())),SUMPRODUCT(--(LEN(TRIM($B$12:$B18))&gt;0),--(J$12:J18=TRUE())))&lt;=MOD(J$46,MAX(1,J$48)),1,0),0)</f>
        <v>0</v>
      </c>
      <c r="L58" s="14" t="n">
        <f aca="false">IF(AND(L$47,L$48&gt;0,LEN(TRIM($B18))&gt;0,L18=TRUE(),IF(L$50,$C18&lt;&gt;TRUE(),TRUE())),QUOTIENT(L$46,MAX(1,L$48))+IF(IF(L$50,SUMPRODUCT(--(LEN(TRIM($B$12:$B18))&gt;0),--(L$12:L18=TRUE()),--($C$12:$C18&lt;&gt;TRUE())),SUMPRODUCT(--(LEN(TRIM($B$12:$B18))&gt;0),--(L$12:L18=TRUE())))&lt;=MOD(L$46,MAX(1,L$48)),1,0),0)</f>
        <v>0</v>
      </c>
      <c r="N58" s="14" t="n">
        <f aca="false">IF(AND(N$47,N$48&gt;0,LEN(TRIM($B18))&gt;0,N18=TRUE(),IF(N$50,$C18&lt;&gt;TRUE(),TRUE())),QUOTIENT(N$46,MAX(1,N$48))+IF(IF(N$50,SUMPRODUCT(--(LEN(TRIM($B$12:$B18))&gt;0),--(N$12:N18=TRUE()),--($C$12:$C18&lt;&gt;TRUE())),SUMPRODUCT(--(LEN(TRIM($B$12:$B18))&gt;0),--(N$12:N18=TRUE())))&lt;=MOD(N$46,MAX(1,N$48)),1,0),0)</f>
        <v>0</v>
      </c>
      <c r="P58" s="14" t="n">
        <f aca="false">IF(AND(P$47,P$48&gt;0,LEN(TRIM($B18))&gt;0,P18=TRUE(),IF(P$50,$C18&lt;&gt;TRUE(),TRUE())),QUOTIENT(P$46,MAX(1,P$48))+IF(IF(P$50,SUMPRODUCT(--(LEN(TRIM($B$12:$B18))&gt;0),--(P$12:P18=TRUE()),--($C$12:$C18&lt;&gt;TRUE())),SUMPRODUCT(--(LEN(TRIM($B$12:$B18))&gt;0),--(P$12:P18=TRUE())))&lt;=MOD(P$46,MAX(1,P$48)),1,0),0)</f>
        <v>0</v>
      </c>
    </row>
    <row r="59" customFormat="false" ht="15" hidden="true" customHeight="false" outlineLevel="0" collapsed="false">
      <c r="A59" s="13" t="s">
        <v>25</v>
      </c>
      <c r="D59" s="14" t="n">
        <f aca="false">IF(AND(D$47,D$48&gt;0,LEN(TRIM($B19))&gt;0,D19=TRUE(),IF(D$50,$C19&lt;&gt;TRUE(),TRUE())),QUOTIENT(D$46,MAX(1,D$48))+IF(IF(D$50,SUMPRODUCT(--(LEN(TRIM($B$12:$B19))&gt;0),--(D$12:D19=TRUE()),--($C$12:$C19&lt;&gt;TRUE())),SUMPRODUCT(--(LEN(TRIM($B$12:$B19))&gt;0),--(D$12:D19=TRUE())))&lt;=MOD(D$46,MAX(1,D$48)),1,0),0)</f>
        <v>0</v>
      </c>
      <c r="F59" s="14" t="n">
        <f aca="false">IF(AND(F$47,F$48&gt;0,LEN(TRIM($B19))&gt;0,F19=TRUE(),IF(F$50,$C19&lt;&gt;TRUE(),TRUE())),QUOTIENT(F$46,MAX(1,F$48))+IF(IF(F$50,SUMPRODUCT(--(LEN(TRIM($B$12:$B19))&gt;0),--(F$12:F19=TRUE()),--($C$12:$C19&lt;&gt;TRUE())),SUMPRODUCT(--(LEN(TRIM($B$12:$B19))&gt;0),--(F$12:F19=TRUE())))&lt;=MOD(F$46,MAX(1,F$48)),1,0),0)</f>
        <v>0</v>
      </c>
      <c r="H59" s="14" t="n">
        <f aca="false">IF(AND(H$47,H$48&gt;0,LEN(TRIM($B19))&gt;0,H19=TRUE(),IF(H$50,$C19&lt;&gt;TRUE(),TRUE())),QUOTIENT(H$46,MAX(1,H$48))+IF(IF(H$50,SUMPRODUCT(--(LEN(TRIM($B$12:$B19))&gt;0),--(H$12:H19=TRUE()),--($C$12:$C19&lt;&gt;TRUE())),SUMPRODUCT(--(LEN(TRIM($B$12:$B19))&gt;0),--(H$12:H19=TRUE())))&lt;=MOD(H$46,MAX(1,H$48)),1,0),0)</f>
        <v>0</v>
      </c>
      <c r="J59" s="14" t="n">
        <f aca="false">IF(AND(J$47,J$48&gt;0,LEN(TRIM($B19))&gt;0,J19=TRUE(),IF(J$50,$C19&lt;&gt;TRUE(),TRUE())),QUOTIENT(J$46,MAX(1,J$48))+IF(IF(J$50,SUMPRODUCT(--(LEN(TRIM($B$12:$B19))&gt;0),--(J$12:J19=TRUE()),--($C$12:$C19&lt;&gt;TRUE())),SUMPRODUCT(--(LEN(TRIM($B$12:$B19))&gt;0),--(J$12:J19=TRUE())))&lt;=MOD(J$46,MAX(1,J$48)),1,0),0)</f>
        <v>0</v>
      </c>
      <c r="L59" s="14" t="n">
        <f aca="false">IF(AND(L$47,L$48&gt;0,LEN(TRIM($B19))&gt;0,L19=TRUE(),IF(L$50,$C19&lt;&gt;TRUE(),TRUE())),QUOTIENT(L$46,MAX(1,L$48))+IF(IF(L$50,SUMPRODUCT(--(LEN(TRIM($B$12:$B19))&gt;0),--(L$12:L19=TRUE()),--($C$12:$C19&lt;&gt;TRUE())),SUMPRODUCT(--(LEN(TRIM($B$12:$B19))&gt;0),--(L$12:L19=TRUE())))&lt;=MOD(L$46,MAX(1,L$48)),1,0),0)</f>
        <v>0</v>
      </c>
      <c r="N59" s="14" t="n">
        <f aca="false">IF(AND(N$47,N$48&gt;0,LEN(TRIM($B19))&gt;0,N19=TRUE(),IF(N$50,$C19&lt;&gt;TRUE(),TRUE())),QUOTIENT(N$46,MAX(1,N$48))+IF(IF(N$50,SUMPRODUCT(--(LEN(TRIM($B$12:$B19))&gt;0),--(N$12:N19=TRUE()),--($C$12:$C19&lt;&gt;TRUE())),SUMPRODUCT(--(LEN(TRIM($B$12:$B19))&gt;0),--(N$12:N19=TRUE())))&lt;=MOD(N$46,MAX(1,N$48)),1,0),0)</f>
        <v>0</v>
      </c>
      <c r="P59" s="14" t="n">
        <f aca="false">IF(AND(P$47,P$48&gt;0,LEN(TRIM($B19))&gt;0,P19=TRUE(),IF(P$50,$C19&lt;&gt;TRUE(),TRUE())),QUOTIENT(P$46,MAX(1,P$48))+IF(IF(P$50,SUMPRODUCT(--(LEN(TRIM($B$12:$B19))&gt;0),--(P$12:P19=TRUE()),--($C$12:$C19&lt;&gt;TRUE())),SUMPRODUCT(--(LEN(TRIM($B$12:$B19))&gt;0),--(P$12:P19=TRUE())))&lt;=MOD(P$46,MAX(1,P$48)),1,0),0)</f>
        <v>0</v>
      </c>
    </row>
    <row r="60" customFormat="false" ht="15" hidden="true" customHeight="false" outlineLevel="0" collapsed="false">
      <c r="A60" s="13" t="s">
        <v>26</v>
      </c>
      <c r="D60" s="14" t="n">
        <f aca="false">IF(AND(D$47,D$48&gt;0,LEN(TRIM($B20))&gt;0,D20=TRUE(),IF(D$50,$C20&lt;&gt;TRUE(),TRUE())),QUOTIENT(D$46,MAX(1,D$48))+IF(IF(D$50,SUMPRODUCT(--(LEN(TRIM($B$12:$B20))&gt;0),--(D$12:D20=TRUE()),--($C$12:$C20&lt;&gt;TRUE())),SUMPRODUCT(--(LEN(TRIM($B$12:$B20))&gt;0),--(D$12:D20=TRUE())))&lt;=MOD(D$46,MAX(1,D$48)),1,0),0)</f>
        <v>0</v>
      </c>
      <c r="F60" s="14" t="n">
        <f aca="false">IF(AND(F$47,F$48&gt;0,LEN(TRIM($B20))&gt;0,F20=TRUE(),IF(F$50,$C20&lt;&gt;TRUE(),TRUE())),QUOTIENT(F$46,MAX(1,F$48))+IF(IF(F$50,SUMPRODUCT(--(LEN(TRIM($B$12:$B20))&gt;0),--(F$12:F20=TRUE()),--($C$12:$C20&lt;&gt;TRUE())),SUMPRODUCT(--(LEN(TRIM($B$12:$B20))&gt;0),--(F$12:F20=TRUE())))&lt;=MOD(F$46,MAX(1,F$48)),1,0),0)</f>
        <v>0</v>
      </c>
      <c r="H60" s="14" t="n">
        <f aca="false">IF(AND(H$47,H$48&gt;0,LEN(TRIM($B20))&gt;0,H20=TRUE(),IF(H$50,$C20&lt;&gt;TRUE(),TRUE())),QUOTIENT(H$46,MAX(1,H$48))+IF(IF(H$50,SUMPRODUCT(--(LEN(TRIM($B$12:$B20))&gt;0),--(H$12:H20=TRUE()),--($C$12:$C20&lt;&gt;TRUE())),SUMPRODUCT(--(LEN(TRIM($B$12:$B20))&gt;0),--(H$12:H20=TRUE())))&lt;=MOD(H$46,MAX(1,H$48)),1,0),0)</f>
        <v>0</v>
      </c>
      <c r="J60" s="14" t="n">
        <f aca="false">IF(AND(J$47,J$48&gt;0,LEN(TRIM($B20))&gt;0,J20=TRUE(),IF(J$50,$C20&lt;&gt;TRUE(),TRUE())),QUOTIENT(J$46,MAX(1,J$48))+IF(IF(J$50,SUMPRODUCT(--(LEN(TRIM($B$12:$B20))&gt;0),--(J$12:J20=TRUE()),--($C$12:$C20&lt;&gt;TRUE())),SUMPRODUCT(--(LEN(TRIM($B$12:$B20))&gt;0),--(J$12:J20=TRUE())))&lt;=MOD(J$46,MAX(1,J$48)),1,0),0)</f>
        <v>0</v>
      </c>
      <c r="L60" s="14" t="n">
        <f aca="false">IF(AND(L$47,L$48&gt;0,LEN(TRIM($B20))&gt;0,L20=TRUE(),IF(L$50,$C20&lt;&gt;TRUE(),TRUE())),QUOTIENT(L$46,MAX(1,L$48))+IF(IF(L$50,SUMPRODUCT(--(LEN(TRIM($B$12:$B20))&gt;0),--(L$12:L20=TRUE()),--($C$12:$C20&lt;&gt;TRUE())),SUMPRODUCT(--(LEN(TRIM($B$12:$B20))&gt;0),--(L$12:L20=TRUE())))&lt;=MOD(L$46,MAX(1,L$48)),1,0),0)</f>
        <v>0</v>
      </c>
      <c r="N60" s="14" t="n">
        <f aca="false">IF(AND(N$47,N$48&gt;0,LEN(TRIM($B20))&gt;0,N20=TRUE(),IF(N$50,$C20&lt;&gt;TRUE(),TRUE())),QUOTIENT(N$46,MAX(1,N$48))+IF(IF(N$50,SUMPRODUCT(--(LEN(TRIM($B$12:$B20))&gt;0),--(N$12:N20=TRUE()),--($C$12:$C20&lt;&gt;TRUE())),SUMPRODUCT(--(LEN(TRIM($B$12:$B20))&gt;0),--(N$12:N20=TRUE())))&lt;=MOD(N$46,MAX(1,N$48)),1,0),0)</f>
        <v>0</v>
      </c>
      <c r="P60" s="14" t="n">
        <f aca="false">IF(AND(P$47,P$48&gt;0,LEN(TRIM($B20))&gt;0,P20=TRUE(),IF(P$50,$C20&lt;&gt;TRUE(),TRUE())),QUOTIENT(P$46,MAX(1,P$48))+IF(IF(P$50,SUMPRODUCT(--(LEN(TRIM($B$12:$B20))&gt;0),--(P$12:P20=TRUE()),--($C$12:$C20&lt;&gt;TRUE())),SUMPRODUCT(--(LEN(TRIM($B$12:$B20))&gt;0),--(P$12:P20=TRUE())))&lt;=MOD(P$46,MAX(1,P$48)),1,0),0)</f>
        <v>0</v>
      </c>
    </row>
    <row r="61" customFormat="false" ht="15" hidden="true" customHeight="false" outlineLevel="0" collapsed="false">
      <c r="A61" s="13" t="s">
        <v>27</v>
      </c>
      <c r="D61" s="14" t="n">
        <f aca="false">IF(AND(D$47,D$48&gt;0,LEN(TRIM($B21))&gt;0,D21=TRUE(),IF(D$50,$C21&lt;&gt;TRUE(),TRUE())),QUOTIENT(D$46,MAX(1,D$48))+IF(IF(D$50,SUMPRODUCT(--(LEN(TRIM($B$12:$B21))&gt;0),--(D$12:D21=TRUE()),--($C$12:$C21&lt;&gt;TRUE())),SUMPRODUCT(--(LEN(TRIM($B$12:$B21))&gt;0),--(D$12:D21=TRUE())))&lt;=MOD(D$46,MAX(1,D$48)),1,0),0)</f>
        <v>0</v>
      </c>
      <c r="F61" s="14" t="n">
        <f aca="false">IF(AND(F$47,F$48&gt;0,LEN(TRIM($B21))&gt;0,F21=TRUE(),IF(F$50,$C21&lt;&gt;TRUE(),TRUE())),QUOTIENT(F$46,MAX(1,F$48))+IF(IF(F$50,SUMPRODUCT(--(LEN(TRIM($B$12:$B21))&gt;0),--(F$12:F21=TRUE()),--($C$12:$C21&lt;&gt;TRUE())),SUMPRODUCT(--(LEN(TRIM($B$12:$B21))&gt;0),--(F$12:F21=TRUE())))&lt;=MOD(F$46,MAX(1,F$48)),1,0),0)</f>
        <v>0</v>
      </c>
      <c r="H61" s="14" t="n">
        <f aca="false">IF(AND(H$47,H$48&gt;0,LEN(TRIM($B21))&gt;0,H21=TRUE(),IF(H$50,$C21&lt;&gt;TRUE(),TRUE())),QUOTIENT(H$46,MAX(1,H$48))+IF(IF(H$50,SUMPRODUCT(--(LEN(TRIM($B$12:$B21))&gt;0),--(H$12:H21=TRUE()),--($C$12:$C21&lt;&gt;TRUE())),SUMPRODUCT(--(LEN(TRIM($B$12:$B21))&gt;0),--(H$12:H21=TRUE())))&lt;=MOD(H$46,MAX(1,H$48)),1,0),0)</f>
        <v>0</v>
      </c>
      <c r="J61" s="14" t="n">
        <f aca="false">IF(AND(J$47,J$48&gt;0,LEN(TRIM($B21))&gt;0,J21=TRUE(),IF(J$50,$C21&lt;&gt;TRUE(),TRUE())),QUOTIENT(J$46,MAX(1,J$48))+IF(IF(J$50,SUMPRODUCT(--(LEN(TRIM($B$12:$B21))&gt;0),--(J$12:J21=TRUE()),--($C$12:$C21&lt;&gt;TRUE())),SUMPRODUCT(--(LEN(TRIM($B$12:$B21))&gt;0),--(J$12:J21=TRUE())))&lt;=MOD(J$46,MAX(1,J$48)),1,0),0)</f>
        <v>0</v>
      </c>
      <c r="L61" s="14" t="n">
        <f aca="false">IF(AND(L$47,L$48&gt;0,LEN(TRIM($B21))&gt;0,L21=TRUE(),IF(L$50,$C21&lt;&gt;TRUE(),TRUE())),QUOTIENT(L$46,MAX(1,L$48))+IF(IF(L$50,SUMPRODUCT(--(LEN(TRIM($B$12:$B21))&gt;0),--(L$12:L21=TRUE()),--($C$12:$C21&lt;&gt;TRUE())),SUMPRODUCT(--(LEN(TRIM($B$12:$B21))&gt;0),--(L$12:L21=TRUE())))&lt;=MOD(L$46,MAX(1,L$48)),1,0),0)</f>
        <v>0</v>
      </c>
      <c r="N61" s="14" t="n">
        <f aca="false">IF(AND(N$47,N$48&gt;0,LEN(TRIM($B21))&gt;0,N21=TRUE(),IF(N$50,$C21&lt;&gt;TRUE(),TRUE())),QUOTIENT(N$46,MAX(1,N$48))+IF(IF(N$50,SUMPRODUCT(--(LEN(TRIM($B$12:$B21))&gt;0),--(N$12:N21=TRUE()),--($C$12:$C21&lt;&gt;TRUE())),SUMPRODUCT(--(LEN(TRIM($B$12:$B21))&gt;0),--(N$12:N21=TRUE())))&lt;=MOD(N$46,MAX(1,N$48)),1,0),0)</f>
        <v>0</v>
      </c>
      <c r="P61" s="14" t="n">
        <f aca="false">IF(AND(P$47,P$48&gt;0,LEN(TRIM($B21))&gt;0,P21=TRUE(),IF(P$50,$C21&lt;&gt;TRUE(),TRUE())),QUOTIENT(P$46,MAX(1,P$48))+IF(IF(P$50,SUMPRODUCT(--(LEN(TRIM($B$12:$B21))&gt;0),--(P$12:P21=TRUE()),--($C$12:$C21&lt;&gt;TRUE())),SUMPRODUCT(--(LEN(TRIM($B$12:$B21))&gt;0),--(P$12:P21=TRUE())))&lt;=MOD(P$46,MAX(1,P$48)),1,0),0)</f>
        <v>0</v>
      </c>
    </row>
    <row r="62" customFormat="false" ht="15" hidden="true" customHeight="false" outlineLevel="0" collapsed="false">
      <c r="A62" s="13" t="s">
        <v>28</v>
      </c>
      <c r="D62" s="14" t="n">
        <f aca="false">IF(AND(D$47,D$48&gt;0,LEN(TRIM($B22))&gt;0,D22=TRUE(),IF(D$50,$C22&lt;&gt;TRUE(),TRUE())),QUOTIENT(D$46,MAX(1,D$48))+IF(IF(D$50,SUMPRODUCT(--(LEN(TRIM($B$12:$B22))&gt;0),--(D$12:D22=TRUE()),--($C$12:$C22&lt;&gt;TRUE())),SUMPRODUCT(--(LEN(TRIM($B$12:$B22))&gt;0),--(D$12:D22=TRUE())))&lt;=MOD(D$46,MAX(1,D$48)),1,0),0)</f>
        <v>0</v>
      </c>
      <c r="F62" s="14" t="n">
        <f aca="false">IF(AND(F$47,F$48&gt;0,LEN(TRIM($B22))&gt;0,F22=TRUE(),IF(F$50,$C22&lt;&gt;TRUE(),TRUE())),QUOTIENT(F$46,MAX(1,F$48))+IF(IF(F$50,SUMPRODUCT(--(LEN(TRIM($B$12:$B22))&gt;0),--(F$12:F22=TRUE()),--($C$12:$C22&lt;&gt;TRUE())),SUMPRODUCT(--(LEN(TRIM($B$12:$B22))&gt;0),--(F$12:F22=TRUE())))&lt;=MOD(F$46,MAX(1,F$48)),1,0),0)</f>
        <v>0</v>
      </c>
      <c r="H62" s="14" t="n">
        <f aca="false">IF(AND(H$47,H$48&gt;0,LEN(TRIM($B22))&gt;0,H22=TRUE(),IF(H$50,$C22&lt;&gt;TRUE(),TRUE())),QUOTIENT(H$46,MAX(1,H$48))+IF(IF(H$50,SUMPRODUCT(--(LEN(TRIM($B$12:$B22))&gt;0),--(H$12:H22=TRUE()),--($C$12:$C22&lt;&gt;TRUE())),SUMPRODUCT(--(LEN(TRIM($B$12:$B22))&gt;0),--(H$12:H22=TRUE())))&lt;=MOD(H$46,MAX(1,H$48)),1,0),0)</f>
        <v>0</v>
      </c>
      <c r="J62" s="14" t="n">
        <f aca="false">IF(AND(J$47,J$48&gt;0,LEN(TRIM($B22))&gt;0,J22=TRUE(),IF(J$50,$C22&lt;&gt;TRUE(),TRUE())),QUOTIENT(J$46,MAX(1,J$48))+IF(IF(J$50,SUMPRODUCT(--(LEN(TRIM($B$12:$B22))&gt;0),--(J$12:J22=TRUE()),--($C$12:$C22&lt;&gt;TRUE())),SUMPRODUCT(--(LEN(TRIM($B$12:$B22))&gt;0),--(J$12:J22=TRUE())))&lt;=MOD(J$46,MAX(1,J$48)),1,0),0)</f>
        <v>0</v>
      </c>
      <c r="L62" s="14" t="n">
        <f aca="false">IF(AND(L$47,L$48&gt;0,LEN(TRIM($B22))&gt;0,L22=TRUE(),IF(L$50,$C22&lt;&gt;TRUE(),TRUE())),QUOTIENT(L$46,MAX(1,L$48))+IF(IF(L$50,SUMPRODUCT(--(LEN(TRIM($B$12:$B22))&gt;0),--(L$12:L22=TRUE()),--($C$12:$C22&lt;&gt;TRUE())),SUMPRODUCT(--(LEN(TRIM($B$12:$B22))&gt;0),--(L$12:L22=TRUE())))&lt;=MOD(L$46,MAX(1,L$48)),1,0),0)</f>
        <v>0</v>
      </c>
      <c r="N62" s="14" t="n">
        <f aca="false">IF(AND(N$47,N$48&gt;0,LEN(TRIM($B22))&gt;0,N22=TRUE(),IF(N$50,$C22&lt;&gt;TRUE(),TRUE())),QUOTIENT(N$46,MAX(1,N$48))+IF(IF(N$50,SUMPRODUCT(--(LEN(TRIM($B$12:$B22))&gt;0),--(N$12:N22=TRUE()),--($C$12:$C22&lt;&gt;TRUE())),SUMPRODUCT(--(LEN(TRIM($B$12:$B22))&gt;0),--(N$12:N22=TRUE())))&lt;=MOD(N$46,MAX(1,N$48)),1,0),0)</f>
        <v>0</v>
      </c>
      <c r="P62" s="14" t="n">
        <f aca="false">IF(AND(P$47,P$48&gt;0,LEN(TRIM($B22))&gt;0,P22=TRUE(),IF(P$50,$C22&lt;&gt;TRUE(),TRUE())),QUOTIENT(P$46,MAX(1,P$48))+IF(IF(P$50,SUMPRODUCT(--(LEN(TRIM($B$12:$B22))&gt;0),--(P$12:P22=TRUE()),--($C$12:$C22&lt;&gt;TRUE())),SUMPRODUCT(--(LEN(TRIM($B$12:$B22))&gt;0),--(P$12:P22=TRUE())))&lt;=MOD(P$46,MAX(1,P$48)),1,0),0)</f>
        <v>0</v>
      </c>
    </row>
    <row r="63" customFormat="false" ht="15" hidden="true" customHeight="false" outlineLevel="0" collapsed="false">
      <c r="A63" s="13" t="s">
        <v>29</v>
      </c>
      <c r="D63" s="14" t="n">
        <f aca="false">IF(AND(D$47,D$48&gt;0,LEN(TRIM($B23))&gt;0,D23=TRUE(),IF(D$50,$C23&lt;&gt;TRUE(),TRUE())),QUOTIENT(D$46,MAX(1,D$48))+IF(IF(D$50,SUMPRODUCT(--(LEN(TRIM($B$12:$B23))&gt;0),--(D$12:D23=TRUE()),--($C$12:$C23&lt;&gt;TRUE())),SUMPRODUCT(--(LEN(TRIM($B$12:$B23))&gt;0),--(D$12:D23=TRUE())))&lt;=MOD(D$46,MAX(1,D$48)),1,0),0)</f>
        <v>0</v>
      </c>
      <c r="F63" s="14" t="n">
        <f aca="false">IF(AND(F$47,F$48&gt;0,LEN(TRIM($B23))&gt;0,F23=TRUE(),IF(F$50,$C23&lt;&gt;TRUE(),TRUE())),QUOTIENT(F$46,MAX(1,F$48))+IF(IF(F$50,SUMPRODUCT(--(LEN(TRIM($B$12:$B23))&gt;0),--(F$12:F23=TRUE()),--($C$12:$C23&lt;&gt;TRUE())),SUMPRODUCT(--(LEN(TRIM($B$12:$B23))&gt;0),--(F$12:F23=TRUE())))&lt;=MOD(F$46,MAX(1,F$48)),1,0),0)</f>
        <v>0</v>
      </c>
      <c r="H63" s="14" t="n">
        <f aca="false">IF(AND(H$47,H$48&gt;0,LEN(TRIM($B23))&gt;0,H23=TRUE(),IF(H$50,$C23&lt;&gt;TRUE(),TRUE())),QUOTIENT(H$46,MAX(1,H$48))+IF(IF(H$50,SUMPRODUCT(--(LEN(TRIM($B$12:$B23))&gt;0),--(H$12:H23=TRUE()),--($C$12:$C23&lt;&gt;TRUE())),SUMPRODUCT(--(LEN(TRIM($B$12:$B23))&gt;0),--(H$12:H23=TRUE())))&lt;=MOD(H$46,MAX(1,H$48)),1,0),0)</f>
        <v>0</v>
      </c>
      <c r="J63" s="14" t="n">
        <f aca="false">IF(AND(J$47,J$48&gt;0,LEN(TRIM($B23))&gt;0,J23=TRUE(),IF(J$50,$C23&lt;&gt;TRUE(),TRUE())),QUOTIENT(J$46,MAX(1,J$48))+IF(IF(J$50,SUMPRODUCT(--(LEN(TRIM($B$12:$B23))&gt;0),--(J$12:J23=TRUE()),--($C$12:$C23&lt;&gt;TRUE())),SUMPRODUCT(--(LEN(TRIM($B$12:$B23))&gt;0),--(J$12:J23=TRUE())))&lt;=MOD(J$46,MAX(1,J$48)),1,0),0)</f>
        <v>0</v>
      </c>
      <c r="L63" s="14" t="n">
        <f aca="false">IF(AND(L$47,L$48&gt;0,LEN(TRIM($B23))&gt;0,L23=TRUE(),IF(L$50,$C23&lt;&gt;TRUE(),TRUE())),QUOTIENT(L$46,MAX(1,L$48))+IF(IF(L$50,SUMPRODUCT(--(LEN(TRIM($B$12:$B23))&gt;0),--(L$12:L23=TRUE()),--($C$12:$C23&lt;&gt;TRUE())),SUMPRODUCT(--(LEN(TRIM($B$12:$B23))&gt;0),--(L$12:L23=TRUE())))&lt;=MOD(L$46,MAX(1,L$48)),1,0),0)</f>
        <v>0</v>
      </c>
      <c r="N63" s="14" t="n">
        <f aca="false">IF(AND(N$47,N$48&gt;0,LEN(TRIM($B23))&gt;0,N23=TRUE(),IF(N$50,$C23&lt;&gt;TRUE(),TRUE())),QUOTIENT(N$46,MAX(1,N$48))+IF(IF(N$50,SUMPRODUCT(--(LEN(TRIM($B$12:$B23))&gt;0),--(N$12:N23=TRUE()),--($C$12:$C23&lt;&gt;TRUE())),SUMPRODUCT(--(LEN(TRIM($B$12:$B23))&gt;0),--(N$12:N23=TRUE())))&lt;=MOD(N$46,MAX(1,N$48)),1,0),0)</f>
        <v>0</v>
      </c>
      <c r="P63" s="14" t="n">
        <f aca="false">IF(AND(P$47,P$48&gt;0,LEN(TRIM($B23))&gt;0,P23=TRUE(),IF(P$50,$C23&lt;&gt;TRUE(),TRUE())),QUOTIENT(P$46,MAX(1,P$48))+IF(IF(P$50,SUMPRODUCT(--(LEN(TRIM($B$12:$B23))&gt;0),--(P$12:P23=TRUE()),--($C$12:$C23&lt;&gt;TRUE())),SUMPRODUCT(--(LEN(TRIM($B$12:$B23))&gt;0),--(P$12:P23=TRUE())))&lt;=MOD(P$46,MAX(1,P$48)),1,0),0)</f>
        <v>0</v>
      </c>
    </row>
    <row r="64" customFormat="false" ht="15" hidden="true" customHeight="false" outlineLevel="0" collapsed="false">
      <c r="A64" s="13" t="s">
        <v>30</v>
      </c>
      <c r="D64" s="14" t="n">
        <f aca="false">IF(AND(D$47,D$48&gt;0,LEN(TRIM($B24))&gt;0,D24=TRUE(),IF(D$50,$C24&lt;&gt;TRUE(),TRUE())),QUOTIENT(D$46,MAX(1,D$48))+IF(IF(D$50,SUMPRODUCT(--(LEN(TRIM($B$12:$B24))&gt;0),--(D$12:D24=TRUE()),--($C$12:$C24&lt;&gt;TRUE())),SUMPRODUCT(--(LEN(TRIM($B$12:$B24))&gt;0),--(D$12:D24=TRUE())))&lt;=MOD(D$46,MAX(1,D$48)),1,0),0)</f>
        <v>0</v>
      </c>
      <c r="F64" s="14" t="n">
        <f aca="false">IF(AND(F$47,F$48&gt;0,LEN(TRIM($B24))&gt;0,F24=TRUE(),IF(F$50,$C24&lt;&gt;TRUE(),TRUE())),QUOTIENT(F$46,MAX(1,F$48))+IF(IF(F$50,SUMPRODUCT(--(LEN(TRIM($B$12:$B24))&gt;0),--(F$12:F24=TRUE()),--($C$12:$C24&lt;&gt;TRUE())),SUMPRODUCT(--(LEN(TRIM($B$12:$B24))&gt;0),--(F$12:F24=TRUE())))&lt;=MOD(F$46,MAX(1,F$48)),1,0),0)</f>
        <v>0</v>
      </c>
      <c r="H64" s="14" t="n">
        <f aca="false">IF(AND(H$47,H$48&gt;0,LEN(TRIM($B24))&gt;0,H24=TRUE(),IF(H$50,$C24&lt;&gt;TRUE(),TRUE())),QUOTIENT(H$46,MAX(1,H$48))+IF(IF(H$50,SUMPRODUCT(--(LEN(TRIM($B$12:$B24))&gt;0),--(H$12:H24=TRUE()),--($C$12:$C24&lt;&gt;TRUE())),SUMPRODUCT(--(LEN(TRIM($B$12:$B24))&gt;0),--(H$12:H24=TRUE())))&lt;=MOD(H$46,MAX(1,H$48)),1,0),0)</f>
        <v>0</v>
      </c>
      <c r="J64" s="14" t="n">
        <f aca="false">IF(AND(J$47,J$48&gt;0,LEN(TRIM($B24))&gt;0,J24=TRUE(),IF(J$50,$C24&lt;&gt;TRUE(),TRUE())),QUOTIENT(J$46,MAX(1,J$48))+IF(IF(J$50,SUMPRODUCT(--(LEN(TRIM($B$12:$B24))&gt;0),--(J$12:J24=TRUE()),--($C$12:$C24&lt;&gt;TRUE())),SUMPRODUCT(--(LEN(TRIM($B$12:$B24))&gt;0),--(J$12:J24=TRUE())))&lt;=MOD(J$46,MAX(1,J$48)),1,0),0)</f>
        <v>0</v>
      </c>
      <c r="L64" s="14" t="n">
        <f aca="false">IF(AND(L$47,L$48&gt;0,LEN(TRIM($B24))&gt;0,L24=TRUE(),IF(L$50,$C24&lt;&gt;TRUE(),TRUE())),QUOTIENT(L$46,MAX(1,L$48))+IF(IF(L$50,SUMPRODUCT(--(LEN(TRIM($B$12:$B24))&gt;0),--(L$12:L24=TRUE()),--($C$12:$C24&lt;&gt;TRUE())),SUMPRODUCT(--(LEN(TRIM($B$12:$B24))&gt;0),--(L$12:L24=TRUE())))&lt;=MOD(L$46,MAX(1,L$48)),1,0),0)</f>
        <v>0</v>
      </c>
      <c r="N64" s="14" t="n">
        <f aca="false">IF(AND(N$47,N$48&gt;0,LEN(TRIM($B24))&gt;0,N24=TRUE(),IF(N$50,$C24&lt;&gt;TRUE(),TRUE())),QUOTIENT(N$46,MAX(1,N$48))+IF(IF(N$50,SUMPRODUCT(--(LEN(TRIM($B$12:$B24))&gt;0),--(N$12:N24=TRUE()),--($C$12:$C24&lt;&gt;TRUE())),SUMPRODUCT(--(LEN(TRIM($B$12:$B24))&gt;0),--(N$12:N24=TRUE())))&lt;=MOD(N$46,MAX(1,N$48)),1,0),0)</f>
        <v>0</v>
      </c>
      <c r="P64" s="14" t="n">
        <f aca="false">IF(AND(P$47,P$48&gt;0,LEN(TRIM($B24))&gt;0,P24=TRUE(),IF(P$50,$C24&lt;&gt;TRUE(),TRUE())),QUOTIENT(P$46,MAX(1,P$48))+IF(IF(P$50,SUMPRODUCT(--(LEN(TRIM($B$12:$B24))&gt;0),--(P$12:P24=TRUE()),--($C$12:$C24&lt;&gt;TRUE())),SUMPRODUCT(--(LEN(TRIM($B$12:$B24))&gt;0),--(P$12:P24=TRUE())))&lt;=MOD(P$46,MAX(1,P$48)),1,0),0)</f>
        <v>0</v>
      </c>
    </row>
    <row r="65" customFormat="false" ht="15" hidden="true" customHeight="false" outlineLevel="0" collapsed="false">
      <c r="A65" s="13" t="s">
        <v>31</v>
      </c>
      <c r="D65" s="14" t="n">
        <f aca="false">IF(AND(D$47,D$48&gt;0,LEN(TRIM($B25))&gt;0,D25=TRUE(),IF(D$50,$C25&lt;&gt;TRUE(),TRUE())),QUOTIENT(D$46,MAX(1,D$48))+IF(IF(D$50,SUMPRODUCT(--(LEN(TRIM($B$12:$B25))&gt;0),--(D$12:D25=TRUE()),--($C$12:$C25&lt;&gt;TRUE())),SUMPRODUCT(--(LEN(TRIM($B$12:$B25))&gt;0),--(D$12:D25=TRUE())))&lt;=MOD(D$46,MAX(1,D$48)),1,0),0)</f>
        <v>0</v>
      </c>
      <c r="F65" s="14" t="n">
        <f aca="false">IF(AND(F$47,F$48&gt;0,LEN(TRIM($B25))&gt;0,F25=TRUE(),IF(F$50,$C25&lt;&gt;TRUE(),TRUE())),QUOTIENT(F$46,MAX(1,F$48))+IF(IF(F$50,SUMPRODUCT(--(LEN(TRIM($B$12:$B25))&gt;0),--(F$12:F25=TRUE()),--($C$12:$C25&lt;&gt;TRUE())),SUMPRODUCT(--(LEN(TRIM($B$12:$B25))&gt;0),--(F$12:F25=TRUE())))&lt;=MOD(F$46,MAX(1,F$48)),1,0),0)</f>
        <v>0</v>
      </c>
      <c r="H65" s="14" t="n">
        <f aca="false">IF(AND(H$47,H$48&gt;0,LEN(TRIM($B25))&gt;0,H25=TRUE(),IF(H$50,$C25&lt;&gt;TRUE(),TRUE())),QUOTIENT(H$46,MAX(1,H$48))+IF(IF(H$50,SUMPRODUCT(--(LEN(TRIM($B$12:$B25))&gt;0),--(H$12:H25=TRUE()),--($C$12:$C25&lt;&gt;TRUE())),SUMPRODUCT(--(LEN(TRIM($B$12:$B25))&gt;0),--(H$12:H25=TRUE())))&lt;=MOD(H$46,MAX(1,H$48)),1,0),0)</f>
        <v>0</v>
      </c>
      <c r="J65" s="14" t="n">
        <f aca="false">IF(AND(J$47,J$48&gt;0,LEN(TRIM($B25))&gt;0,J25=TRUE(),IF(J$50,$C25&lt;&gt;TRUE(),TRUE())),QUOTIENT(J$46,MAX(1,J$48))+IF(IF(J$50,SUMPRODUCT(--(LEN(TRIM($B$12:$B25))&gt;0),--(J$12:J25=TRUE()),--($C$12:$C25&lt;&gt;TRUE())),SUMPRODUCT(--(LEN(TRIM($B$12:$B25))&gt;0),--(J$12:J25=TRUE())))&lt;=MOD(J$46,MAX(1,J$48)),1,0),0)</f>
        <v>0</v>
      </c>
      <c r="L65" s="14" t="n">
        <f aca="false">IF(AND(L$47,L$48&gt;0,LEN(TRIM($B25))&gt;0,L25=TRUE(),IF(L$50,$C25&lt;&gt;TRUE(),TRUE())),QUOTIENT(L$46,MAX(1,L$48))+IF(IF(L$50,SUMPRODUCT(--(LEN(TRIM($B$12:$B25))&gt;0),--(L$12:L25=TRUE()),--($C$12:$C25&lt;&gt;TRUE())),SUMPRODUCT(--(LEN(TRIM($B$12:$B25))&gt;0),--(L$12:L25=TRUE())))&lt;=MOD(L$46,MAX(1,L$48)),1,0),0)</f>
        <v>0</v>
      </c>
      <c r="N65" s="14" t="n">
        <f aca="false">IF(AND(N$47,N$48&gt;0,LEN(TRIM($B25))&gt;0,N25=TRUE(),IF(N$50,$C25&lt;&gt;TRUE(),TRUE())),QUOTIENT(N$46,MAX(1,N$48))+IF(IF(N$50,SUMPRODUCT(--(LEN(TRIM($B$12:$B25))&gt;0),--(N$12:N25=TRUE()),--($C$12:$C25&lt;&gt;TRUE())),SUMPRODUCT(--(LEN(TRIM($B$12:$B25))&gt;0),--(N$12:N25=TRUE())))&lt;=MOD(N$46,MAX(1,N$48)),1,0),0)</f>
        <v>0</v>
      </c>
      <c r="P65" s="14" t="n">
        <f aca="false">IF(AND(P$47,P$48&gt;0,LEN(TRIM($B25))&gt;0,P25=TRUE(),IF(P$50,$C25&lt;&gt;TRUE(),TRUE())),QUOTIENT(P$46,MAX(1,P$48))+IF(IF(P$50,SUMPRODUCT(--(LEN(TRIM($B$12:$B25))&gt;0),--(P$12:P25=TRUE()),--($C$12:$C25&lt;&gt;TRUE())),SUMPRODUCT(--(LEN(TRIM($B$12:$B25))&gt;0),--(P$12:P25=TRUE())))&lt;=MOD(P$46,MAX(1,P$48)),1,0),0)</f>
        <v>0</v>
      </c>
    </row>
    <row r="66" customFormat="false" ht="15" hidden="true" customHeight="false" outlineLevel="0" collapsed="false">
      <c r="A66" s="13" t="s">
        <v>32</v>
      </c>
      <c r="D66" s="14" t="n">
        <f aca="false">IF(AND(D$47,D$48&gt;0,LEN(TRIM($B26))&gt;0,D26=TRUE(),IF(D$50,$C26&lt;&gt;TRUE(),TRUE())),QUOTIENT(D$46,MAX(1,D$48))+IF(IF(D$50,SUMPRODUCT(--(LEN(TRIM($B$12:$B26))&gt;0),--(D$12:D26=TRUE()),--($C$12:$C26&lt;&gt;TRUE())),SUMPRODUCT(--(LEN(TRIM($B$12:$B26))&gt;0),--(D$12:D26=TRUE())))&lt;=MOD(D$46,MAX(1,D$48)),1,0),0)</f>
        <v>0</v>
      </c>
      <c r="F66" s="14" t="n">
        <f aca="false">IF(AND(F$47,F$48&gt;0,LEN(TRIM($B26))&gt;0,F26=TRUE(),IF(F$50,$C26&lt;&gt;TRUE(),TRUE())),QUOTIENT(F$46,MAX(1,F$48))+IF(IF(F$50,SUMPRODUCT(--(LEN(TRIM($B$12:$B26))&gt;0),--(F$12:F26=TRUE()),--($C$12:$C26&lt;&gt;TRUE())),SUMPRODUCT(--(LEN(TRIM($B$12:$B26))&gt;0),--(F$12:F26=TRUE())))&lt;=MOD(F$46,MAX(1,F$48)),1,0),0)</f>
        <v>0</v>
      </c>
      <c r="H66" s="14" t="n">
        <f aca="false">IF(AND(H$47,H$48&gt;0,LEN(TRIM($B26))&gt;0,H26=TRUE(),IF(H$50,$C26&lt;&gt;TRUE(),TRUE())),QUOTIENT(H$46,MAX(1,H$48))+IF(IF(H$50,SUMPRODUCT(--(LEN(TRIM($B$12:$B26))&gt;0),--(H$12:H26=TRUE()),--($C$12:$C26&lt;&gt;TRUE())),SUMPRODUCT(--(LEN(TRIM($B$12:$B26))&gt;0),--(H$12:H26=TRUE())))&lt;=MOD(H$46,MAX(1,H$48)),1,0),0)</f>
        <v>0</v>
      </c>
      <c r="J66" s="14" t="n">
        <f aca="false">IF(AND(J$47,J$48&gt;0,LEN(TRIM($B26))&gt;0,J26=TRUE(),IF(J$50,$C26&lt;&gt;TRUE(),TRUE())),QUOTIENT(J$46,MAX(1,J$48))+IF(IF(J$50,SUMPRODUCT(--(LEN(TRIM($B$12:$B26))&gt;0),--(J$12:J26=TRUE()),--($C$12:$C26&lt;&gt;TRUE())),SUMPRODUCT(--(LEN(TRIM($B$12:$B26))&gt;0),--(J$12:J26=TRUE())))&lt;=MOD(J$46,MAX(1,J$48)),1,0),0)</f>
        <v>0</v>
      </c>
      <c r="L66" s="14" t="n">
        <f aca="false">IF(AND(L$47,L$48&gt;0,LEN(TRIM($B26))&gt;0,L26=TRUE(),IF(L$50,$C26&lt;&gt;TRUE(),TRUE())),QUOTIENT(L$46,MAX(1,L$48))+IF(IF(L$50,SUMPRODUCT(--(LEN(TRIM($B$12:$B26))&gt;0),--(L$12:L26=TRUE()),--($C$12:$C26&lt;&gt;TRUE())),SUMPRODUCT(--(LEN(TRIM($B$12:$B26))&gt;0),--(L$12:L26=TRUE())))&lt;=MOD(L$46,MAX(1,L$48)),1,0),0)</f>
        <v>0</v>
      </c>
      <c r="N66" s="14" t="n">
        <f aca="false">IF(AND(N$47,N$48&gt;0,LEN(TRIM($B26))&gt;0,N26=TRUE(),IF(N$50,$C26&lt;&gt;TRUE(),TRUE())),QUOTIENT(N$46,MAX(1,N$48))+IF(IF(N$50,SUMPRODUCT(--(LEN(TRIM($B$12:$B26))&gt;0),--(N$12:N26=TRUE()),--($C$12:$C26&lt;&gt;TRUE())),SUMPRODUCT(--(LEN(TRIM($B$12:$B26))&gt;0),--(N$12:N26=TRUE())))&lt;=MOD(N$46,MAX(1,N$48)),1,0),0)</f>
        <v>0</v>
      </c>
      <c r="P66" s="14" t="n">
        <f aca="false">IF(AND(P$47,P$48&gt;0,LEN(TRIM($B26))&gt;0,P26=TRUE(),IF(P$50,$C26&lt;&gt;TRUE(),TRUE())),QUOTIENT(P$46,MAX(1,P$48))+IF(IF(P$50,SUMPRODUCT(--(LEN(TRIM($B$12:$B26))&gt;0),--(P$12:P26=TRUE()),--($C$12:$C26&lt;&gt;TRUE())),SUMPRODUCT(--(LEN(TRIM($B$12:$B26))&gt;0),--(P$12:P26=TRUE())))&lt;=MOD(P$46,MAX(1,P$48)),1,0),0)</f>
        <v>0</v>
      </c>
    </row>
    <row r="67" customFormat="false" ht="15" hidden="true" customHeight="false" outlineLevel="0" collapsed="false">
      <c r="A67" s="13" t="s">
        <v>33</v>
      </c>
      <c r="D67" s="14" t="n">
        <f aca="false">IF(AND(D$47,D$48&gt;0,LEN(TRIM($B27))&gt;0,D27=TRUE(),IF(D$50,$C27&lt;&gt;TRUE(),TRUE())),QUOTIENT(D$46,MAX(1,D$48))+IF(IF(D$50,SUMPRODUCT(--(LEN(TRIM($B$12:$B27))&gt;0),--(D$12:D27=TRUE()),--($C$12:$C27&lt;&gt;TRUE())),SUMPRODUCT(--(LEN(TRIM($B$12:$B27))&gt;0),--(D$12:D27=TRUE())))&lt;=MOD(D$46,MAX(1,D$48)),1,0),0)</f>
        <v>0</v>
      </c>
      <c r="F67" s="14" t="n">
        <f aca="false">IF(AND(F$47,F$48&gt;0,LEN(TRIM($B27))&gt;0,F27=TRUE(),IF(F$50,$C27&lt;&gt;TRUE(),TRUE())),QUOTIENT(F$46,MAX(1,F$48))+IF(IF(F$50,SUMPRODUCT(--(LEN(TRIM($B$12:$B27))&gt;0),--(F$12:F27=TRUE()),--($C$12:$C27&lt;&gt;TRUE())),SUMPRODUCT(--(LEN(TRIM($B$12:$B27))&gt;0),--(F$12:F27=TRUE())))&lt;=MOD(F$46,MAX(1,F$48)),1,0),0)</f>
        <v>0</v>
      </c>
      <c r="H67" s="14" t="n">
        <f aca="false">IF(AND(H$47,H$48&gt;0,LEN(TRIM($B27))&gt;0,H27=TRUE(),IF(H$50,$C27&lt;&gt;TRUE(),TRUE())),QUOTIENT(H$46,MAX(1,H$48))+IF(IF(H$50,SUMPRODUCT(--(LEN(TRIM($B$12:$B27))&gt;0),--(H$12:H27=TRUE()),--($C$12:$C27&lt;&gt;TRUE())),SUMPRODUCT(--(LEN(TRIM($B$12:$B27))&gt;0),--(H$12:H27=TRUE())))&lt;=MOD(H$46,MAX(1,H$48)),1,0),0)</f>
        <v>0</v>
      </c>
      <c r="J67" s="14" t="n">
        <f aca="false">IF(AND(J$47,J$48&gt;0,LEN(TRIM($B27))&gt;0,J27=TRUE(),IF(J$50,$C27&lt;&gt;TRUE(),TRUE())),QUOTIENT(J$46,MAX(1,J$48))+IF(IF(J$50,SUMPRODUCT(--(LEN(TRIM($B$12:$B27))&gt;0),--(J$12:J27=TRUE()),--($C$12:$C27&lt;&gt;TRUE())),SUMPRODUCT(--(LEN(TRIM($B$12:$B27))&gt;0),--(J$12:J27=TRUE())))&lt;=MOD(J$46,MAX(1,J$48)),1,0),0)</f>
        <v>0</v>
      </c>
      <c r="L67" s="14" t="n">
        <f aca="false">IF(AND(L$47,L$48&gt;0,LEN(TRIM($B27))&gt;0,L27=TRUE(),IF(L$50,$C27&lt;&gt;TRUE(),TRUE())),QUOTIENT(L$46,MAX(1,L$48))+IF(IF(L$50,SUMPRODUCT(--(LEN(TRIM($B$12:$B27))&gt;0),--(L$12:L27=TRUE()),--($C$12:$C27&lt;&gt;TRUE())),SUMPRODUCT(--(LEN(TRIM($B$12:$B27))&gt;0),--(L$12:L27=TRUE())))&lt;=MOD(L$46,MAX(1,L$48)),1,0),0)</f>
        <v>0</v>
      </c>
      <c r="N67" s="14" t="n">
        <f aca="false">IF(AND(N$47,N$48&gt;0,LEN(TRIM($B27))&gt;0,N27=TRUE(),IF(N$50,$C27&lt;&gt;TRUE(),TRUE())),QUOTIENT(N$46,MAX(1,N$48))+IF(IF(N$50,SUMPRODUCT(--(LEN(TRIM($B$12:$B27))&gt;0),--(N$12:N27=TRUE()),--($C$12:$C27&lt;&gt;TRUE())),SUMPRODUCT(--(LEN(TRIM($B$12:$B27))&gt;0),--(N$12:N27=TRUE())))&lt;=MOD(N$46,MAX(1,N$48)),1,0),0)</f>
        <v>0</v>
      </c>
      <c r="P67" s="14" t="n">
        <f aca="false">IF(AND(P$47,P$48&gt;0,LEN(TRIM($B27))&gt;0,P27=TRUE(),IF(P$50,$C27&lt;&gt;TRUE(),TRUE())),QUOTIENT(P$46,MAX(1,P$48))+IF(IF(P$50,SUMPRODUCT(--(LEN(TRIM($B$12:$B27))&gt;0),--(P$12:P27=TRUE()),--($C$12:$C27&lt;&gt;TRUE())),SUMPRODUCT(--(LEN(TRIM($B$12:$B27))&gt;0),--(P$12:P27=TRUE())))&lt;=MOD(P$46,MAX(1,P$48)),1,0),0)</f>
        <v>0</v>
      </c>
    </row>
    <row r="68" customFormat="false" ht="15" hidden="true" customHeight="false" outlineLevel="0" collapsed="false">
      <c r="A68" s="13" t="s">
        <v>34</v>
      </c>
      <c r="D68" s="14" t="n">
        <f aca="false">IF(AND(D$47,D$48&gt;0,LEN(TRIM($B28))&gt;0,D28=TRUE(),IF(D$50,$C28&lt;&gt;TRUE(),TRUE())),QUOTIENT(D$46,MAX(1,D$48))+IF(IF(D$50,SUMPRODUCT(--(LEN(TRIM($B$12:$B28))&gt;0),--(D$12:D28=TRUE()),--($C$12:$C28&lt;&gt;TRUE())),SUMPRODUCT(--(LEN(TRIM($B$12:$B28))&gt;0),--(D$12:D28=TRUE())))&lt;=MOD(D$46,MAX(1,D$48)),1,0),0)</f>
        <v>0</v>
      </c>
      <c r="F68" s="14" t="n">
        <f aca="false">IF(AND(F$47,F$48&gt;0,LEN(TRIM($B28))&gt;0,F28=TRUE(),IF(F$50,$C28&lt;&gt;TRUE(),TRUE())),QUOTIENT(F$46,MAX(1,F$48))+IF(IF(F$50,SUMPRODUCT(--(LEN(TRIM($B$12:$B28))&gt;0),--(F$12:F28=TRUE()),--($C$12:$C28&lt;&gt;TRUE())),SUMPRODUCT(--(LEN(TRIM($B$12:$B28))&gt;0),--(F$12:F28=TRUE())))&lt;=MOD(F$46,MAX(1,F$48)),1,0),0)</f>
        <v>0</v>
      </c>
      <c r="H68" s="14" t="n">
        <f aca="false">IF(AND(H$47,H$48&gt;0,LEN(TRIM($B28))&gt;0,H28=TRUE(),IF(H$50,$C28&lt;&gt;TRUE(),TRUE())),QUOTIENT(H$46,MAX(1,H$48))+IF(IF(H$50,SUMPRODUCT(--(LEN(TRIM($B$12:$B28))&gt;0),--(H$12:H28=TRUE()),--($C$12:$C28&lt;&gt;TRUE())),SUMPRODUCT(--(LEN(TRIM($B$12:$B28))&gt;0),--(H$12:H28=TRUE())))&lt;=MOD(H$46,MAX(1,H$48)),1,0),0)</f>
        <v>0</v>
      </c>
      <c r="J68" s="14" t="n">
        <f aca="false">IF(AND(J$47,J$48&gt;0,LEN(TRIM($B28))&gt;0,J28=TRUE(),IF(J$50,$C28&lt;&gt;TRUE(),TRUE())),QUOTIENT(J$46,MAX(1,J$48))+IF(IF(J$50,SUMPRODUCT(--(LEN(TRIM($B$12:$B28))&gt;0),--(J$12:J28=TRUE()),--($C$12:$C28&lt;&gt;TRUE())),SUMPRODUCT(--(LEN(TRIM($B$12:$B28))&gt;0),--(J$12:J28=TRUE())))&lt;=MOD(J$46,MAX(1,J$48)),1,0),0)</f>
        <v>0</v>
      </c>
      <c r="L68" s="14" t="n">
        <f aca="false">IF(AND(L$47,L$48&gt;0,LEN(TRIM($B28))&gt;0,L28=TRUE(),IF(L$50,$C28&lt;&gt;TRUE(),TRUE())),QUOTIENT(L$46,MAX(1,L$48))+IF(IF(L$50,SUMPRODUCT(--(LEN(TRIM($B$12:$B28))&gt;0),--(L$12:L28=TRUE()),--($C$12:$C28&lt;&gt;TRUE())),SUMPRODUCT(--(LEN(TRIM($B$12:$B28))&gt;0),--(L$12:L28=TRUE())))&lt;=MOD(L$46,MAX(1,L$48)),1,0),0)</f>
        <v>0</v>
      </c>
      <c r="N68" s="14" t="n">
        <f aca="false">IF(AND(N$47,N$48&gt;0,LEN(TRIM($B28))&gt;0,N28=TRUE(),IF(N$50,$C28&lt;&gt;TRUE(),TRUE())),QUOTIENT(N$46,MAX(1,N$48))+IF(IF(N$50,SUMPRODUCT(--(LEN(TRIM($B$12:$B28))&gt;0),--(N$12:N28=TRUE()),--($C$12:$C28&lt;&gt;TRUE())),SUMPRODUCT(--(LEN(TRIM($B$12:$B28))&gt;0),--(N$12:N28=TRUE())))&lt;=MOD(N$46,MAX(1,N$48)),1,0),0)</f>
        <v>0</v>
      </c>
      <c r="P68" s="14" t="n">
        <f aca="false">IF(AND(P$47,P$48&gt;0,LEN(TRIM($B28))&gt;0,P28=TRUE(),IF(P$50,$C28&lt;&gt;TRUE(),TRUE())),QUOTIENT(P$46,MAX(1,P$48))+IF(IF(P$50,SUMPRODUCT(--(LEN(TRIM($B$12:$B28))&gt;0),--(P$12:P28=TRUE()),--($C$12:$C28&lt;&gt;TRUE())),SUMPRODUCT(--(LEN(TRIM($B$12:$B28))&gt;0),--(P$12:P28=TRUE())))&lt;=MOD(P$46,MAX(1,P$48)),1,0),0)</f>
        <v>0</v>
      </c>
    </row>
    <row r="69" customFormat="false" ht="15" hidden="true" customHeight="false" outlineLevel="0" collapsed="false">
      <c r="A69" s="13" t="s">
        <v>35</v>
      </c>
      <c r="D69" s="14" t="n">
        <f aca="false">IF(AND(D$47,D$48&gt;0,LEN(TRIM($B29))&gt;0,D29=TRUE(),IF(D$50,$C29&lt;&gt;TRUE(),TRUE())),QUOTIENT(D$46,MAX(1,D$48))+IF(IF(D$50,SUMPRODUCT(--(LEN(TRIM($B$12:$B29))&gt;0),--(D$12:D29=TRUE()),--($C$12:$C29&lt;&gt;TRUE())),SUMPRODUCT(--(LEN(TRIM($B$12:$B29))&gt;0),--(D$12:D29=TRUE())))&lt;=MOD(D$46,MAX(1,D$48)),1,0),0)</f>
        <v>0</v>
      </c>
      <c r="F69" s="14" t="n">
        <f aca="false">IF(AND(F$47,F$48&gt;0,LEN(TRIM($B29))&gt;0,F29=TRUE(),IF(F$50,$C29&lt;&gt;TRUE(),TRUE())),QUOTIENT(F$46,MAX(1,F$48))+IF(IF(F$50,SUMPRODUCT(--(LEN(TRIM($B$12:$B29))&gt;0),--(F$12:F29=TRUE()),--($C$12:$C29&lt;&gt;TRUE())),SUMPRODUCT(--(LEN(TRIM($B$12:$B29))&gt;0),--(F$12:F29=TRUE())))&lt;=MOD(F$46,MAX(1,F$48)),1,0),0)</f>
        <v>0</v>
      </c>
      <c r="H69" s="14" t="n">
        <f aca="false">IF(AND(H$47,H$48&gt;0,LEN(TRIM($B29))&gt;0,H29=TRUE(),IF(H$50,$C29&lt;&gt;TRUE(),TRUE())),QUOTIENT(H$46,MAX(1,H$48))+IF(IF(H$50,SUMPRODUCT(--(LEN(TRIM($B$12:$B29))&gt;0),--(H$12:H29=TRUE()),--($C$12:$C29&lt;&gt;TRUE())),SUMPRODUCT(--(LEN(TRIM($B$12:$B29))&gt;0),--(H$12:H29=TRUE())))&lt;=MOD(H$46,MAX(1,H$48)),1,0),0)</f>
        <v>0</v>
      </c>
      <c r="J69" s="14" t="n">
        <f aca="false">IF(AND(J$47,J$48&gt;0,LEN(TRIM($B29))&gt;0,J29=TRUE(),IF(J$50,$C29&lt;&gt;TRUE(),TRUE())),QUOTIENT(J$46,MAX(1,J$48))+IF(IF(J$50,SUMPRODUCT(--(LEN(TRIM($B$12:$B29))&gt;0),--(J$12:J29=TRUE()),--($C$12:$C29&lt;&gt;TRUE())),SUMPRODUCT(--(LEN(TRIM($B$12:$B29))&gt;0),--(J$12:J29=TRUE())))&lt;=MOD(J$46,MAX(1,J$48)),1,0),0)</f>
        <v>0</v>
      </c>
      <c r="L69" s="14" t="n">
        <f aca="false">IF(AND(L$47,L$48&gt;0,LEN(TRIM($B29))&gt;0,L29=TRUE(),IF(L$50,$C29&lt;&gt;TRUE(),TRUE())),QUOTIENT(L$46,MAX(1,L$48))+IF(IF(L$50,SUMPRODUCT(--(LEN(TRIM($B$12:$B29))&gt;0),--(L$12:L29=TRUE()),--($C$12:$C29&lt;&gt;TRUE())),SUMPRODUCT(--(LEN(TRIM($B$12:$B29))&gt;0),--(L$12:L29=TRUE())))&lt;=MOD(L$46,MAX(1,L$48)),1,0),0)</f>
        <v>0</v>
      </c>
      <c r="N69" s="14" t="n">
        <f aca="false">IF(AND(N$47,N$48&gt;0,LEN(TRIM($B29))&gt;0,N29=TRUE(),IF(N$50,$C29&lt;&gt;TRUE(),TRUE())),QUOTIENT(N$46,MAX(1,N$48))+IF(IF(N$50,SUMPRODUCT(--(LEN(TRIM($B$12:$B29))&gt;0),--(N$12:N29=TRUE()),--($C$12:$C29&lt;&gt;TRUE())),SUMPRODUCT(--(LEN(TRIM($B$12:$B29))&gt;0),--(N$12:N29=TRUE())))&lt;=MOD(N$46,MAX(1,N$48)),1,0),0)</f>
        <v>0</v>
      </c>
      <c r="P69" s="14" t="n">
        <f aca="false">IF(AND(P$47,P$48&gt;0,LEN(TRIM($B29))&gt;0,P29=TRUE(),IF(P$50,$C29&lt;&gt;TRUE(),TRUE())),QUOTIENT(P$46,MAX(1,P$48))+IF(IF(P$50,SUMPRODUCT(--(LEN(TRIM($B$12:$B29))&gt;0),--(P$12:P29=TRUE()),--($C$12:$C29&lt;&gt;TRUE())),SUMPRODUCT(--(LEN(TRIM($B$12:$B29))&gt;0),--(P$12:P29=TRUE())))&lt;=MOD(P$46,MAX(1,P$48)),1,0),0)</f>
        <v>0</v>
      </c>
    </row>
    <row r="70" customFormat="false" ht="15" hidden="true" customHeight="false" outlineLevel="0" collapsed="false">
      <c r="A70" s="13" t="s">
        <v>36</v>
      </c>
      <c r="D70" s="14" t="n">
        <f aca="false">IF(AND(D$47,D$48&gt;0,LEN(TRIM($B30))&gt;0,D30=TRUE(),IF(D$50,$C30&lt;&gt;TRUE(),TRUE())),QUOTIENT(D$46,MAX(1,D$48))+IF(IF(D$50,SUMPRODUCT(--(LEN(TRIM($B$12:$B30))&gt;0),--(D$12:D30=TRUE()),--($C$12:$C30&lt;&gt;TRUE())),SUMPRODUCT(--(LEN(TRIM($B$12:$B30))&gt;0),--(D$12:D30=TRUE())))&lt;=MOD(D$46,MAX(1,D$48)),1,0),0)</f>
        <v>0</v>
      </c>
      <c r="F70" s="14" t="n">
        <f aca="false">IF(AND(F$47,F$48&gt;0,LEN(TRIM($B30))&gt;0,F30=TRUE(),IF(F$50,$C30&lt;&gt;TRUE(),TRUE())),QUOTIENT(F$46,MAX(1,F$48))+IF(IF(F$50,SUMPRODUCT(--(LEN(TRIM($B$12:$B30))&gt;0),--(F$12:F30=TRUE()),--($C$12:$C30&lt;&gt;TRUE())),SUMPRODUCT(--(LEN(TRIM($B$12:$B30))&gt;0),--(F$12:F30=TRUE())))&lt;=MOD(F$46,MAX(1,F$48)),1,0),0)</f>
        <v>0</v>
      </c>
      <c r="H70" s="14" t="n">
        <f aca="false">IF(AND(H$47,H$48&gt;0,LEN(TRIM($B30))&gt;0,H30=TRUE(),IF(H$50,$C30&lt;&gt;TRUE(),TRUE())),QUOTIENT(H$46,MAX(1,H$48))+IF(IF(H$50,SUMPRODUCT(--(LEN(TRIM($B$12:$B30))&gt;0),--(H$12:H30=TRUE()),--($C$12:$C30&lt;&gt;TRUE())),SUMPRODUCT(--(LEN(TRIM($B$12:$B30))&gt;0),--(H$12:H30=TRUE())))&lt;=MOD(H$46,MAX(1,H$48)),1,0),0)</f>
        <v>0</v>
      </c>
      <c r="J70" s="14" t="n">
        <f aca="false">IF(AND(J$47,J$48&gt;0,LEN(TRIM($B30))&gt;0,J30=TRUE(),IF(J$50,$C30&lt;&gt;TRUE(),TRUE())),QUOTIENT(J$46,MAX(1,J$48))+IF(IF(J$50,SUMPRODUCT(--(LEN(TRIM($B$12:$B30))&gt;0),--(J$12:J30=TRUE()),--($C$12:$C30&lt;&gt;TRUE())),SUMPRODUCT(--(LEN(TRIM($B$12:$B30))&gt;0),--(J$12:J30=TRUE())))&lt;=MOD(J$46,MAX(1,J$48)),1,0),0)</f>
        <v>0</v>
      </c>
      <c r="L70" s="14" t="n">
        <f aca="false">IF(AND(L$47,L$48&gt;0,LEN(TRIM($B30))&gt;0,L30=TRUE(),IF(L$50,$C30&lt;&gt;TRUE(),TRUE())),QUOTIENT(L$46,MAX(1,L$48))+IF(IF(L$50,SUMPRODUCT(--(LEN(TRIM($B$12:$B30))&gt;0),--(L$12:L30=TRUE()),--($C$12:$C30&lt;&gt;TRUE())),SUMPRODUCT(--(LEN(TRIM($B$12:$B30))&gt;0),--(L$12:L30=TRUE())))&lt;=MOD(L$46,MAX(1,L$48)),1,0),0)</f>
        <v>0</v>
      </c>
      <c r="N70" s="14" t="n">
        <f aca="false">IF(AND(N$47,N$48&gt;0,LEN(TRIM($B30))&gt;0,N30=TRUE(),IF(N$50,$C30&lt;&gt;TRUE(),TRUE())),QUOTIENT(N$46,MAX(1,N$48))+IF(IF(N$50,SUMPRODUCT(--(LEN(TRIM($B$12:$B30))&gt;0),--(N$12:N30=TRUE()),--($C$12:$C30&lt;&gt;TRUE())),SUMPRODUCT(--(LEN(TRIM($B$12:$B30))&gt;0),--(N$12:N30=TRUE())))&lt;=MOD(N$46,MAX(1,N$48)),1,0),0)</f>
        <v>0</v>
      </c>
      <c r="P70" s="14" t="n">
        <f aca="false">IF(AND(P$47,P$48&gt;0,LEN(TRIM($B30))&gt;0,P30=TRUE(),IF(P$50,$C30&lt;&gt;TRUE(),TRUE())),QUOTIENT(P$46,MAX(1,P$48))+IF(IF(P$50,SUMPRODUCT(--(LEN(TRIM($B$12:$B30))&gt;0),--(P$12:P30=TRUE()),--($C$12:$C30&lt;&gt;TRUE())),SUMPRODUCT(--(LEN(TRIM($B$12:$B30))&gt;0),--(P$12:P30=TRUE())))&lt;=MOD(P$46,MAX(1,P$48)),1,0),0)</f>
        <v>0</v>
      </c>
    </row>
    <row r="71" customFormat="false" ht="15" hidden="true" customHeight="false" outlineLevel="0" collapsed="false">
      <c r="A71" s="13" t="s">
        <v>37</v>
      </c>
      <c r="D71" s="14" t="n">
        <f aca="false">IF(AND(D$47,D$48&gt;0,LEN(TRIM($B31))&gt;0,D31=TRUE(),IF(D$50,$C31&lt;&gt;TRUE(),TRUE())),QUOTIENT(D$46,MAX(1,D$48))+IF(IF(D$50,SUMPRODUCT(--(LEN(TRIM($B$12:$B31))&gt;0),--(D$12:D31=TRUE()),--($C$12:$C31&lt;&gt;TRUE())),SUMPRODUCT(--(LEN(TRIM($B$12:$B31))&gt;0),--(D$12:D31=TRUE())))&lt;=MOD(D$46,MAX(1,D$48)),1,0),0)</f>
        <v>0</v>
      </c>
      <c r="F71" s="14" t="n">
        <f aca="false">IF(AND(F$47,F$48&gt;0,LEN(TRIM($B31))&gt;0,F31=TRUE(),IF(F$50,$C31&lt;&gt;TRUE(),TRUE())),QUOTIENT(F$46,MAX(1,F$48))+IF(IF(F$50,SUMPRODUCT(--(LEN(TRIM($B$12:$B31))&gt;0),--(F$12:F31=TRUE()),--($C$12:$C31&lt;&gt;TRUE())),SUMPRODUCT(--(LEN(TRIM($B$12:$B31))&gt;0),--(F$12:F31=TRUE())))&lt;=MOD(F$46,MAX(1,F$48)),1,0),0)</f>
        <v>0</v>
      </c>
      <c r="H71" s="14" t="n">
        <f aca="false">IF(AND(H$47,H$48&gt;0,LEN(TRIM($B31))&gt;0,H31=TRUE(),IF(H$50,$C31&lt;&gt;TRUE(),TRUE())),QUOTIENT(H$46,MAX(1,H$48))+IF(IF(H$50,SUMPRODUCT(--(LEN(TRIM($B$12:$B31))&gt;0),--(H$12:H31=TRUE()),--($C$12:$C31&lt;&gt;TRUE())),SUMPRODUCT(--(LEN(TRIM($B$12:$B31))&gt;0),--(H$12:H31=TRUE())))&lt;=MOD(H$46,MAX(1,H$48)),1,0),0)</f>
        <v>0</v>
      </c>
      <c r="J71" s="14" t="n">
        <f aca="false">IF(AND(J$47,J$48&gt;0,LEN(TRIM($B31))&gt;0,J31=TRUE(),IF(J$50,$C31&lt;&gt;TRUE(),TRUE())),QUOTIENT(J$46,MAX(1,J$48))+IF(IF(J$50,SUMPRODUCT(--(LEN(TRIM($B$12:$B31))&gt;0),--(J$12:J31=TRUE()),--($C$12:$C31&lt;&gt;TRUE())),SUMPRODUCT(--(LEN(TRIM($B$12:$B31))&gt;0),--(J$12:J31=TRUE())))&lt;=MOD(J$46,MAX(1,J$48)),1,0),0)</f>
        <v>0</v>
      </c>
      <c r="L71" s="14" t="n">
        <f aca="false">IF(AND(L$47,L$48&gt;0,LEN(TRIM($B31))&gt;0,L31=TRUE(),IF(L$50,$C31&lt;&gt;TRUE(),TRUE())),QUOTIENT(L$46,MAX(1,L$48))+IF(IF(L$50,SUMPRODUCT(--(LEN(TRIM($B$12:$B31))&gt;0),--(L$12:L31=TRUE()),--($C$12:$C31&lt;&gt;TRUE())),SUMPRODUCT(--(LEN(TRIM($B$12:$B31))&gt;0),--(L$12:L31=TRUE())))&lt;=MOD(L$46,MAX(1,L$48)),1,0),0)</f>
        <v>0</v>
      </c>
      <c r="N71" s="14" t="n">
        <f aca="false">IF(AND(N$47,N$48&gt;0,LEN(TRIM($B31))&gt;0,N31=TRUE(),IF(N$50,$C31&lt;&gt;TRUE(),TRUE())),QUOTIENT(N$46,MAX(1,N$48))+IF(IF(N$50,SUMPRODUCT(--(LEN(TRIM($B$12:$B31))&gt;0),--(N$12:N31=TRUE()),--($C$12:$C31&lt;&gt;TRUE())),SUMPRODUCT(--(LEN(TRIM($B$12:$B31))&gt;0),--(N$12:N31=TRUE())))&lt;=MOD(N$46,MAX(1,N$48)),1,0),0)</f>
        <v>0</v>
      </c>
      <c r="P71" s="14" t="n">
        <f aca="false">IF(AND(P$47,P$48&gt;0,LEN(TRIM($B31))&gt;0,P31=TRUE(),IF(P$50,$C31&lt;&gt;TRUE(),TRUE())),QUOTIENT(P$46,MAX(1,P$48))+IF(IF(P$50,SUMPRODUCT(--(LEN(TRIM($B$12:$B31))&gt;0),--(P$12:P31=TRUE()),--($C$12:$C31&lt;&gt;TRUE())),SUMPRODUCT(--(LEN(TRIM($B$12:$B31))&gt;0),--(P$12:P31=TRUE())))&lt;=MOD(P$46,MAX(1,P$48)),1,0),0)</f>
        <v>0</v>
      </c>
    </row>
    <row r="72" customFormat="false" ht="15" hidden="true" customHeight="false" outlineLevel="0" collapsed="false">
      <c r="A72" s="13" t="s">
        <v>38</v>
      </c>
      <c r="D72" s="14" t="n">
        <f aca="false">IF(AND(D$47,D$48&gt;0,LEN(TRIM($B32))&gt;0,D32=TRUE(),IF(D$50,$C32&lt;&gt;TRUE(),TRUE())),QUOTIENT(D$46,MAX(1,D$48))+IF(IF(D$50,SUMPRODUCT(--(LEN(TRIM($B$12:$B32))&gt;0),--(D$12:D32=TRUE()),--($C$12:$C32&lt;&gt;TRUE())),SUMPRODUCT(--(LEN(TRIM($B$12:$B32))&gt;0),--(D$12:D32=TRUE())))&lt;=MOD(D$46,MAX(1,D$48)),1,0),0)</f>
        <v>0</v>
      </c>
      <c r="F72" s="14" t="n">
        <f aca="false">IF(AND(F$47,F$48&gt;0,LEN(TRIM($B32))&gt;0,F32=TRUE(),IF(F$50,$C32&lt;&gt;TRUE(),TRUE())),QUOTIENT(F$46,MAX(1,F$48))+IF(IF(F$50,SUMPRODUCT(--(LEN(TRIM($B$12:$B32))&gt;0),--(F$12:F32=TRUE()),--($C$12:$C32&lt;&gt;TRUE())),SUMPRODUCT(--(LEN(TRIM($B$12:$B32))&gt;0),--(F$12:F32=TRUE())))&lt;=MOD(F$46,MAX(1,F$48)),1,0),0)</f>
        <v>0</v>
      </c>
      <c r="H72" s="14" t="n">
        <f aca="false">IF(AND(H$47,H$48&gt;0,LEN(TRIM($B32))&gt;0,H32=TRUE(),IF(H$50,$C32&lt;&gt;TRUE(),TRUE())),QUOTIENT(H$46,MAX(1,H$48))+IF(IF(H$50,SUMPRODUCT(--(LEN(TRIM($B$12:$B32))&gt;0),--(H$12:H32=TRUE()),--($C$12:$C32&lt;&gt;TRUE())),SUMPRODUCT(--(LEN(TRIM($B$12:$B32))&gt;0),--(H$12:H32=TRUE())))&lt;=MOD(H$46,MAX(1,H$48)),1,0),0)</f>
        <v>0</v>
      </c>
      <c r="J72" s="14" t="n">
        <f aca="false">IF(AND(J$47,J$48&gt;0,LEN(TRIM($B32))&gt;0,J32=TRUE(),IF(J$50,$C32&lt;&gt;TRUE(),TRUE())),QUOTIENT(J$46,MAX(1,J$48))+IF(IF(J$50,SUMPRODUCT(--(LEN(TRIM($B$12:$B32))&gt;0),--(J$12:J32=TRUE()),--($C$12:$C32&lt;&gt;TRUE())),SUMPRODUCT(--(LEN(TRIM($B$12:$B32))&gt;0),--(J$12:J32=TRUE())))&lt;=MOD(J$46,MAX(1,J$48)),1,0),0)</f>
        <v>0</v>
      </c>
      <c r="L72" s="14" t="n">
        <f aca="false">IF(AND(L$47,L$48&gt;0,LEN(TRIM($B32))&gt;0,L32=TRUE(),IF(L$50,$C32&lt;&gt;TRUE(),TRUE())),QUOTIENT(L$46,MAX(1,L$48))+IF(IF(L$50,SUMPRODUCT(--(LEN(TRIM($B$12:$B32))&gt;0),--(L$12:L32=TRUE()),--($C$12:$C32&lt;&gt;TRUE())),SUMPRODUCT(--(LEN(TRIM($B$12:$B32))&gt;0),--(L$12:L32=TRUE())))&lt;=MOD(L$46,MAX(1,L$48)),1,0),0)</f>
        <v>0</v>
      </c>
      <c r="N72" s="14" t="n">
        <f aca="false">IF(AND(N$47,N$48&gt;0,LEN(TRIM($B32))&gt;0,N32=TRUE(),IF(N$50,$C32&lt;&gt;TRUE(),TRUE())),QUOTIENT(N$46,MAX(1,N$48))+IF(IF(N$50,SUMPRODUCT(--(LEN(TRIM($B$12:$B32))&gt;0),--(N$12:N32=TRUE()),--($C$12:$C32&lt;&gt;TRUE())),SUMPRODUCT(--(LEN(TRIM($B$12:$B32))&gt;0),--(N$12:N32=TRUE())))&lt;=MOD(N$46,MAX(1,N$48)),1,0),0)</f>
        <v>0</v>
      </c>
      <c r="P72" s="14" t="n">
        <f aca="false">IF(AND(P$47,P$48&gt;0,LEN(TRIM($B32))&gt;0,P32=TRUE(),IF(P$50,$C32&lt;&gt;TRUE(),TRUE())),QUOTIENT(P$46,MAX(1,P$48))+IF(IF(P$50,SUMPRODUCT(--(LEN(TRIM($B$12:$B32))&gt;0),--(P$12:P32=TRUE()),--($C$12:$C32&lt;&gt;TRUE())),SUMPRODUCT(--(LEN(TRIM($B$12:$B32))&gt;0),--(P$12:P32=TRUE())))&lt;=MOD(P$46,MAX(1,P$48)),1,0),0)</f>
        <v>0</v>
      </c>
    </row>
    <row r="73" customFormat="false" ht="15" hidden="true" customHeight="false" outlineLevel="0" collapsed="false">
      <c r="A73" s="13" t="s">
        <v>39</v>
      </c>
      <c r="D73" s="14" t="n">
        <f aca="false">IF(AND(D$47,D$48&gt;0,LEN(TRIM($B33))&gt;0,D33=TRUE(),IF(D$50,$C33&lt;&gt;TRUE(),TRUE())),QUOTIENT(D$46,MAX(1,D$48))+IF(IF(D$50,SUMPRODUCT(--(LEN(TRIM($B$12:$B33))&gt;0),--(D$12:D33=TRUE()),--($C$12:$C33&lt;&gt;TRUE())),SUMPRODUCT(--(LEN(TRIM($B$12:$B33))&gt;0),--(D$12:D33=TRUE())))&lt;=MOD(D$46,MAX(1,D$48)),1,0),0)</f>
        <v>0</v>
      </c>
      <c r="F73" s="14" t="n">
        <f aca="false">IF(AND(F$47,F$48&gt;0,LEN(TRIM($B33))&gt;0,F33=TRUE(),IF(F$50,$C33&lt;&gt;TRUE(),TRUE())),QUOTIENT(F$46,MAX(1,F$48))+IF(IF(F$50,SUMPRODUCT(--(LEN(TRIM($B$12:$B33))&gt;0),--(F$12:F33=TRUE()),--($C$12:$C33&lt;&gt;TRUE())),SUMPRODUCT(--(LEN(TRIM($B$12:$B33))&gt;0),--(F$12:F33=TRUE())))&lt;=MOD(F$46,MAX(1,F$48)),1,0),0)</f>
        <v>0</v>
      </c>
      <c r="H73" s="14" t="n">
        <f aca="false">IF(AND(H$47,H$48&gt;0,LEN(TRIM($B33))&gt;0,H33=TRUE(),IF(H$50,$C33&lt;&gt;TRUE(),TRUE())),QUOTIENT(H$46,MAX(1,H$48))+IF(IF(H$50,SUMPRODUCT(--(LEN(TRIM($B$12:$B33))&gt;0),--(H$12:H33=TRUE()),--($C$12:$C33&lt;&gt;TRUE())),SUMPRODUCT(--(LEN(TRIM($B$12:$B33))&gt;0),--(H$12:H33=TRUE())))&lt;=MOD(H$46,MAX(1,H$48)),1,0),0)</f>
        <v>0</v>
      </c>
      <c r="J73" s="14" t="n">
        <f aca="false">IF(AND(J$47,J$48&gt;0,LEN(TRIM($B33))&gt;0,J33=TRUE(),IF(J$50,$C33&lt;&gt;TRUE(),TRUE())),QUOTIENT(J$46,MAX(1,J$48))+IF(IF(J$50,SUMPRODUCT(--(LEN(TRIM($B$12:$B33))&gt;0),--(J$12:J33=TRUE()),--($C$12:$C33&lt;&gt;TRUE())),SUMPRODUCT(--(LEN(TRIM($B$12:$B33))&gt;0),--(J$12:J33=TRUE())))&lt;=MOD(J$46,MAX(1,J$48)),1,0),0)</f>
        <v>0</v>
      </c>
      <c r="L73" s="14" t="n">
        <f aca="false">IF(AND(L$47,L$48&gt;0,LEN(TRIM($B33))&gt;0,L33=TRUE(),IF(L$50,$C33&lt;&gt;TRUE(),TRUE())),QUOTIENT(L$46,MAX(1,L$48))+IF(IF(L$50,SUMPRODUCT(--(LEN(TRIM($B$12:$B33))&gt;0),--(L$12:L33=TRUE()),--($C$12:$C33&lt;&gt;TRUE())),SUMPRODUCT(--(LEN(TRIM($B$12:$B33))&gt;0),--(L$12:L33=TRUE())))&lt;=MOD(L$46,MAX(1,L$48)),1,0),0)</f>
        <v>0</v>
      </c>
      <c r="N73" s="14" t="n">
        <f aca="false">IF(AND(N$47,N$48&gt;0,LEN(TRIM($B33))&gt;0,N33=TRUE(),IF(N$50,$C33&lt;&gt;TRUE(),TRUE())),QUOTIENT(N$46,MAX(1,N$48))+IF(IF(N$50,SUMPRODUCT(--(LEN(TRIM($B$12:$B33))&gt;0),--(N$12:N33=TRUE()),--($C$12:$C33&lt;&gt;TRUE())),SUMPRODUCT(--(LEN(TRIM($B$12:$B33))&gt;0),--(N$12:N33=TRUE())))&lt;=MOD(N$46,MAX(1,N$48)),1,0),0)</f>
        <v>0</v>
      </c>
      <c r="P73" s="14" t="n">
        <f aca="false">IF(AND(P$47,P$48&gt;0,LEN(TRIM($B33))&gt;0,P33=TRUE(),IF(P$50,$C33&lt;&gt;TRUE(),TRUE())),QUOTIENT(P$46,MAX(1,P$48))+IF(IF(P$50,SUMPRODUCT(--(LEN(TRIM($B$12:$B33))&gt;0),--(P$12:P33=TRUE()),--($C$12:$C33&lt;&gt;TRUE())),SUMPRODUCT(--(LEN(TRIM($B$12:$B33))&gt;0),--(P$12:P33=TRUE())))&lt;=MOD(P$46,MAX(1,P$48)),1,0),0)</f>
        <v>0</v>
      </c>
    </row>
    <row r="74" customFormat="false" ht="15" hidden="true" customHeight="false" outlineLevel="0" collapsed="false">
      <c r="A74" s="13" t="s">
        <v>40</v>
      </c>
      <c r="D74" s="14" t="n">
        <f aca="false">IF(AND(D$47,D$48&gt;0,LEN(TRIM($B34))&gt;0,D34=TRUE(),IF(D$50,$C34&lt;&gt;TRUE(),TRUE())),QUOTIENT(D$46,MAX(1,D$48))+IF(IF(D$50,SUMPRODUCT(--(LEN(TRIM($B$12:$B34))&gt;0),--(D$12:D34=TRUE()),--($C$12:$C34&lt;&gt;TRUE())),SUMPRODUCT(--(LEN(TRIM($B$12:$B34))&gt;0),--(D$12:D34=TRUE())))&lt;=MOD(D$46,MAX(1,D$48)),1,0),0)</f>
        <v>0</v>
      </c>
      <c r="F74" s="14" t="n">
        <f aca="false">IF(AND(F$47,F$48&gt;0,LEN(TRIM($B34))&gt;0,F34=TRUE(),IF(F$50,$C34&lt;&gt;TRUE(),TRUE())),QUOTIENT(F$46,MAX(1,F$48))+IF(IF(F$50,SUMPRODUCT(--(LEN(TRIM($B$12:$B34))&gt;0),--(F$12:F34=TRUE()),--($C$12:$C34&lt;&gt;TRUE())),SUMPRODUCT(--(LEN(TRIM($B$12:$B34))&gt;0),--(F$12:F34=TRUE())))&lt;=MOD(F$46,MAX(1,F$48)),1,0),0)</f>
        <v>0</v>
      </c>
      <c r="H74" s="14" t="n">
        <f aca="false">IF(AND(H$47,H$48&gt;0,LEN(TRIM($B34))&gt;0,H34=TRUE(),IF(H$50,$C34&lt;&gt;TRUE(),TRUE())),QUOTIENT(H$46,MAX(1,H$48))+IF(IF(H$50,SUMPRODUCT(--(LEN(TRIM($B$12:$B34))&gt;0),--(H$12:H34=TRUE()),--($C$12:$C34&lt;&gt;TRUE())),SUMPRODUCT(--(LEN(TRIM($B$12:$B34))&gt;0),--(H$12:H34=TRUE())))&lt;=MOD(H$46,MAX(1,H$48)),1,0),0)</f>
        <v>0</v>
      </c>
      <c r="J74" s="14" t="n">
        <f aca="false">IF(AND(J$47,J$48&gt;0,LEN(TRIM($B34))&gt;0,J34=TRUE(),IF(J$50,$C34&lt;&gt;TRUE(),TRUE())),QUOTIENT(J$46,MAX(1,J$48))+IF(IF(J$50,SUMPRODUCT(--(LEN(TRIM($B$12:$B34))&gt;0),--(J$12:J34=TRUE()),--($C$12:$C34&lt;&gt;TRUE())),SUMPRODUCT(--(LEN(TRIM($B$12:$B34))&gt;0),--(J$12:J34=TRUE())))&lt;=MOD(J$46,MAX(1,J$48)),1,0),0)</f>
        <v>0</v>
      </c>
      <c r="L74" s="14" t="n">
        <f aca="false">IF(AND(L$47,L$48&gt;0,LEN(TRIM($B34))&gt;0,L34=TRUE(),IF(L$50,$C34&lt;&gt;TRUE(),TRUE())),QUOTIENT(L$46,MAX(1,L$48))+IF(IF(L$50,SUMPRODUCT(--(LEN(TRIM($B$12:$B34))&gt;0),--(L$12:L34=TRUE()),--($C$12:$C34&lt;&gt;TRUE())),SUMPRODUCT(--(LEN(TRIM($B$12:$B34))&gt;0),--(L$12:L34=TRUE())))&lt;=MOD(L$46,MAX(1,L$48)),1,0),0)</f>
        <v>0</v>
      </c>
      <c r="N74" s="14" t="n">
        <f aca="false">IF(AND(N$47,N$48&gt;0,LEN(TRIM($B34))&gt;0,N34=TRUE(),IF(N$50,$C34&lt;&gt;TRUE(),TRUE())),QUOTIENT(N$46,MAX(1,N$48))+IF(IF(N$50,SUMPRODUCT(--(LEN(TRIM($B$12:$B34))&gt;0),--(N$12:N34=TRUE()),--($C$12:$C34&lt;&gt;TRUE())),SUMPRODUCT(--(LEN(TRIM($B$12:$B34))&gt;0),--(N$12:N34=TRUE())))&lt;=MOD(N$46,MAX(1,N$48)),1,0),0)</f>
        <v>0</v>
      </c>
      <c r="P74" s="14" t="n">
        <f aca="false">IF(AND(P$47,P$48&gt;0,LEN(TRIM($B34))&gt;0,P34=TRUE(),IF(P$50,$C34&lt;&gt;TRUE(),TRUE())),QUOTIENT(P$46,MAX(1,P$48))+IF(IF(P$50,SUMPRODUCT(--(LEN(TRIM($B$12:$B34))&gt;0),--(P$12:P34=TRUE()),--($C$12:$C34&lt;&gt;TRUE())),SUMPRODUCT(--(LEN(TRIM($B$12:$B34))&gt;0),--(P$12:P34=TRUE())))&lt;=MOD(P$46,MAX(1,P$48)),1,0),0)</f>
        <v>0</v>
      </c>
    </row>
    <row r="75" customFormat="false" ht="15" hidden="true" customHeight="false" outlineLevel="0" collapsed="false">
      <c r="A75" s="13" t="s">
        <v>41</v>
      </c>
      <c r="D75" s="14" t="n">
        <f aca="false">IF(AND(D$47,D$48&gt;0,LEN(TRIM($B35))&gt;0,D35=TRUE(),IF(D$50,$C35&lt;&gt;TRUE(),TRUE())),QUOTIENT(D$46,MAX(1,D$48))+IF(IF(D$50,SUMPRODUCT(--(LEN(TRIM($B$12:$B35))&gt;0),--(D$12:D35=TRUE()),--($C$12:$C35&lt;&gt;TRUE())),SUMPRODUCT(--(LEN(TRIM($B$12:$B35))&gt;0),--(D$12:D35=TRUE())))&lt;=MOD(D$46,MAX(1,D$48)),1,0),0)</f>
        <v>0</v>
      </c>
      <c r="F75" s="14" t="n">
        <f aca="false">IF(AND(F$47,F$48&gt;0,LEN(TRIM($B35))&gt;0,F35=TRUE(),IF(F$50,$C35&lt;&gt;TRUE(),TRUE())),QUOTIENT(F$46,MAX(1,F$48))+IF(IF(F$50,SUMPRODUCT(--(LEN(TRIM($B$12:$B35))&gt;0),--(F$12:F35=TRUE()),--($C$12:$C35&lt;&gt;TRUE())),SUMPRODUCT(--(LEN(TRIM($B$12:$B35))&gt;0),--(F$12:F35=TRUE())))&lt;=MOD(F$46,MAX(1,F$48)),1,0),0)</f>
        <v>0</v>
      </c>
      <c r="H75" s="14" t="n">
        <f aca="false">IF(AND(H$47,H$48&gt;0,LEN(TRIM($B35))&gt;0,H35=TRUE(),IF(H$50,$C35&lt;&gt;TRUE(),TRUE())),QUOTIENT(H$46,MAX(1,H$48))+IF(IF(H$50,SUMPRODUCT(--(LEN(TRIM($B$12:$B35))&gt;0),--(H$12:H35=TRUE()),--($C$12:$C35&lt;&gt;TRUE())),SUMPRODUCT(--(LEN(TRIM($B$12:$B35))&gt;0),--(H$12:H35=TRUE())))&lt;=MOD(H$46,MAX(1,H$48)),1,0),0)</f>
        <v>0</v>
      </c>
      <c r="J75" s="14" t="n">
        <f aca="false">IF(AND(J$47,J$48&gt;0,LEN(TRIM($B35))&gt;0,J35=TRUE(),IF(J$50,$C35&lt;&gt;TRUE(),TRUE())),QUOTIENT(J$46,MAX(1,J$48))+IF(IF(J$50,SUMPRODUCT(--(LEN(TRIM($B$12:$B35))&gt;0),--(J$12:J35=TRUE()),--($C$12:$C35&lt;&gt;TRUE())),SUMPRODUCT(--(LEN(TRIM($B$12:$B35))&gt;0),--(J$12:J35=TRUE())))&lt;=MOD(J$46,MAX(1,J$48)),1,0),0)</f>
        <v>0</v>
      </c>
      <c r="L75" s="14" t="n">
        <f aca="false">IF(AND(L$47,L$48&gt;0,LEN(TRIM($B35))&gt;0,L35=TRUE(),IF(L$50,$C35&lt;&gt;TRUE(),TRUE())),QUOTIENT(L$46,MAX(1,L$48))+IF(IF(L$50,SUMPRODUCT(--(LEN(TRIM($B$12:$B35))&gt;0),--(L$12:L35=TRUE()),--($C$12:$C35&lt;&gt;TRUE())),SUMPRODUCT(--(LEN(TRIM($B$12:$B35))&gt;0),--(L$12:L35=TRUE())))&lt;=MOD(L$46,MAX(1,L$48)),1,0),0)</f>
        <v>0</v>
      </c>
      <c r="N75" s="14" t="n">
        <f aca="false">IF(AND(N$47,N$48&gt;0,LEN(TRIM($B35))&gt;0,N35=TRUE(),IF(N$50,$C35&lt;&gt;TRUE(),TRUE())),QUOTIENT(N$46,MAX(1,N$48))+IF(IF(N$50,SUMPRODUCT(--(LEN(TRIM($B$12:$B35))&gt;0),--(N$12:N35=TRUE()),--($C$12:$C35&lt;&gt;TRUE())),SUMPRODUCT(--(LEN(TRIM($B$12:$B35))&gt;0),--(N$12:N35=TRUE())))&lt;=MOD(N$46,MAX(1,N$48)),1,0),0)</f>
        <v>0</v>
      </c>
      <c r="P75" s="14" t="n">
        <f aca="false">IF(AND(P$47,P$48&gt;0,LEN(TRIM($B35))&gt;0,P35=TRUE(),IF(P$50,$C35&lt;&gt;TRUE(),TRUE())),QUOTIENT(P$46,MAX(1,P$48))+IF(IF(P$50,SUMPRODUCT(--(LEN(TRIM($B$12:$B35))&gt;0),--(P$12:P35=TRUE()),--($C$12:$C35&lt;&gt;TRUE())),SUMPRODUCT(--(LEN(TRIM($B$12:$B35))&gt;0),--(P$12:P35=TRUE())))&lt;=MOD(P$46,MAX(1,P$48)),1,0),0)</f>
        <v>0</v>
      </c>
    </row>
    <row r="76" customFormat="false" ht="15" hidden="true" customHeight="false" outlineLevel="0" collapsed="false">
      <c r="A76" s="13" t="s">
        <v>42</v>
      </c>
      <c r="D76" s="14" t="n">
        <f aca="false">IF(AND(D$47,D$48&gt;0,LEN(TRIM($B36))&gt;0,D36=TRUE(),IF(D$50,$C36&lt;&gt;TRUE(),TRUE())),QUOTIENT(D$46,MAX(1,D$48))+IF(IF(D$50,SUMPRODUCT(--(LEN(TRIM($B$12:$B36))&gt;0),--(D$12:D36=TRUE()),--($C$12:$C36&lt;&gt;TRUE())),SUMPRODUCT(--(LEN(TRIM($B$12:$B36))&gt;0),--(D$12:D36=TRUE())))&lt;=MOD(D$46,MAX(1,D$48)),1,0),0)</f>
        <v>0</v>
      </c>
      <c r="F76" s="14" t="n">
        <f aca="false">IF(AND(F$47,F$48&gt;0,LEN(TRIM($B36))&gt;0,F36=TRUE(),IF(F$50,$C36&lt;&gt;TRUE(),TRUE())),QUOTIENT(F$46,MAX(1,F$48))+IF(IF(F$50,SUMPRODUCT(--(LEN(TRIM($B$12:$B36))&gt;0),--(F$12:F36=TRUE()),--($C$12:$C36&lt;&gt;TRUE())),SUMPRODUCT(--(LEN(TRIM($B$12:$B36))&gt;0),--(F$12:F36=TRUE())))&lt;=MOD(F$46,MAX(1,F$48)),1,0),0)</f>
        <v>0</v>
      </c>
      <c r="H76" s="14" t="n">
        <f aca="false">IF(AND(H$47,H$48&gt;0,LEN(TRIM($B36))&gt;0,H36=TRUE(),IF(H$50,$C36&lt;&gt;TRUE(),TRUE())),QUOTIENT(H$46,MAX(1,H$48))+IF(IF(H$50,SUMPRODUCT(--(LEN(TRIM($B$12:$B36))&gt;0),--(H$12:H36=TRUE()),--($C$12:$C36&lt;&gt;TRUE())),SUMPRODUCT(--(LEN(TRIM($B$12:$B36))&gt;0),--(H$12:H36=TRUE())))&lt;=MOD(H$46,MAX(1,H$48)),1,0),0)</f>
        <v>0</v>
      </c>
      <c r="J76" s="14" t="n">
        <f aca="false">IF(AND(J$47,J$48&gt;0,LEN(TRIM($B36))&gt;0,J36=TRUE(),IF(J$50,$C36&lt;&gt;TRUE(),TRUE())),QUOTIENT(J$46,MAX(1,J$48))+IF(IF(J$50,SUMPRODUCT(--(LEN(TRIM($B$12:$B36))&gt;0),--(J$12:J36=TRUE()),--($C$12:$C36&lt;&gt;TRUE())),SUMPRODUCT(--(LEN(TRIM($B$12:$B36))&gt;0),--(J$12:J36=TRUE())))&lt;=MOD(J$46,MAX(1,J$48)),1,0),0)</f>
        <v>0</v>
      </c>
      <c r="L76" s="14" t="n">
        <f aca="false">IF(AND(L$47,L$48&gt;0,LEN(TRIM($B36))&gt;0,L36=TRUE(),IF(L$50,$C36&lt;&gt;TRUE(),TRUE())),QUOTIENT(L$46,MAX(1,L$48))+IF(IF(L$50,SUMPRODUCT(--(LEN(TRIM($B$12:$B36))&gt;0),--(L$12:L36=TRUE()),--($C$12:$C36&lt;&gt;TRUE())),SUMPRODUCT(--(LEN(TRIM($B$12:$B36))&gt;0),--(L$12:L36=TRUE())))&lt;=MOD(L$46,MAX(1,L$48)),1,0),0)</f>
        <v>0</v>
      </c>
      <c r="N76" s="14" t="n">
        <f aca="false">IF(AND(N$47,N$48&gt;0,LEN(TRIM($B36))&gt;0,N36=TRUE(),IF(N$50,$C36&lt;&gt;TRUE(),TRUE())),QUOTIENT(N$46,MAX(1,N$48))+IF(IF(N$50,SUMPRODUCT(--(LEN(TRIM($B$12:$B36))&gt;0),--(N$12:N36=TRUE()),--($C$12:$C36&lt;&gt;TRUE())),SUMPRODUCT(--(LEN(TRIM($B$12:$B36))&gt;0),--(N$12:N36=TRUE())))&lt;=MOD(N$46,MAX(1,N$48)),1,0),0)</f>
        <v>0</v>
      </c>
      <c r="P76" s="14" t="n">
        <f aca="false">IF(AND(P$47,P$48&gt;0,LEN(TRIM($B36))&gt;0,P36=TRUE(),IF(P$50,$C36&lt;&gt;TRUE(),TRUE())),QUOTIENT(P$46,MAX(1,P$48))+IF(IF(P$50,SUMPRODUCT(--(LEN(TRIM($B$12:$B36))&gt;0),--(P$12:P36=TRUE()),--($C$12:$C36&lt;&gt;TRUE())),SUMPRODUCT(--(LEN(TRIM($B$12:$B36))&gt;0),--(P$12:P36=TRUE())))&lt;=MOD(P$46,MAX(1,P$48)),1,0),0)</f>
        <v>0</v>
      </c>
    </row>
    <row r="77" customFormat="false" ht="15" hidden="true" customHeight="false" outlineLevel="0" collapsed="false">
      <c r="A77" s="13" t="s">
        <v>43</v>
      </c>
      <c r="D77" s="14" t="n">
        <f aca="false">IF(AND(D$47,D$48&gt;0,LEN(TRIM($B37))&gt;0,D37=TRUE(),IF(D$50,$C37&lt;&gt;TRUE(),TRUE())),QUOTIENT(D$46,MAX(1,D$48))+IF(IF(D$50,SUMPRODUCT(--(LEN(TRIM($B$12:$B37))&gt;0),--(D$12:D37=TRUE()),--($C$12:$C37&lt;&gt;TRUE())),SUMPRODUCT(--(LEN(TRIM($B$12:$B37))&gt;0),--(D$12:D37=TRUE())))&lt;=MOD(D$46,MAX(1,D$48)),1,0),0)</f>
        <v>0</v>
      </c>
      <c r="F77" s="14" t="n">
        <f aca="false">IF(AND(F$47,F$48&gt;0,LEN(TRIM($B37))&gt;0,F37=TRUE(),IF(F$50,$C37&lt;&gt;TRUE(),TRUE())),QUOTIENT(F$46,MAX(1,F$48))+IF(IF(F$50,SUMPRODUCT(--(LEN(TRIM($B$12:$B37))&gt;0),--(F$12:F37=TRUE()),--($C$12:$C37&lt;&gt;TRUE())),SUMPRODUCT(--(LEN(TRIM($B$12:$B37))&gt;0),--(F$12:F37=TRUE())))&lt;=MOD(F$46,MAX(1,F$48)),1,0),0)</f>
        <v>0</v>
      </c>
      <c r="H77" s="14" t="n">
        <f aca="false">IF(AND(H$47,H$48&gt;0,LEN(TRIM($B37))&gt;0,H37=TRUE(),IF(H$50,$C37&lt;&gt;TRUE(),TRUE())),QUOTIENT(H$46,MAX(1,H$48))+IF(IF(H$50,SUMPRODUCT(--(LEN(TRIM($B$12:$B37))&gt;0),--(H$12:H37=TRUE()),--($C$12:$C37&lt;&gt;TRUE())),SUMPRODUCT(--(LEN(TRIM($B$12:$B37))&gt;0),--(H$12:H37=TRUE())))&lt;=MOD(H$46,MAX(1,H$48)),1,0),0)</f>
        <v>0</v>
      </c>
      <c r="J77" s="14" t="n">
        <f aca="false">IF(AND(J$47,J$48&gt;0,LEN(TRIM($B37))&gt;0,J37=TRUE(),IF(J$50,$C37&lt;&gt;TRUE(),TRUE())),QUOTIENT(J$46,MAX(1,J$48))+IF(IF(J$50,SUMPRODUCT(--(LEN(TRIM($B$12:$B37))&gt;0),--(J$12:J37=TRUE()),--($C$12:$C37&lt;&gt;TRUE())),SUMPRODUCT(--(LEN(TRIM($B$12:$B37))&gt;0),--(J$12:J37=TRUE())))&lt;=MOD(J$46,MAX(1,J$48)),1,0),0)</f>
        <v>0</v>
      </c>
      <c r="L77" s="14" t="n">
        <f aca="false">IF(AND(L$47,L$48&gt;0,LEN(TRIM($B37))&gt;0,L37=TRUE(),IF(L$50,$C37&lt;&gt;TRUE(),TRUE())),QUOTIENT(L$46,MAX(1,L$48))+IF(IF(L$50,SUMPRODUCT(--(LEN(TRIM($B$12:$B37))&gt;0),--(L$12:L37=TRUE()),--($C$12:$C37&lt;&gt;TRUE())),SUMPRODUCT(--(LEN(TRIM($B$12:$B37))&gt;0),--(L$12:L37=TRUE())))&lt;=MOD(L$46,MAX(1,L$48)),1,0),0)</f>
        <v>0</v>
      </c>
      <c r="N77" s="14" t="n">
        <f aca="false">IF(AND(N$47,N$48&gt;0,LEN(TRIM($B37))&gt;0,N37=TRUE(),IF(N$50,$C37&lt;&gt;TRUE(),TRUE())),QUOTIENT(N$46,MAX(1,N$48))+IF(IF(N$50,SUMPRODUCT(--(LEN(TRIM($B$12:$B37))&gt;0),--(N$12:N37=TRUE()),--($C$12:$C37&lt;&gt;TRUE())),SUMPRODUCT(--(LEN(TRIM($B$12:$B37))&gt;0),--(N$12:N37=TRUE())))&lt;=MOD(N$46,MAX(1,N$48)),1,0),0)</f>
        <v>0</v>
      </c>
      <c r="P77" s="14" t="n">
        <f aca="false">IF(AND(P$47,P$48&gt;0,LEN(TRIM($B37))&gt;0,P37=TRUE(),IF(P$50,$C37&lt;&gt;TRUE(),TRUE())),QUOTIENT(P$46,MAX(1,P$48))+IF(IF(P$50,SUMPRODUCT(--(LEN(TRIM($B$12:$B37))&gt;0),--(P$12:P37=TRUE()),--($C$12:$C37&lt;&gt;TRUE())),SUMPRODUCT(--(LEN(TRIM($B$12:$B37))&gt;0),--(P$12:P37=TRUE())))&lt;=MOD(P$46,MAX(1,P$48)),1,0),0)</f>
        <v>0</v>
      </c>
    </row>
    <row r="78" customFormat="false" ht="15" hidden="true" customHeight="false" outlineLevel="0" collapsed="false">
      <c r="A78" s="13" t="s">
        <v>44</v>
      </c>
      <c r="D78" s="14" t="n">
        <f aca="false">IF(AND(D$47,D$48&gt;0,LEN(TRIM($B38))&gt;0,D38=TRUE(),IF(D$50,$C38&lt;&gt;TRUE(),TRUE())),QUOTIENT(D$46,MAX(1,D$48))+IF(IF(D$50,SUMPRODUCT(--(LEN(TRIM($B$12:$B38))&gt;0),--(D$12:D38=TRUE()),--($C$12:$C38&lt;&gt;TRUE())),SUMPRODUCT(--(LEN(TRIM($B$12:$B38))&gt;0),--(D$12:D38=TRUE())))&lt;=MOD(D$46,MAX(1,D$48)),1,0),0)</f>
        <v>0</v>
      </c>
      <c r="F78" s="14" t="n">
        <f aca="false">IF(AND(F$47,F$48&gt;0,LEN(TRIM($B38))&gt;0,F38=TRUE(),IF(F$50,$C38&lt;&gt;TRUE(),TRUE())),QUOTIENT(F$46,MAX(1,F$48))+IF(IF(F$50,SUMPRODUCT(--(LEN(TRIM($B$12:$B38))&gt;0),--(F$12:F38=TRUE()),--($C$12:$C38&lt;&gt;TRUE())),SUMPRODUCT(--(LEN(TRIM($B$12:$B38))&gt;0),--(F$12:F38=TRUE())))&lt;=MOD(F$46,MAX(1,F$48)),1,0),0)</f>
        <v>0</v>
      </c>
      <c r="H78" s="14" t="n">
        <f aca="false">IF(AND(H$47,H$48&gt;0,LEN(TRIM($B38))&gt;0,H38=TRUE(),IF(H$50,$C38&lt;&gt;TRUE(),TRUE())),QUOTIENT(H$46,MAX(1,H$48))+IF(IF(H$50,SUMPRODUCT(--(LEN(TRIM($B$12:$B38))&gt;0),--(H$12:H38=TRUE()),--($C$12:$C38&lt;&gt;TRUE())),SUMPRODUCT(--(LEN(TRIM($B$12:$B38))&gt;0),--(H$12:H38=TRUE())))&lt;=MOD(H$46,MAX(1,H$48)),1,0),0)</f>
        <v>0</v>
      </c>
      <c r="J78" s="14" t="n">
        <f aca="false">IF(AND(J$47,J$48&gt;0,LEN(TRIM($B38))&gt;0,J38=TRUE(),IF(J$50,$C38&lt;&gt;TRUE(),TRUE())),QUOTIENT(J$46,MAX(1,J$48))+IF(IF(J$50,SUMPRODUCT(--(LEN(TRIM($B$12:$B38))&gt;0),--(J$12:J38=TRUE()),--($C$12:$C38&lt;&gt;TRUE())),SUMPRODUCT(--(LEN(TRIM($B$12:$B38))&gt;0),--(J$12:J38=TRUE())))&lt;=MOD(J$46,MAX(1,J$48)),1,0),0)</f>
        <v>0</v>
      </c>
      <c r="L78" s="14" t="n">
        <f aca="false">IF(AND(L$47,L$48&gt;0,LEN(TRIM($B38))&gt;0,L38=TRUE(),IF(L$50,$C38&lt;&gt;TRUE(),TRUE())),QUOTIENT(L$46,MAX(1,L$48))+IF(IF(L$50,SUMPRODUCT(--(LEN(TRIM($B$12:$B38))&gt;0),--(L$12:L38=TRUE()),--($C$12:$C38&lt;&gt;TRUE())),SUMPRODUCT(--(LEN(TRIM($B$12:$B38))&gt;0),--(L$12:L38=TRUE())))&lt;=MOD(L$46,MAX(1,L$48)),1,0),0)</f>
        <v>0</v>
      </c>
      <c r="N78" s="14" t="n">
        <f aca="false">IF(AND(N$47,N$48&gt;0,LEN(TRIM($B38))&gt;0,N38=TRUE(),IF(N$50,$C38&lt;&gt;TRUE(),TRUE())),QUOTIENT(N$46,MAX(1,N$48))+IF(IF(N$50,SUMPRODUCT(--(LEN(TRIM($B$12:$B38))&gt;0),--(N$12:N38=TRUE()),--($C$12:$C38&lt;&gt;TRUE())),SUMPRODUCT(--(LEN(TRIM($B$12:$B38))&gt;0),--(N$12:N38=TRUE())))&lt;=MOD(N$46,MAX(1,N$48)),1,0),0)</f>
        <v>0</v>
      </c>
      <c r="P78" s="14" t="n">
        <f aca="false">IF(AND(P$47,P$48&gt;0,LEN(TRIM($B38))&gt;0,P38=TRUE(),IF(P$50,$C38&lt;&gt;TRUE(),TRUE())),QUOTIENT(P$46,MAX(1,P$48))+IF(IF(P$50,SUMPRODUCT(--(LEN(TRIM($B$12:$B38))&gt;0),--(P$12:P38=TRUE()),--($C$12:$C38&lt;&gt;TRUE())),SUMPRODUCT(--(LEN(TRIM($B$12:$B38))&gt;0),--(P$12:P38=TRUE())))&lt;=MOD(P$46,MAX(1,P$48)),1,0),0)</f>
        <v>0</v>
      </c>
    </row>
    <row r="79" customFormat="false" ht="15" hidden="true" customHeight="false" outlineLevel="0" collapsed="false">
      <c r="A79" s="13" t="s">
        <v>45</v>
      </c>
      <c r="D79" s="14" t="n">
        <f aca="false">IF(AND(D$47,D$48&gt;0,LEN(TRIM($B39))&gt;0,D39=TRUE(),IF(D$50,$C39&lt;&gt;TRUE(),TRUE())),QUOTIENT(D$46,MAX(1,D$48))+IF(IF(D$50,SUMPRODUCT(--(LEN(TRIM($B$12:$B39))&gt;0),--(D$12:D39=TRUE()),--($C$12:$C39&lt;&gt;TRUE())),SUMPRODUCT(--(LEN(TRIM($B$12:$B39))&gt;0),--(D$12:D39=TRUE())))&lt;=MOD(D$46,MAX(1,D$48)),1,0),0)</f>
        <v>0</v>
      </c>
      <c r="F79" s="14" t="n">
        <f aca="false">IF(AND(F$47,F$48&gt;0,LEN(TRIM($B39))&gt;0,F39=TRUE(),IF(F$50,$C39&lt;&gt;TRUE(),TRUE())),QUOTIENT(F$46,MAX(1,F$48))+IF(IF(F$50,SUMPRODUCT(--(LEN(TRIM($B$12:$B39))&gt;0),--(F$12:F39=TRUE()),--($C$12:$C39&lt;&gt;TRUE())),SUMPRODUCT(--(LEN(TRIM($B$12:$B39))&gt;0),--(F$12:F39=TRUE())))&lt;=MOD(F$46,MAX(1,F$48)),1,0),0)</f>
        <v>0</v>
      </c>
      <c r="H79" s="14" t="n">
        <f aca="false">IF(AND(H$47,H$48&gt;0,LEN(TRIM($B39))&gt;0,H39=TRUE(),IF(H$50,$C39&lt;&gt;TRUE(),TRUE())),QUOTIENT(H$46,MAX(1,H$48))+IF(IF(H$50,SUMPRODUCT(--(LEN(TRIM($B$12:$B39))&gt;0),--(H$12:H39=TRUE()),--($C$12:$C39&lt;&gt;TRUE())),SUMPRODUCT(--(LEN(TRIM($B$12:$B39))&gt;0),--(H$12:H39=TRUE())))&lt;=MOD(H$46,MAX(1,H$48)),1,0),0)</f>
        <v>0</v>
      </c>
      <c r="J79" s="14" t="n">
        <f aca="false">IF(AND(J$47,J$48&gt;0,LEN(TRIM($B39))&gt;0,J39=TRUE(),IF(J$50,$C39&lt;&gt;TRUE(),TRUE())),QUOTIENT(J$46,MAX(1,J$48))+IF(IF(J$50,SUMPRODUCT(--(LEN(TRIM($B$12:$B39))&gt;0),--(J$12:J39=TRUE()),--($C$12:$C39&lt;&gt;TRUE())),SUMPRODUCT(--(LEN(TRIM($B$12:$B39))&gt;0),--(J$12:J39=TRUE())))&lt;=MOD(J$46,MAX(1,J$48)),1,0),0)</f>
        <v>0</v>
      </c>
      <c r="L79" s="14" t="n">
        <f aca="false">IF(AND(L$47,L$48&gt;0,LEN(TRIM($B39))&gt;0,L39=TRUE(),IF(L$50,$C39&lt;&gt;TRUE(),TRUE())),QUOTIENT(L$46,MAX(1,L$48))+IF(IF(L$50,SUMPRODUCT(--(LEN(TRIM($B$12:$B39))&gt;0),--(L$12:L39=TRUE()),--($C$12:$C39&lt;&gt;TRUE())),SUMPRODUCT(--(LEN(TRIM($B$12:$B39))&gt;0),--(L$12:L39=TRUE())))&lt;=MOD(L$46,MAX(1,L$48)),1,0),0)</f>
        <v>0</v>
      </c>
      <c r="N79" s="14" t="n">
        <f aca="false">IF(AND(N$47,N$48&gt;0,LEN(TRIM($B39))&gt;0,N39=TRUE(),IF(N$50,$C39&lt;&gt;TRUE(),TRUE())),QUOTIENT(N$46,MAX(1,N$48))+IF(IF(N$50,SUMPRODUCT(--(LEN(TRIM($B$12:$B39))&gt;0),--(N$12:N39=TRUE()),--($C$12:$C39&lt;&gt;TRUE())),SUMPRODUCT(--(LEN(TRIM($B$12:$B39))&gt;0),--(N$12:N39=TRUE())))&lt;=MOD(N$46,MAX(1,N$48)),1,0),0)</f>
        <v>0</v>
      </c>
      <c r="P79" s="14" t="n">
        <f aca="false">IF(AND(P$47,P$48&gt;0,LEN(TRIM($B39))&gt;0,P39=TRUE(),IF(P$50,$C39&lt;&gt;TRUE(),TRUE())),QUOTIENT(P$46,MAX(1,P$48))+IF(IF(P$50,SUMPRODUCT(--(LEN(TRIM($B$12:$B39))&gt;0),--(P$12:P39=TRUE()),--($C$12:$C39&lt;&gt;TRUE())),SUMPRODUCT(--(LEN(TRIM($B$12:$B39))&gt;0),--(P$12:P39=TRUE())))&lt;=MOD(P$46,MAX(1,P$48)),1,0),0)</f>
        <v>0</v>
      </c>
    </row>
    <row r="80" customFormat="false" ht="15" hidden="true" customHeight="false" outlineLevel="0" collapsed="false">
      <c r="A80" s="13" t="s">
        <v>46</v>
      </c>
      <c r="D80" s="14" t="n">
        <f aca="false">IF(AND(D$47,D$48&gt;0,LEN(TRIM($B40))&gt;0,D40=TRUE(),IF(D$50,$C40&lt;&gt;TRUE(),TRUE())),QUOTIENT(D$46,MAX(1,D$48))+IF(IF(D$50,SUMPRODUCT(--(LEN(TRIM($B$12:$B40))&gt;0),--(D$12:D40=TRUE()),--($C$12:$C40&lt;&gt;TRUE())),SUMPRODUCT(--(LEN(TRIM($B$12:$B40))&gt;0),--(D$12:D40=TRUE())))&lt;=MOD(D$46,MAX(1,D$48)),1,0),0)</f>
        <v>0</v>
      </c>
      <c r="F80" s="14" t="n">
        <f aca="false">IF(AND(F$47,F$48&gt;0,LEN(TRIM($B40))&gt;0,F40=TRUE(),IF(F$50,$C40&lt;&gt;TRUE(),TRUE())),QUOTIENT(F$46,MAX(1,F$48))+IF(IF(F$50,SUMPRODUCT(--(LEN(TRIM($B$12:$B40))&gt;0),--(F$12:F40=TRUE()),--($C$12:$C40&lt;&gt;TRUE())),SUMPRODUCT(--(LEN(TRIM($B$12:$B40))&gt;0),--(F$12:F40=TRUE())))&lt;=MOD(F$46,MAX(1,F$48)),1,0),0)</f>
        <v>0</v>
      </c>
      <c r="H80" s="14" t="n">
        <f aca="false">IF(AND(H$47,H$48&gt;0,LEN(TRIM($B40))&gt;0,H40=TRUE(),IF(H$50,$C40&lt;&gt;TRUE(),TRUE())),QUOTIENT(H$46,MAX(1,H$48))+IF(IF(H$50,SUMPRODUCT(--(LEN(TRIM($B$12:$B40))&gt;0),--(H$12:H40=TRUE()),--($C$12:$C40&lt;&gt;TRUE())),SUMPRODUCT(--(LEN(TRIM($B$12:$B40))&gt;0),--(H$12:H40=TRUE())))&lt;=MOD(H$46,MAX(1,H$48)),1,0),0)</f>
        <v>0</v>
      </c>
      <c r="J80" s="14" t="n">
        <f aca="false">IF(AND(J$47,J$48&gt;0,LEN(TRIM($B40))&gt;0,J40=TRUE(),IF(J$50,$C40&lt;&gt;TRUE(),TRUE())),QUOTIENT(J$46,MAX(1,J$48))+IF(IF(J$50,SUMPRODUCT(--(LEN(TRIM($B$12:$B40))&gt;0),--(J$12:J40=TRUE()),--($C$12:$C40&lt;&gt;TRUE())),SUMPRODUCT(--(LEN(TRIM($B$12:$B40))&gt;0),--(J$12:J40=TRUE())))&lt;=MOD(J$46,MAX(1,J$48)),1,0),0)</f>
        <v>0</v>
      </c>
      <c r="L80" s="14" t="n">
        <f aca="false">IF(AND(L$47,L$48&gt;0,LEN(TRIM($B40))&gt;0,L40=TRUE(),IF(L$50,$C40&lt;&gt;TRUE(),TRUE())),QUOTIENT(L$46,MAX(1,L$48))+IF(IF(L$50,SUMPRODUCT(--(LEN(TRIM($B$12:$B40))&gt;0),--(L$12:L40=TRUE()),--($C$12:$C40&lt;&gt;TRUE())),SUMPRODUCT(--(LEN(TRIM($B$12:$B40))&gt;0),--(L$12:L40=TRUE())))&lt;=MOD(L$46,MAX(1,L$48)),1,0),0)</f>
        <v>0</v>
      </c>
      <c r="N80" s="14" t="n">
        <f aca="false">IF(AND(N$47,N$48&gt;0,LEN(TRIM($B40))&gt;0,N40=TRUE(),IF(N$50,$C40&lt;&gt;TRUE(),TRUE())),QUOTIENT(N$46,MAX(1,N$48))+IF(IF(N$50,SUMPRODUCT(--(LEN(TRIM($B$12:$B40))&gt;0),--(N$12:N40=TRUE()),--($C$12:$C40&lt;&gt;TRUE())),SUMPRODUCT(--(LEN(TRIM($B$12:$B40))&gt;0),--(N$12:N40=TRUE())))&lt;=MOD(N$46,MAX(1,N$48)),1,0),0)</f>
        <v>0</v>
      </c>
      <c r="P80" s="14" t="n">
        <f aca="false">IF(AND(P$47,P$48&gt;0,LEN(TRIM($B40))&gt;0,P40=TRUE(),IF(P$50,$C40&lt;&gt;TRUE(),TRUE())),QUOTIENT(P$46,MAX(1,P$48))+IF(IF(P$50,SUMPRODUCT(--(LEN(TRIM($B$12:$B40))&gt;0),--(P$12:P40=TRUE()),--($C$12:$C40&lt;&gt;TRUE())),SUMPRODUCT(--(LEN(TRIM($B$12:$B40))&gt;0),--(P$12:P40=TRUE())))&lt;=MOD(P$46,MAX(1,P$48)),1,0),0)</f>
        <v>0</v>
      </c>
    </row>
    <row r="81" customFormat="false" ht="15" hidden="true" customHeight="false" outlineLevel="0" collapsed="false">
      <c r="A81" s="13" t="s">
        <v>47</v>
      </c>
      <c r="D81" s="14" t="n">
        <f aca="false">IF(AND(D$47,D$48&gt;0,LEN(TRIM($B41))&gt;0,D41=TRUE(),IF(D$50,$C41&lt;&gt;TRUE(),TRUE())),QUOTIENT(D$46,MAX(1,D$48))+IF(IF(D$50,SUMPRODUCT(--(LEN(TRIM($B$12:$B41))&gt;0),--(D$12:D41=TRUE()),--($C$12:$C41&lt;&gt;TRUE())),SUMPRODUCT(--(LEN(TRIM($B$12:$B41))&gt;0),--(D$12:D41=TRUE())))&lt;=MOD(D$46,MAX(1,D$48)),1,0),0)</f>
        <v>0</v>
      </c>
      <c r="F81" s="14" t="n">
        <f aca="false">IF(AND(F$47,F$48&gt;0,LEN(TRIM($B41))&gt;0,F41=TRUE(),IF(F$50,$C41&lt;&gt;TRUE(),TRUE())),QUOTIENT(F$46,MAX(1,F$48))+IF(IF(F$50,SUMPRODUCT(--(LEN(TRIM($B$12:$B41))&gt;0),--(F$12:F41=TRUE()),--($C$12:$C41&lt;&gt;TRUE())),SUMPRODUCT(--(LEN(TRIM($B$12:$B41))&gt;0),--(F$12:F41=TRUE())))&lt;=MOD(F$46,MAX(1,F$48)),1,0),0)</f>
        <v>0</v>
      </c>
      <c r="H81" s="14" t="n">
        <f aca="false">IF(AND(H$47,H$48&gt;0,LEN(TRIM($B41))&gt;0,H41=TRUE(),IF(H$50,$C41&lt;&gt;TRUE(),TRUE())),QUOTIENT(H$46,MAX(1,H$48))+IF(IF(H$50,SUMPRODUCT(--(LEN(TRIM($B$12:$B41))&gt;0),--(H$12:H41=TRUE()),--($C$12:$C41&lt;&gt;TRUE())),SUMPRODUCT(--(LEN(TRIM($B$12:$B41))&gt;0),--(H$12:H41=TRUE())))&lt;=MOD(H$46,MAX(1,H$48)),1,0),0)</f>
        <v>0</v>
      </c>
      <c r="J81" s="14" t="n">
        <f aca="false">IF(AND(J$47,J$48&gt;0,LEN(TRIM($B41))&gt;0,J41=TRUE(),IF(J$50,$C41&lt;&gt;TRUE(),TRUE())),QUOTIENT(J$46,MAX(1,J$48))+IF(IF(J$50,SUMPRODUCT(--(LEN(TRIM($B$12:$B41))&gt;0),--(J$12:J41=TRUE()),--($C$12:$C41&lt;&gt;TRUE())),SUMPRODUCT(--(LEN(TRIM($B$12:$B41))&gt;0),--(J$12:J41=TRUE())))&lt;=MOD(J$46,MAX(1,J$48)),1,0),0)</f>
        <v>0</v>
      </c>
      <c r="L81" s="14" t="n">
        <f aca="false">IF(AND(L$47,L$48&gt;0,LEN(TRIM($B41))&gt;0,L41=TRUE(),IF(L$50,$C41&lt;&gt;TRUE(),TRUE())),QUOTIENT(L$46,MAX(1,L$48))+IF(IF(L$50,SUMPRODUCT(--(LEN(TRIM($B$12:$B41))&gt;0),--(L$12:L41=TRUE()),--($C$12:$C41&lt;&gt;TRUE())),SUMPRODUCT(--(LEN(TRIM($B$12:$B41))&gt;0),--(L$12:L41=TRUE())))&lt;=MOD(L$46,MAX(1,L$48)),1,0),0)</f>
        <v>0</v>
      </c>
      <c r="N81" s="14" t="n">
        <f aca="false">IF(AND(N$47,N$48&gt;0,LEN(TRIM($B41))&gt;0,N41=TRUE(),IF(N$50,$C41&lt;&gt;TRUE(),TRUE())),QUOTIENT(N$46,MAX(1,N$48))+IF(IF(N$50,SUMPRODUCT(--(LEN(TRIM($B$12:$B41))&gt;0),--(N$12:N41=TRUE()),--($C$12:$C41&lt;&gt;TRUE())),SUMPRODUCT(--(LEN(TRIM($B$12:$B41))&gt;0),--(N$12:N41=TRUE())))&lt;=MOD(N$46,MAX(1,N$48)),1,0),0)</f>
        <v>0</v>
      </c>
      <c r="P81" s="14" t="n">
        <f aca="false">IF(AND(P$47,P$48&gt;0,LEN(TRIM($B41))&gt;0,P41=TRUE(),IF(P$50,$C41&lt;&gt;TRUE(),TRUE())),QUOTIENT(P$46,MAX(1,P$48))+IF(IF(P$50,SUMPRODUCT(--(LEN(TRIM($B$12:$B41))&gt;0),--(P$12:P41=TRUE()),--($C$12:$C41&lt;&gt;TRUE())),SUMPRODUCT(--(LEN(TRIM($B$12:$B41))&gt;0),--(P$12:P41=TRUE())))&lt;=MOD(P$46,MAX(1,P$48)),1,0),0)</f>
        <v>0</v>
      </c>
    </row>
  </sheetData>
  <mergeCells count="28">
    <mergeCell ref="D4:E4"/>
    <mergeCell ref="F4:G4"/>
    <mergeCell ref="H4:I4"/>
    <mergeCell ref="J4:K4"/>
    <mergeCell ref="L4:M4"/>
    <mergeCell ref="N4:O4"/>
    <mergeCell ref="P4:Q4"/>
    <mergeCell ref="D5:E5"/>
    <mergeCell ref="F5:G5"/>
    <mergeCell ref="H5:I5"/>
    <mergeCell ref="J5:K5"/>
    <mergeCell ref="L5:M5"/>
    <mergeCell ref="N5:O5"/>
    <mergeCell ref="P5:Q5"/>
    <mergeCell ref="D9:E9"/>
    <mergeCell ref="F9:G9"/>
    <mergeCell ref="H9:I9"/>
    <mergeCell ref="J9:K9"/>
    <mergeCell ref="L9:M9"/>
    <mergeCell ref="N9:O9"/>
    <mergeCell ref="P9:Q9"/>
    <mergeCell ref="D10:E10"/>
    <mergeCell ref="F10:G10"/>
    <mergeCell ref="H10:I10"/>
    <mergeCell ref="J10:K10"/>
    <mergeCell ref="L10:M10"/>
    <mergeCell ref="N10:O10"/>
    <mergeCell ref="P10:Q10"/>
  </mergeCells>
  <dataValidations count="30"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3" type="custom">
      <formula1>OR(C3=1,C3=0)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12:C41" type="custom">
      <formula1>OR(C12=1,C12=0)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D12:D41" type="custom">
      <formula1>OR(D12=1,D12=0)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F12:F41" type="custom">
      <formula1>OR(F12=1,F12=0)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H12:H41" type="custom">
      <formula1>OR(H12=1,H12=0)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J12:J41" type="custom">
      <formula1>OR(J12=1,J12=0)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L12:L41" type="custom">
      <formula1>OR(L12=1,L12=0)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N12:N41" type="custom">
      <formula1>OR(N12=1,N12=0)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P12:P41" type="custom">
      <formula1>OR(P12=1,P12=0)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D5:E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6" type="custom">
      <formula1>OR(LEN(TRIM(D6&amp;""))=0,IFERROR(AND(ISNUMBER(D6),D6&gt;=0,D6&lt;=100000000,ROUND(D6,1)=D6),0))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F5:G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6" type="custom">
      <formula1>OR(LEN(TRIM(F6&amp;""))=0,IFERROR(AND(ISNUMBER(F6),F6&gt;=0,F6&lt;=100000000,ROUND(F6,1)=F6),0))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H5:I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6" type="custom">
      <formula1>OR(LEN(TRIM(H6&amp;""))=0,IFERROR(AND(ISNUMBER(H6),H6&gt;=0,H6&lt;=100000000,ROUND(H6,1)=H6),0))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J5:K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6" type="custom">
      <formula1>OR(LEN(TRIM(J6&amp;""))=0,IFERROR(AND(ISNUMBER(J6),J6&gt;=0,J6&lt;=100000000,ROUND(J6,1)=J6),0))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L5:M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6" type="custom">
      <formula1>OR(LEN(TRIM(L6&amp;""))=0,IFERROR(AND(ISNUMBER(L6),L6&gt;=0,L6&lt;=100000000,ROUND(L6,1)=L6),0))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N5:O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6" type="custom">
      <formula1>OR(LEN(TRIM(N6&amp;""))=0,IFERROR(AND(ISNUMBER(N6),N6&gt;=0,N6&lt;=100000000,ROUND(N6,1)=N6),0))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P5:Q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6" type="custom">
      <formula1>OR(LEN(TRIM(P6&amp;""))=0,IFERROR(AND(ISNUMBER(P6),P6&gt;=0,P6&lt;=100000000,ROUND(P6,1)=P6),0))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40"/>
    <col collapsed="false" customWidth="true" hidden="false" outlineLevel="0" max="2" min="2" style="0" width="22.86"/>
    <col collapsed="false" customWidth="true" hidden="false" outlineLevel="0" max="3" min="3" style="0" width="13.15"/>
    <col collapsed="false" customWidth="true" hidden="false" outlineLevel="0" max="17" min="4" style="0" width="21.14"/>
  </cols>
  <sheetData>
    <row r="1" customFormat="false" ht="32.8" hidden="true" customHeight="false" outlineLevel="0" collapsed="false">
      <c r="A1" s="1" t="s">
        <v>152</v>
      </c>
      <c r="D1" s="1" t="s">
        <v>153</v>
      </c>
      <c r="F1" s="1" t="s">
        <v>154</v>
      </c>
      <c r="H1" s="1" t="s">
        <v>155</v>
      </c>
      <c r="J1" s="1" t="s">
        <v>156</v>
      </c>
      <c r="L1" s="1" t="s">
        <v>157</v>
      </c>
      <c r="N1" s="1" t="s">
        <v>158</v>
      </c>
      <c r="P1" s="1" t="s">
        <v>159</v>
      </c>
    </row>
    <row r="2" customFormat="false" ht="48.5" hidden="false" customHeight="false" outlineLevel="0" collapsed="false">
      <c r="B2" s="16" t="s">
        <v>160</v>
      </c>
      <c r="D2" s="1" t="s">
        <v>67</v>
      </c>
    </row>
    <row r="3" customFormat="false" ht="48.5" hidden="false" customHeight="false" outlineLevel="0" collapsed="false">
      <c r="B3" s="1" t="s">
        <v>68</v>
      </c>
      <c r="C3" s="18" t="b">
        <f aca="false">FALSE()</f>
        <v>0</v>
      </c>
      <c r="D3" s="1" t="s">
        <v>69</v>
      </c>
    </row>
    <row r="4" customFormat="false" ht="27.75" hidden="false" customHeight="true" outlineLevel="0" collapsed="false">
      <c r="B4" s="1" t="s">
        <v>70</v>
      </c>
      <c r="D4" s="19" t="s">
        <v>71</v>
      </c>
      <c r="E4" s="19"/>
      <c r="F4" s="19" t="s">
        <v>72</v>
      </c>
      <c r="G4" s="19"/>
      <c r="H4" s="19" t="s">
        <v>73</v>
      </c>
      <c r="I4" s="19"/>
      <c r="J4" s="19" t="s">
        <v>74</v>
      </c>
      <c r="K4" s="19"/>
      <c r="L4" s="19" t="s">
        <v>75</v>
      </c>
      <c r="M4" s="19"/>
      <c r="N4" s="19" t="s">
        <v>76</v>
      </c>
      <c r="O4" s="19"/>
      <c r="P4" s="19" t="s">
        <v>77</v>
      </c>
      <c r="Q4" s="19"/>
    </row>
    <row r="5" customFormat="false" ht="27.75" hidden="false" customHeight="true" outlineLevel="0" collapsed="false">
      <c r="B5" s="1" t="s">
        <v>78</v>
      </c>
      <c r="D5" s="19" t="s">
        <v>71</v>
      </c>
      <c r="E5" s="19"/>
      <c r="F5" s="19" t="s">
        <v>72</v>
      </c>
      <c r="G5" s="19"/>
      <c r="H5" s="19" t="s">
        <v>73</v>
      </c>
      <c r="I5" s="19"/>
      <c r="J5" s="19" t="s">
        <v>74</v>
      </c>
      <c r="K5" s="19"/>
      <c r="L5" s="19" t="s">
        <v>75</v>
      </c>
      <c r="M5" s="19"/>
      <c r="N5" s="19" t="s">
        <v>76</v>
      </c>
      <c r="O5" s="19"/>
      <c r="P5" s="19" t="s">
        <v>77</v>
      </c>
      <c r="Q5" s="19"/>
    </row>
    <row r="6" customFormat="false" ht="27.75" hidden="false" customHeight="true" outlineLevel="0" collapsed="false">
      <c r="B6" s="1" t="s">
        <v>79</v>
      </c>
      <c r="D6" s="16"/>
      <c r="E6" s="1" t="s">
        <v>80</v>
      </c>
      <c r="F6" s="16"/>
      <c r="G6" s="1" t="s">
        <v>80</v>
      </c>
      <c r="H6" s="16"/>
      <c r="I6" s="1" t="s">
        <v>80</v>
      </c>
      <c r="J6" s="16"/>
      <c r="K6" s="1" t="s">
        <v>80</v>
      </c>
      <c r="L6" s="16"/>
      <c r="M6" s="1" t="s">
        <v>80</v>
      </c>
      <c r="N6" s="16"/>
      <c r="O6" s="1" t="s">
        <v>80</v>
      </c>
      <c r="P6" s="16"/>
      <c r="Q6" s="1" t="s">
        <v>80</v>
      </c>
    </row>
    <row r="7" customFormat="false" ht="27.75" hidden="false" customHeight="true" outlineLevel="0" collapsed="false">
      <c r="B7" s="1" t="s">
        <v>81</v>
      </c>
      <c r="D7" s="16"/>
      <c r="E7" s="20" t="str">
        <f aca="false">IFERROR(INDEX(成員名單!$B$5:$B$34,MATCH(D7,成員名單!$A$5:$A$34,0))&amp;"","")</f>
        <v/>
      </c>
      <c r="F7" s="16"/>
      <c r="G7" s="20" t="str">
        <f aca="false">IFERROR(INDEX(成員名單!$B$5:$B$34,MATCH(F7,成員名單!$A$5:$A$34,0))&amp;"","")</f>
        <v/>
      </c>
      <c r="H7" s="16"/>
      <c r="I7" s="20" t="str">
        <f aca="false">IFERROR(INDEX(成員名單!$B$5:$B$34,MATCH(H7,成員名單!$A$5:$A$34,0))&amp;"","")</f>
        <v/>
      </c>
      <c r="J7" s="16"/>
      <c r="K7" s="20" t="str">
        <f aca="false">IFERROR(INDEX(成員名單!$B$5:$B$34,MATCH(J7,成員名單!$A$5:$A$34,0))&amp;"","")</f>
        <v/>
      </c>
      <c r="L7" s="16"/>
      <c r="M7" s="20" t="str">
        <f aca="false">IFERROR(INDEX(成員名單!$B$5:$B$34,MATCH(L7,成員名單!$A$5:$A$34,0))&amp;"","")</f>
        <v/>
      </c>
      <c r="N7" s="16"/>
      <c r="O7" s="20" t="str">
        <f aca="false">IFERROR(INDEX(成員名單!$B$5:$B$34,MATCH(N7,成員名單!$A$5:$A$34,0))&amp;"","")</f>
        <v/>
      </c>
      <c r="P7" s="16"/>
      <c r="Q7" s="20" t="str">
        <f aca="false">IFERROR(INDEX(成員名單!$B$5:$B$34,MATCH(P7,成員名單!$A$5:$A$34,0))&amp;"","")</f>
        <v/>
      </c>
    </row>
    <row r="8" customFormat="false" ht="27.75" hidden="false" customHeight="true" outlineLevel="0" collapsed="false">
      <c r="B8" s="1" t="s">
        <v>82</v>
      </c>
      <c r="D8" s="20" t="n">
        <f aca="false">IF(D$47,D$48,0)</f>
        <v>0</v>
      </c>
      <c r="E8" s="1" t="s">
        <v>83</v>
      </c>
      <c r="F8" s="20" t="n">
        <f aca="false">IF(F$47,F$48,0)</f>
        <v>0</v>
      </c>
      <c r="G8" s="1" t="s">
        <v>83</v>
      </c>
      <c r="H8" s="20" t="n">
        <f aca="false">IF(H$47,H$48,0)</f>
        <v>0</v>
      </c>
      <c r="I8" s="1" t="s">
        <v>83</v>
      </c>
      <c r="J8" s="20" t="n">
        <f aca="false">IF(J$47,J$48,0)</f>
        <v>0</v>
      </c>
      <c r="K8" s="1" t="s">
        <v>83</v>
      </c>
      <c r="L8" s="20" t="n">
        <f aca="false">IF(L$47,L$48,0)</f>
        <v>0</v>
      </c>
      <c r="M8" s="1" t="s">
        <v>83</v>
      </c>
      <c r="N8" s="20" t="n">
        <f aca="false">IF(N$47,N$48,0)</f>
        <v>0</v>
      </c>
      <c r="O8" s="1" t="s">
        <v>83</v>
      </c>
      <c r="P8" s="20" t="n">
        <f aca="false">IF(P$47,P$48,0)</f>
        <v>0</v>
      </c>
      <c r="Q8" s="1" t="s">
        <v>83</v>
      </c>
    </row>
    <row r="9" customFormat="false" ht="27.75" hidden="false" customHeight="true" outlineLevel="0" collapsed="false">
      <c r="B9" s="1" t="s">
        <v>84</v>
      </c>
      <c r="D9" s="21" t="str">
        <f aca="false">IF(OR(NOT(D$47),D$48=0),"暫不分攤",TEXT(QUOTIENT(D$46,MAX(1,D$48))/10,"0.0")&amp;IF(MOD(D$46,MAX(1,D$48))&gt;0,"–"&amp;TEXT((QUOTIENT(D$46,MAX(1,D$48))+1)/10,"0.0"),"")&amp;" 元／人")</f>
        <v>暫不分攤</v>
      </c>
      <c r="E9" s="21"/>
      <c r="F9" s="21" t="str">
        <f aca="false">IF(OR(NOT(F$47),F$48=0),"暫不分攤",TEXT(QUOTIENT(F$46,MAX(1,F$48))/10,"0.0")&amp;IF(MOD(F$46,MAX(1,F$48))&gt;0,"–"&amp;TEXT((QUOTIENT(F$46,MAX(1,F$48))+1)/10,"0.0"),"")&amp;" 元／人")</f>
        <v>暫不分攤</v>
      </c>
      <c r="G9" s="21"/>
      <c r="H9" s="21" t="str">
        <f aca="false">IF(OR(NOT(H$47),H$48=0),"暫不分攤",TEXT(QUOTIENT(H$46,MAX(1,H$48))/10,"0.0")&amp;IF(MOD(H$46,MAX(1,H$48))&gt;0,"–"&amp;TEXT((QUOTIENT(H$46,MAX(1,H$48))+1)/10,"0.0"),"")&amp;" 元／人")</f>
        <v>暫不分攤</v>
      </c>
      <c r="I9" s="21"/>
      <c r="J9" s="21" t="str">
        <f aca="false">IF(OR(NOT(J$47),J$48=0),"暫不分攤",TEXT(QUOTIENT(J$46,MAX(1,J$48))/10,"0.0")&amp;IF(MOD(J$46,MAX(1,J$48))&gt;0,"–"&amp;TEXT((QUOTIENT(J$46,MAX(1,J$48))+1)/10,"0.0"),"")&amp;" 元／人")</f>
        <v>暫不分攤</v>
      </c>
      <c r="K9" s="21"/>
      <c r="L9" s="21" t="str">
        <f aca="false">IF(OR(NOT(L$47),L$48=0),"暫不分攤",TEXT(QUOTIENT(L$46,MAX(1,L$48))/10,"0.0")&amp;IF(MOD(L$46,MAX(1,L$48))&gt;0,"–"&amp;TEXT((QUOTIENT(L$46,MAX(1,L$48))+1)/10,"0.0"),"")&amp;" 元／人")</f>
        <v>暫不分攤</v>
      </c>
      <c r="M9" s="21"/>
      <c r="N9" s="21" t="str">
        <f aca="false">IF(OR(NOT(N$47),N$48=0),"暫不分攤",TEXT(QUOTIENT(N$46,MAX(1,N$48))/10,"0.0")&amp;IF(MOD(N$46,MAX(1,N$48))&gt;0,"–"&amp;TEXT((QUOTIENT(N$46,MAX(1,N$48))+1)/10,"0.0"),"")&amp;" 元／人")</f>
        <v>暫不分攤</v>
      </c>
      <c r="O9" s="21"/>
      <c r="P9" s="21" t="str">
        <f aca="false">IF(OR(NOT(P$47),P$48=0),"暫不分攤",TEXT(QUOTIENT(P$46,MAX(1,P$48))/10,"0.0")&amp;IF(MOD(P$46,MAX(1,P$48))&gt;0,"–"&amp;TEXT((QUOTIENT(P$46,MAX(1,P$48))+1)/10,"0.0"),"")&amp;" 元／人")</f>
        <v>暫不分攤</v>
      </c>
      <c r="Q9" s="21"/>
    </row>
    <row r="10" customFormat="false" ht="81.75" hidden="false" customHeight="true" outlineLevel="0" collapsed="false">
      <c r="B10" s="1" t="s">
        <v>53</v>
      </c>
      <c r="D10" s="22" t="str">
        <f aca="false">IF(NOT(D$47),"金額須為非負數且最多一位小數。 ","")&amp;IF(AND(D$46&gt;0,D$50,$C$3&lt;&gt;TRUE()),"未用車但有車資：保留金額，暫不分攤。 ","")&amp;IF(AND(D$46&gt;0,D$50,$C$3=TRUE(),$C$49=0),"請設定具名司機；車資暫不分攤。 ","")&amp;IF(AND(D$46&gt;0,D$48=0,NOT(AND(D$46&gt;0,D$50,$C$3&lt;&gt;TRUE())),NOT(AND(D$46&gt;0,D$50,$C$3=TRUE(),$C$49=0))),"沒有可分攤者。 ","")&amp;IF(AND(D$46&gt;0,LEN(TRIM(E7))=0),"請指定具名代墊者。","")</f>
        <v/>
      </c>
      <c r="E10" s="22"/>
      <c r="F10" s="22" t="str">
        <f aca="false">IF(NOT(F$47),"金額須為非負數且最多一位小數。 ","")&amp;IF(AND(F$46&gt;0,F$50,$C$3&lt;&gt;TRUE()),"未用車但有車資：保留金額，暫不分攤。 ","")&amp;IF(AND(F$46&gt;0,F$50,$C$3=TRUE(),$C$49=0),"請設定具名司機；車資暫不分攤。 ","")&amp;IF(AND(F$46&gt;0,F$48=0,NOT(AND(F$46&gt;0,F$50,$C$3&lt;&gt;TRUE())),NOT(AND(F$46&gt;0,F$50,$C$3=TRUE(),$C$49=0))),"沒有可分攤者。 ","")&amp;IF(AND(F$46&gt;0,LEN(TRIM(G7))=0),"請指定具名代墊者。","")</f>
        <v/>
      </c>
      <c r="G10" s="22"/>
      <c r="H10" s="22" t="str">
        <f aca="false">IF(NOT(H$47),"金額須為非負數且最多一位小數。 ","")&amp;IF(AND(H$46&gt;0,H$50,$C$3&lt;&gt;TRUE()),"未用車但有車資：保留金額，暫不分攤。 ","")&amp;IF(AND(H$46&gt;0,H$50,$C$3=TRUE(),$C$49=0),"請設定具名司機；車資暫不分攤。 ","")&amp;IF(AND(H$46&gt;0,H$48=0,NOT(AND(H$46&gt;0,H$50,$C$3&lt;&gt;TRUE())),NOT(AND(H$46&gt;0,H$50,$C$3=TRUE(),$C$49=0))),"沒有可分攤者。 ","")&amp;IF(AND(H$46&gt;0,LEN(TRIM(I7))=0),"請指定具名代墊者。","")</f>
        <v/>
      </c>
      <c r="I10" s="22"/>
      <c r="J10" s="22" t="str">
        <f aca="false">IF(NOT(J$47),"金額須為非負數且最多一位小數。 ","")&amp;IF(AND(J$46&gt;0,J$50,$C$3&lt;&gt;TRUE()),"未用車但有車資：保留金額，暫不分攤。 ","")&amp;IF(AND(J$46&gt;0,J$50,$C$3=TRUE(),$C$49=0),"請設定具名司機；車資暫不分攤。 ","")&amp;IF(AND(J$46&gt;0,J$48=0,NOT(AND(J$46&gt;0,J$50,$C$3&lt;&gt;TRUE())),NOT(AND(J$46&gt;0,J$50,$C$3=TRUE(),$C$49=0))),"沒有可分攤者。 ","")&amp;IF(AND(J$46&gt;0,LEN(TRIM(K7))=0),"請指定具名代墊者。","")</f>
        <v/>
      </c>
      <c r="K10" s="22"/>
      <c r="L10" s="22" t="str">
        <f aca="false">IF(NOT(L$47),"金額須為非負數且最多一位小數。 ","")&amp;IF(AND(L$46&gt;0,L$50,$C$3&lt;&gt;TRUE()),"未用車但有車資：保留金額，暫不分攤。 ","")&amp;IF(AND(L$46&gt;0,L$50,$C$3=TRUE(),$C$49=0),"請設定具名司機；車資暫不分攤。 ","")&amp;IF(AND(L$46&gt;0,L$48=0,NOT(AND(L$46&gt;0,L$50,$C$3&lt;&gt;TRUE())),NOT(AND(L$46&gt;0,L$50,$C$3=TRUE(),$C$49=0))),"沒有可分攤者。 ","")&amp;IF(AND(L$46&gt;0,LEN(TRIM(M7))=0),"請指定具名代墊者。","")</f>
        <v/>
      </c>
      <c r="M10" s="22"/>
      <c r="N10" s="22" t="str">
        <f aca="false">IF(NOT(N$47),"金額須為非負數且最多一位小數。 ","")&amp;IF(AND(N$46&gt;0,N$50,$C$3&lt;&gt;TRUE()),"未用車但有車資：保留金額，暫不分攤。 ","")&amp;IF(AND(N$46&gt;0,N$50,$C$3=TRUE(),$C$49=0),"請設定具名司機；車資暫不分攤。 ","")&amp;IF(AND(N$46&gt;0,N$48=0,NOT(AND(N$46&gt;0,N$50,$C$3&lt;&gt;TRUE())),NOT(AND(N$46&gt;0,N$50,$C$3=TRUE(),$C$49=0))),"沒有可分攤者。 ","")&amp;IF(AND(N$46&gt;0,LEN(TRIM(O7))=0),"請指定具名代墊者。","")</f>
        <v/>
      </c>
      <c r="O10" s="22"/>
      <c r="P10" s="22" t="str">
        <f aca="false">IF(NOT(P$47),"金額須為非負數且最多一位小數。 ","")&amp;IF(AND(P$46&gt;0,P$50,$C$3&lt;&gt;TRUE()),"未用車但有車資：保留金額，暫不分攤。 ","")&amp;IF(AND(P$46&gt;0,P$50,$C$3=TRUE(),$C$49=0),"請設定具名司機；車資暫不分攤。 ","")&amp;IF(AND(P$46&gt;0,P$48=0,NOT(AND(P$46&gt;0,P$50,$C$3&lt;&gt;TRUE())),NOT(AND(P$46&gt;0,P$50,$C$3=TRUE(),$C$49=0))),"沒有可分攤者。 ","")&amp;IF(AND(P$46&gt;0,LEN(TRIM(Q7))=0),"請指定具名代墊者。","")</f>
        <v/>
      </c>
      <c r="Q10" s="22"/>
    </row>
    <row r="11" customFormat="false" ht="30" hidden="false" customHeight="true" outlineLevel="0" collapsed="false">
      <c r="A11" s="3" t="s">
        <v>8</v>
      </c>
      <c r="B11" s="3" t="s">
        <v>9</v>
      </c>
      <c r="C11" s="3" t="s">
        <v>85</v>
      </c>
      <c r="D11" s="3" t="s">
        <v>86</v>
      </c>
      <c r="E11" s="3" t="s">
        <v>87</v>
      </c>
      <c r="F11" s="3" t="s">
        <v>86</v>
      </c>
      <c r="G11" s="3" t="s">
        <v>87</v>
      </c>
      <c r="H11" s="3" t="s">
        <v>86</v>
      </c>
      <c r="I11" s="3" t="s">
        <v>87</v>
      </c>
      <c r="J11" s="3" t="s">
        <v>86</v>
      </c>
      <c r="K11" s="3" t="s">
        <v>87</v>
      </c>
      <c r="L11" s="3" t="s">
        <v>86</v>
      </c>
      <c r="M11" s="3" t="s">
        <v>87</v>
      </c>
      <c r="N11" s="3" t="s">
        <v>86</v>
      </c>
      <c r="O11" s="3" t="s">
        <v>87</v>
      </c>
      <c r="P11" s="3" t="s">
        <v>86</v>
      </c>
      <c r="Q11" s="3" t="s">
        <v>87</v>
      </c>
    </row>
    <row r="12" customFormat="false" ht="27" hidden="false" customHeight="true" outlineLevel="0" collapsed="false">
      <c r="A12" s="8" t="s">
        <v>18</v>
      </c>
      <c r="B12" s="9" t="str">
        <f aca="false">IFERROR(INDEX(成員名單!$B$5:$B$34,MATCH($A12,成員名單!$A$5:$A$34,0))&amp;"","")</f>
        <v/>
      </c>
      <c r="C12" s="23" t="b">
        <f aca="false">FALSE()</f>
        <v>0</v>
      </c>
      <c r="D12" s="23" t="b">
        <f aca="false">FALSE()</f>
        <v>0</v>
      </c>
      <c r="E12" s="9" t="n">
        <f aca="false">D52/10</f>
        <v>0</v>
      </c>
      <c r="F12" s="23" t="b">
        <f aca="false">FALSE()</f>
        <v>0</v>
      </c>
      <c r="G12" s="9" t="n">
        <f aca="false">F52/10</f>
        <v>0</v>
      </c>
      <c r="H12" s="23" t="b">
        <f aca="false">FALSE()</f>
        <v>0</v>
      </c>
      <c r="I12" s="9" t="n">
        <f aca="false">H52/10</f>
        <v>0</v>
      </c>
      <c r="J12" s="23" t="b">
        <f aca="false">FALSE()</f>
        <v>0</v>
      </c>
      <c r="K12" s="9" t="n">
        <f aca="false">J52/10</f>
        <v>0</v>
      </c>
      <c r="L12" s="23" t="b">
        <f aca="false">FALSE()</f>
        <v>0</v>
      </c>
      <c r="M12" s="9" t="n">
        <f aca="false">L52/10</f>
        <v>0</v>
      </c>
      <c r="N12" s="23" t="b">
        <f aca="false">FALSE()</f>
        <v>0</v>
      </c>
      <c r="O12" s="9" t="n">
        <f aca="false">N52/10</f>
        <v>0</v>
      </c>
      <c r="P12" s="23" t="b">
        <f aca="false">FALSE()</f>
        <v>0</v>
      </c>
      <c r="Q12" s="9" t="n">
        <f aca="false">P52/10</f>
        <v>0</v>
      </c>
    </row>
    <row r="13" customFormat="false" ht="27" hidden="false" customHeight="true" outlineLevel="0" collapsed="false">
      <c r="A13" s="10" t="s">
        <v>19</v>
      </c>
      <c r="B13" s="11" t="str">
        <f aca="false">IFERROR(INDEX(成員名單!$B$5:$B$34,MATCH($A13,成員名單!$A$5:$A$34,0))&amp;"","")</f>
        <v/>
      </c>
      <c r="C13" s="23" t="b">
        <f aca="false">FALSE()</f>
        <v>0</v>
      </c>
      <c r="D13" s="23" t="b">
        <f aca="false">FALSE()</f>
        <v>0</v>
      </c>
      <c r="E13" s="11" t="n">
        <f aca="false">D53/10</f>
        <v>0</v>
      </c>
      <c r="F13" s="23" t="b">
        <f aca="false">FALSE()</f>
        <v>0</v>
      </c>
      <c r="G13" s="11" t="n">
        <f aca="false">F53/10</f>
        <v>0</v>
      </c>
      <c r="H13" s="23" t="b">
        <f aca="false">FALSE()</f>
        <v>0</v>
      </c>
      <c r="I13" s="11" t="n">
        <f aca="false">H53/10</f>
        <v>0</v>
      </c>
      <c r="J13" s="23" t="b">
        <f aca="false">FALSE()</f>
        <v>0</v>
      </c>
      <c r="K13" s="11" t="n">
        <f aca="false">J53/10</f>
        <v>0</v>
      </c>
      <c r="L13" s="23" t="b">
        <f aca="false">FALSE()</f>
        <v>0</v>
      </c>
      <c r="M13" s="11" t="n">
        <f aca="false">L53/10</f>
        <v>0</v>
      </c>
      <c r="N13" s="23" t="b">
        <f aca="false">FALSE()</f>
        <v>0</v>
      </c>
      <c r="O13" s="11" t="n">
        <f aca="false">N53/10</f>
        <v>0</v>
      </c>
      <c r="P13" s="23" t="b">
        <f aca="false">FALSE()</f>
        <v>0</v>
      </c>
      <c r="Q13" s="11" t="n">
        <f aca="false">P53/10</f>
        <v>0</v>
      </c>
    </row>
    <row r="14" customFormat="false" ht="27" hidden="false" customHeight="true" outlineLevel="0" collapsed="false">
      <c r="A14" s="8" t="s">
        <v>20</v>
      </c>
      <c r="B14" s="9" t="str">
        <f aca="false">IFERROR(INDEX(成員名單!$B$5:$B$34,MATCH($A14,成員名單!$A$5:$A$34,0))&amp;"","")</f>
        <v/>
      </c>
      <c r="C14" s="23" t="b">
        <f aca="false">FALSE()</f>
        <v>0</v>
      </c>
      <c r="D14" s="23" t="b">
        <f aca="false">FALSE()</f>
        <v>0</v>
      </c>
      <c r="E14" s="9" t="n">
        <f aca="false">D54/10</f>
        <v>0</v>
      </c>
      <c r="F14" s="23" t="b">
        <f aca="false">FALSE()</f>
        <v>0</v>
      </c>
      <c r="G14" s="9" t="n">
        <f aca="false">F54/10</f>
        <v>0</v>
      </c>
      <c r="H14" s="23" t="b">
        <f aca="false">FALSE()</f>
        <v>0</v>
      </c>
      <c r="I14" s="9" t="n">
        <f aca="false">H54/10</f>
        <v>0</v>
      </c>
      <c r="J14" s="23" t="b">
        <f aca="false">FALSE()</f>
        <v>0</v>
      </c>
      <c r="K14" s="9" t="n">
        <f aca="false">J54/10</f>
        <v>0</v>
      </c>
      <c r="L14" s="23" t="b">
        <f aca="false">FALSE()</f>
        <v>0</v>
      </c>
      <c r="M14" s="9" t="n">
        <f aca="false">L54/10</f>
        <v>0</v>
      </c>
      <c r="N14" s="23" t="b">
        <f aca="false">FALSE()</f>
        <v>0</v>
      </c>
      <c r="O14" s="9" t="n">
        <f aca="false">N54/10</f>
        <v>0</v>
      </c>
      <c r="P14" s="23" t="b">
        <f aca="false">FALSE()</f>
        <v>0</v>
      </c>
      <c r="Q14" s="9" t="n">
        <f aca="false">P54/10</f>
        <v>0</v>
      </c>
    </row>
    <row r="15" customFormat="false" ht="27" hidden="false" customHeight="true" outlineLevel="0" collapsed="false">
      <c r="A15" s="10" t="s">
        <v>21</v>
      </c>
      <c r="B15" s="11" t="str">
        <f aca="false">IFERROR(INDEX(成員名單!$B$5:$B$34,MATCH($A15,成員名單!$A$5:$A$34,0))&amp;"","")</f>
        <v/>
      </c>
      <c r="C15" s="23" t="b">
        <f aca="false">FALSE()</f>
        <v>0</v>
      </c>
      <c r="D15" s="23" t="b">
        <f aca="false">FALSE()</f>
        <v>0</v>
      </c>
      <c r="E15" s="11" t="n">
        <f aca="false">D55/10</f>
        <v>0</v>
      </c>
      <c r="F15" s="23" t="b">
        <f aca="false">FALSE()</f>
        <v>0</v>
      </c>
      <c r="G15" s="11" t="n">
        <f aca="false">F55/10</f>
        <v>0</v>
      </c>
      <c r="H15" s="23" t="b">
        <f aca="false">FALSE()</f>
        <v>0</v>
      </c>
      <c r="I15" s="11" t="n">
        <f aca="false">H55/10</f>
        <v>0</v>
      </c>
      <c r="J15" s="23" t="b">
        <f aca="false">FALSE()</f>
        <v>0</v>
      </c>
      <c r="K15" s="11" t="n">
        <f aca="false">J55/10</f>
        <v>0</v>
      </c>
      <c r="L15" s="23" t="b">
        <f aca="false">FALSE()</f>
        <v>0</v>
      </c>
      <c r="M15" s="11" t="n">
        <f aca="false">L55/10</f>
        <v>0</v>
      </c>
      <c r="N15" s="23" t="b">
        <f aca="false">FALSE()</f>
        <v>0</v>
      </c>
      <c r="O15" s="11" t="n">
        <f aca="false">N55/10</f>
        <v>0</v>
      </c>
      <c r="P15" s="23" t="b">
        <f aca="false">FALSE()</f>
        <v>0</v>
      </c>
      <c r="Q15" s="11" t="n">
        <f aca="false">P55/10</f>
        <v>0</v>
      </c>
    </row>
    <row r="16" customFormat="false" ht="27" hidden="false" customHeight="true" outlineLevel="0" collapsed="false">
      <c r="A16" s="8" t="s">
        <v>22</v>
      </c>
      <c r="B16" s="9" t="str">
        <f aca="false">IFERROR(INDEX(成員名單!$B$5:$B$34,MATCH($A16,成員名單!$A$5:$A$34,0))&amp;"","")</f>
        <v/>
      </c>
      <c r="C16" s="23" t="b">
        <f aca="false">FALSE()</f>
        <v>0</v>
      </c>
      <c r="D16" s="23" t="b">
        <f aca="false">FALSE()</f>
        <v>0</v>
      </c>
      <c r="E16" s="9" t="n">
        <f aca="false">D56/10</f>
        <v>0</v>
      </c>
      <c r="F16" s="23" t="b">
        <f aca="false">FALSE()</f>
        <v>0</v>
      </c>
      <c r="G16" s="9" t="n">
        <f aca="false">F56/10</f>
        <v>0</v>
      </c>
      <c r="H16" s="23" t="b">
        <f aca="false">FALSE()</f>
        <v>0</v>
      </c>
      <c r="I16" s="9" t="n">
        <f aca="false">H56/10</f>
        <v>0</v>
      </c>
      <c r="J16" s="23" t="b">
        <f aca="false">FALSE()</f>
        <v>0</v>
      </c>
      <c r="K16" s="9" t="n">
        <f aca="false">J56/10</f>
        <v>0</v>
      </c>
      <c r="L16" s="23" t="b">
        <f aca="false">FALSE()</f>
        <v>0</v>
      </c>
      <c r="M16" s="9" t="n">
        <f aca="false">L56/10</f>
        <v>0</v>
      </c>
      <c r="N16" s="23" t="b">
        <f aca="false">FALSE()</f>
        <v>0</v>
      </c>
      <c r="O16" s="9" t="n">
        <f aca="false">N56/10</f>
        <v>0</v>
      </c>
      <c r="P16" s="23" t="b">
        <f aca="false">FALSE()</f>
        <v>0</v>
      </c>
      <c r="Q16" s="9" t="n">
        <f aca="false">P56/10</f>
        <v>0</v>
      </c>
    </row>
    <row r="17" customFormat="false" ht="27" hidden="false" customHeight="true" outlineLevel="0" collapsed="false">
      <c r="A17" s="10" t="s">
        <v>23</v>
      </c>
      <c r="B17" s="11" t="str">
        <f aca="false">IFERROR(INDEX(成員名單!$B$5:$B$34,MATCH($A17,成員名單!$A$5:$A$34,0))&amp;"","")</f>
        <v/>
      </c>
      <c r="C17" s="23" t="b">
        <f aca="false">FALSE()</f>
        <v>0</v>
      </c>
      <c r="D17" s="23" t="b">
        <f aca="false">FALSE()</f>
        <v>0</v>
      </c>
      <c r="E17" s="11" t="n">
        <f aca="false">D57/10</f>
        <v>0</v>
      </c>
      <c r="F17" s="23" t="b">
        <f aca="false">FALSE()</f>
        <v>0</v>
      </c>
      <c r="G17" s="11" t="n">
        <f aca="false">F57/10</f>
        <v>0</v>
      </c>
      <c r="H17" s="23" t="b">
        <f aca="false">FALSE()</f>
        <v>0</v>
      </c>
      <c r="I17" s="11" t="n">
        <f aca="false">H57/10</f>
        <v>0</v>
      </c>
      <c r="J17" s="23" t="b">
        <f aca="false">FALSE()</f>
        <v>0</v>
      </c>
      <c r="K17" s="11" t="n">
        <f aca="false">J57/10</f>
        <v>0</v>
      </c>
      <c r="L17" s="23" t="b">
        <f aca="false">FALSE()</f>
        <v>0</v>
      </c>
      <c r="M17" s="11" t="n">
        <f aca="false">L57/10</f>
        <v>0</v>
      </c>
      <c r="N17" s="23" t="b">
        <f aca="false">FALSE()</f>
        <v>0</v>
      </c>
      <c r="O17" s="11" t="n">
        <f aca="false">N57/10</f>
        <v>0</v>
      </c>
      <c r="P17" s="23" t="b">
        <f aca="false">FALSE()</f>
        <v>0</v>
      </c>
      <c r="Q17" s="11" t="n">
        <f aca="false">P57/10</f>
        <v>0</v>
      </c>
    </row>
    <row r="18" customFormat="false" ht="27" hidden="false" customHeight="true" outlineLevel="0" collapsed="false">
      <c r="A18" s="8" t="s">
        <v>24</v>
      </c>
      <c r="B18" s="9" t="str">
        <f aca="false">IFERROR(INDEX(成員名單!$B$5:$B$34,MATCH($A18,成員名單!$A$5:$A$34,0))&amp;"","")</f>
        <v/>
      </c>
      <c r="C18" s="23" t="b">
        <f aca="false">FALSE()</f>
        <v>0</v>
      </c>
      <c r="D18" s="23" t="b">
        <f aca="false">FALSE()</f>
        <v>0</v>
      </c>
      <c r="E18" s="9" t="n">
        <f aca="false">D58/10</f>
        <v>0</v>
      </c>
      <c r="F18" s="23" t="b">
        <f aca="false">FALSE()</f>
        <v>0</v>
      </c>
      <c r="G18" s="9" t="n">
        <f aca="false">F58/10</f>
        <v>0</v>
      </c>
      <c r="H18" s="23" t="b">
        <f aca="false">FALSE()</f>
        <v>0</v>
      </c>
      <c r="I18" s="9" t="n">
        <f aca="false">H58/10</f>
        <v>0</v>
      </c>
      <c r="J18" s="23" t="b">
        <f aca="false">FALSE()</f>
        <v>0</v>
      </c>
      <c r="K18" s="9" t="n">
        <f aca="false">J58/10</f>
        <v>0</v>
      </c>
      <c r="L18" s="23" t="b">
        <f aca="false">FALSE()</f>
        <v>0</v>
      </c>
      <c r="M18" s="9" t="n">
        <f aca="false">L58/10</f>
        <v>0</v>
      </c>
      <c r="N18" s="23" t="b">
        <f aca="false">FALSE()</f>
        <v>0</v>
      </c>
      <c r="O18" s="9" t="n">
        <f aca="false">N58/10</f>
        <v>0</v>
      </c>
      <c r="P18" s="23" t="b">
        <f aca="false">FALSE()</f>
        <v>0</v>
      </c>
      <c r="Q18" s="9" t="n">
        <f aca="false">P58/10</f>
        <v>0</v>
      </c>
    </row>
    <row r="19" customFormat="false" ht="27" hidden="false" customHeight="true" outlineLevel="0" collapsed="false">
      <c r="A19" s="10" t="s">
        <v>25</v>
      </c>
      <c r="B19" s="11" t="str">
        <f aca="false">IFERROR(INDEX(成員名單!$B$5:$B$34,MATCH($A19,成員名單!$A$5:$A$34,0))&amp;"","")</f>
        <v/>
      </c>
      <c r="C19" s="23" t="b">
        <f aca="false">FALSE()</f>
        <v>0</v>
      </c>
      <c r="D19" s="23" t="b">
        <f aca="false">FALSE()</f>
        <v>0</v>
      </c>
      <c r="E19" s="11" t="n">
        <f aca="false">D59/10</f>
        <v>0</v>
      </c>
      <c r="F19" s="23" t="b">
        <f aca="false">FALSE()</f>
        <v>0</v>
      </c>
      <c r="G19" s="11" t="n">
        <f aca="false">F59/10</f>
        <v>0</v>
      </c>
      <c r="H19" s="23" t="b">
        <f aca="false">FALSE()</f>
        <v>0</v>
      </c>
      <c r="I19" s="11" t="n">
        <f aca="false">H59/10</f>
        <v>0</v>
      </c>
      <c r="J19" s="23" t="b">
        <f aca="false">FALSE()</f>
        <v>0</v>
      </c>
      <c r="K19" s="11" t="n">
        <f aca="false">J59/10</f>
        <v>0</v>
      </c>
      <c r="L19" s="23" t="b">
        <f aca="false">FALSE()</f>
        <v>0</v>
      </c>
      <c r="M19" s="11" t="n">
        <f aca="false">L59/10</f>
        <v>0</v>
      </c>
      <c r="N19" s="23" t="b">
        <f aca="false">FALSE()</f>
        <v>0</v>
      </c>
      <c r="O19" s="11" t="n">
        <f aca="false">N59/10</f>
        <v>0</v>
      </c>
      <c r="P19" s="23" t="b">
        <f aca="false">FALSE()</f>
        <v>0</v>
      </c>
      <c r="Q19" s="11" t="n">
        <f aca="false">P59/10</f>
        <v>0</v>
      </c>
    </row>
    <row r="20" customFormat="false" ht="27" hidden="false" customHeight="true" outlineLevel="0" collapsed="false">
      <c r="A20" s="8" t="s">
        <v>26</v>
      </c>
      <c r="B20" s="9" t="str">
        <f aca="false">IFERROR(INDEX(成員名單!$B$5:$B$34,MATCH($A20,成員名單!$A$5:$A$34,0))&amp;"","")</f>
        <v/>
      </c>
      <c r="C20" s="23" t="b">
        <f aca="false">FALSE()</f>
        <v>0</v>
      </c>
      <c r="D20" s="23" t="b">
        <f aca="false">FALSE()</f>
        <v>0</v>
      </c>
      <c r="E20" s="9" t="n">
        <f aca="false">D60/10</f>
        <v>0</v>
      </c>
      <c r="F20" s="23" t="b">
        <f aca="false">FALSE()</f>
        <v>0</v>
      </c>
      <c r="G20" s="9" t="n">
        <f aca="false">F60/10</f>
        <v>0</v>
      </c>
      <c r="H20" s="23" t="b">
        <f aca="false">FALSE()</f>
        <v>0</v>
      </c>
      <c r="I20" s="9" t="n">
        <f aca="false">H60/10</f>
        <v>0</v>
      </c>
      <c r="J20" s="23" t="b">
        <f aca="false">FALSE()</f>
        <v>0</v>
      </c>
      <c r="K20" s="9" t="n">
        <f aca="false">J60/10</f>
        <v>0</v>
      </c>
      <c r="L20" s="23" t="b">
        <f aca="false">FALSE()</f>
        <v>0</v>
      </c>
      <c r="M20" s="9" t="n">
        <f aca="false">L60/10</f>
        <v>0</v>
      </c>
      <c r="N20" s="23" t="b">
        <f aca="false">FALSE()</f>
        <v>0</v>
      </c>
      <c r="O20" s="9" t="n">
        <f aca="false">N60/10</f>
        <v>0</v>
      </c>
      <c r="P20" s="23" t="b">
        <f aca="false">FALSE()</f>
        <v>0</v>
      </c>
      <c r="Q20" s="9" t="n">
        <f aca="false">P60/10</f>
        <v>0</v>
      </c>
    </row>
    <row r="21" customFormat="false" ht="27" hidden="false" customHeight="true" outlineLevel="0" collapsed="false">
      <c r="A21" s="10" t="s">
        <v>27</v>
      </c>
      <c r="B21" s="11" t="str">
        <f aca="false">IFERROR(INDEX(成員名單!$B$5:$B$34,MATCH($A21,成員名單!$A$5:$A$34,0))&amp;"","")</f>
        <v/>
      </c>
      <c r="C21" s="23" t="b">
        <f aca="false">FALSE()</f>
        <v>0</v>
      </c>
      <c r="D21" s="23" t="b">
        <f aca="false">FALSE()</f>
        <v>0</v>
      </c>
      <c r="E21" s="11" t="n">
        <f aca="false">D61/10</f>
        <v>0</v>
      </c>
      <c r="F21" s="23" t="b">
        <f aca="false">FALSE()</f>
        <v>0</v>
      </c>
      <c r="G21" s="11" t="n">
        <f aca="false">F61/10</f>
        <v>0</v>
      </c>
      <c r="H21" s="23" t="b">
        <f aca="false">FALSE()</f>
        <v>0</v>
      </c>
      <c r="I21" s="11" t="n">
        <f aca="false">H61/10</f>
        <v>0</v>
      </c>
      <c r="J21" s="23" t="b">
        <f aca="false">FALSE()</f>
        <v>0</v>
      </c>
      <c r="K21" s="11" t="n">
        <f aca="false">J61/10</f>
        <v>0</v>
      </c>
      <c r="L21" s="23" t="b">
        <f aca="false">FALSE()</f>
        <v>0</v>
      </c>
      <c r="M21" s="11" t="n">
        <f aca="false">L61/10</f>
        <v>0</v>
      </c>
      <c r="N21" s="23" t="b">
        <f aca="false">FALSE()</f>
        <v>0</v>
      </c>
      <c r="O21" s="11" t="n">
        <f aca="false">N61/10</f>
        <v>0</v>
      </c>
      <c r="P21" s="23" t="b">
        <f aca="false">FALSE()</f>
        <v>0</v>
      </c>
      <c r="Q21" s="11" t="n">
        <f aca="false">P61/10</f>
        <v>0</v>
      </c>
    </row>
    <row r="22" customFormat="false" ht="27" hidden="false" customHeight="true" outlineLevel="0" collapsed="false">
      <c r="A22" s="8" t="s">
        <v>28</v>
      </c>
      <c r="B22" s="9" t="str">
        <f aca="false">IFERROR(INDEX(成員名單!$B$5:$B$34,MATCH($A22,成員名單!$A$5:$A$34,0))&amp;"","")</f>
        <v/>
      </c>
      <c r="C22" s="23" t="b">
        <f aca="false">FALSE()</f>
        <v>0</v>
      </c>
      <c r="D22" s="23" t="b">
        <f aca="false">FALSE()</f>
        <v>0</v>
      </c>
      <c r="E22" s="9" t="n">
        <f aca="false">D62/10</f>
        <v>0</v>
      </c>
      <c r="F22" s="23" t="b">
        <f aca="false">FALSE()</f>
        <v>0</v>
      </c>
      <c r="G22" s="9" t="n">
        <f aca="false">F62/10</f>
        <v>0</v>
      </c>
      <c r="H22" s="23" t="b">
        <f aca="false">FALSE()</f>
        <v>0</v>
      </c>
      <c r="I22" s="9" t="n">
        <f aca="false">H62/10</f>
        <v>0</v>
      </c>
      <c r="J22" s="23" t="b">
        <f aca="false">FALSE()</f>
        <v>0</v>
      </c>
      <c r="K22" s="9" t="n">
        <f aca="false">J62/10</f>
        <v>0</v>
      </c>
      <c r="L22" s="23" t="b">
        <f aca="false">FALSE()</f>
        <v>0</v>
      </c>
      <c r="M22" s="9" t="n">
        <f aca="false">L62/10</f>
        <v>0</v>
      </c>
      <c r="N22" s="23" t="b">
        <f aca="false">FALSE()</f>
        <v>0</v>
      </c>
      <c r="O22" s="9" t="n">
        <f aca="false">N62/10</f>
        <v>0</v>
      </c>
      <c r="P22" s="23" t="b">
        <f aca="false">FALSE()</f>
        <v>0</v>
      </c>
      <c r="Q22" s="9" t="n">
        <f aca="false">P62/10</f>
        <v>0</v>
      </c>
    </row>
    <row r="23" customFormat="false" ht="27" hidden="false" customHeight="true" outlineLevel="0" collapsed="false">
      <c r="A23" s="10" t="s">
        <v>29</v>
      </c>
      <c r="B23" s="11" t="str">
        <f aca="false">IFERROR(INDEX(成員名單!$B$5:$B$34,MATCH($A23,成員名單!$A$5:$A$34,0))&amp;"","")</f>
        <v/>
      </c>
      <c r="C23" s="23" t="b">
        <f aca="false">FALSE()</f>
        <v>0</v>
      </c>
      <c r="D23" s="23" t="b">
        <f aca="false">FALSE()</f>
        <v>0</v>
      </c>
      <c r="E23" s="11" t="n">
        <f aca="false">D63/10</f>
        <v>0</v>
      </c>
      <c r="F23" s="23" t="b">
        <f aca="false">FALSE()</f>
        <v>0</v>
      </c>
      <c r="G23" s="11" t="n">
        <f aca="false">F63/10</f>
        <v>0</v>
      </c>
      <c r="H23" s="23" t="b">
        <f aca="false">FALSE()</f>
        <v>0</v>
      </c>
      <c r="I23" s="11" t="n">
        <f aca="false">H63/10</f>
        <v>0</v>
      </c>
      <c r="J23" s="23" t="b">
        <f aca="false">FALSE()</f>
        <v>0</v>
      </c>
      <c r="K23" s="11" t="n">
        <f aca="false">J63/10</f>
        <v>0</v>
      </c>
      <c r="L23" s="23" t="b">
        <f aca="false">FALSE()</f>
        <v>0</v>
      </c>
      <c r="M23" s="11" t="n">
        <f aca="false">L63/10</f>
        <v>0</v>
      </c>
      <c r="N23" s="23" t="b">
        <f aca="false">FALSE()</f>
        <v>0</v>
      </c>
      <c r="O23" s="11" t="n">
        <f aca="false">N63/10</f>
        <v>0</v>
      </c>
      <c r="P23" s="23" t="b">
        <f aca="false">FALSE()</f>
        <v>0</v>
      </c>
      <c r="Q23" s="11" t="n">
        <f aca="false">P63/10</f>
        <v>0</v>
      </c>
    </row>
    <row r="24" customFormat="false" ht="27" hidden="false" customHeight="true" outlineLevel="0" collapsed="false">
      <c r="A24" s="8" t="s">
        <v>30</v>
      </c>
      <c r="B24" s="9" t="str">
        <f aca="false">IFERROR(INDEX(成員名單!$B$5:$B$34,MATCH($A24,成員名單!$A$5:$A$34,0))&amp;"","")</f>
        <v/>
      </c>
      <c r="C24" s="23" t="b">
        <f aca="false">FALSE()</f>
        <v>0</v>
      </c>
      <c r="D24" s="23" t="b">
        <f aca="false">FALSE()</f>
        <v>0</v>
      </c>
      <c r="E24" s="9" t="n">
        <f aca="false">D64/10</f>
        <v>0</v>
      </c>
      <c r="F24" s="23" t="b">
        <f aca="false">FALSE()</f>
        <v>0</v>
      </c>
      <c r="G24" s="9" t="n">
        <f aca="false">F64/10</f>
        <v>0</v>
      </c>
      <c r="H24" s="23" t="b">
        <f aca="false">FALSE()</f>
        <v>0</v>
      </c>
      <c r="I24" s="9" t="n">
        <f aca="false">H64/10</f>
        <v>0</v>
      </c>
      <c r="J24" s="23" t="b">
        <f aca="false">FALSE()</f>
        <v>0</v>
      </c>
      <c r="K24" s="9" t="n">
        <f aca="false">J64/10</f>
        <v>0</v>
      </c>
      <c r="L24" s="23" t="b">
        <f aca="false">FALSE()</f>
        <v>0</v>
      </c>
      <c r="M24" s="9" t="n">
        <f aca="false">L64/10</f>
        <v>0</v>
      </c>
      <c r="N24" s="23" t="b">
        <f aca="false">FALSE()</f>
        <v>0</v>
      </c>
      <c r="O24" s="9" t="n">
        <f aca="false">N64/10</f>
        <v>0</v>
      </c>
      <c r="P24" s="23" t="b">
        <f aca="false">FALSE()</f>
        <v>0</v>
      </c>
      <c r="Q24" s="9" t="n">
        <f aca="false">P64/10</f>
        <v>0</v>
      </c>
    </row>
    <row r="25" customFormat="false" ht="27" hidden="false" customHeight="true" outlineLevel="0" collapsed="false">
      <c r="A25" s="10" t="s">
        <v>31</v>
      </c>
      <c r="B25" s="11" t="str">
        <f aca="false">IFERROR(INDEX(成員名單!$B$5:$B$34,MATCH($A25,成員名單!$A$5:$A$34,0))&amp;"","")</f>
        <v/>
      </c>
      <c r="C25" s="23" t="b">
        <f aca="false">FALSE()</f>
        <v>0</v>
      </c>
      <c r="D25" s="23" t="b">
        <f aca="false">FALSE()</f>
        <v>0</v>
      </c>
      <c r="E25" s="11" t="n">
        <f aca="false">D65/10</f>
        <v>0</v>
      </c>
      <c r="F25" s="23" t="b">
        <f aca="false">FALSE()</f>
        <v>0</v>
      </c>
      <c r="G25" s="11" t="n">
        <f aca="false">F65/10</f>
        <v>0</v>
      </c>
      <c r="H25" s="23" t="b">
        <f aca="false">FALSE()</f>
        <v>0</v>
      </c>
      <c r="I25" s="11" t="n">
        <f aca="false">H65/10</f>
        <v>0</v>
      </c>
      <c r="J25" s="23" t="b">
        <f aca="false">FALSE()</f>
        <v>0</v>
      </c>
      <c r="K25" s="11" t="n">
        <f aca="false">J65/10</f>
        <v>0</v>
      </c>
      <c r="L25" s="23" t="b">
        <f aca="false">FALSE()</f>
        <v>0</v>
      </c>
      <c r="M25" s="11" t="n">
        <f aca="false">L65/10</f>
        <v>0</v>
      </c>
      <c r="N25" s="23" t="b">
        <f aca="false">FALSE()</f>
        <v>0</v>
      </c>
      <c r="O25" s="11" t="n">
        <f aca="false">N65/10</f>
        <v>0</v>
      </c>
      <c r="P25" s="23" t="b">
        <f aca="false">FALSE()</f>
        <v>0</v>
      </c>
      <c r="Q25" s="11" t="n">
        <f aca="false">P65/10</f>
        <v>0</v>
      </c>
    </row>
    <row r="26" customFormat="false" ht="27" hidden="false" customHeight="true" outlineLevel="0" collapsed="false">
      <c r="A26" s="8" t="s">
        <v>32</v>
      </c>
      <c r="B26" s="9" t="str">
        <f aca="false">IFERROR(INDEX(成員名單!$B$5:$B$34,MATCH($A26,成員名單!$A$5:$A$34,0))&amp;"","")</f>
        <v/>
      </c>
      <c r="C26" s="23" t="b">
        <f aca="false">FALSE()</f>
        <v>0</v>
      </c>
      <c r="D26" s="23" t="b">
        <f aca="false">FALSE()</f>
        <v>0</v>
      </c>
      <c r="E26" s="9" t="n">
        <f aca="false">D66/10</f>
        <v>0</v>
      </c>
      <c r="F26" s="23" t="b">
        <f aca="false">FALSE()</f>
        <v>0</v>
      </c>
      <c r="G26" s="9" t="n">
        <f aca="false">F66/10</f>
        <v>0</v>
      </c>
      <c r="H26" s="23" t="b">
        <f aca="false">FALSE()</f>
        <v>0</v>
      </c>
      <c r="I26" s="9" t="n">
        <f aca="false">H66/10</f>
        <v>0</v>
      </c>
      <c r="J26" s="23" t="b">
        <f aca="false">FALSE()</f>
        <v>0</v>
      </c>
      <c r="K26" s="9" t="n">
        <f aca="false">J66/10</f>
        <v>0</v>
      </c>
      <c r="L26" s="23" t="b">
        <f aca="false">FALSE()</f>
        <v>0</v>
      </c>
      <c r="M26" s="9" t="n">
        <f aca="false">L66/10</f>
        <v>0</v>
      </c>
      <c r="N26" s="23" t="b">
        <f aca="false">FALSE()</f>
        <v>0</v>
      </c>
      <c r="O26" s="9" t="n">
        <f aca="false">N66/10</f>
        <v>0</v>
      </c>
      <c r="P26" s="23" t="b">
        <f aca="false">FALSE()</f>
        <v>0</v>
      </c>
      <c r="Q26" s="9" t="n">
        <f aca="false">P66/10</f>
        <v>0</v>
      </c>
    </row>
    <row r="27" customFormat="false" ht="27" hidden="false" customHeight="true" outlineLevel="0" collapsed="false">
      <c r="A27" s="10" t="s">
        <v>33</v>
      </c>
      <c r="B27" s="11" t="str">
        <f aca="false">IFERROR(INDEX(成員名單!$B$5:$B$34,MATCH($A27,成員名單!$A$5:$A$34,0))&amp;"","")</f>
        <v/>
      </c>
      <c r="C27" s="23" t="b">
        <f aca="false">FALSE()</f>
        <v>0</v>
      </c>
      <c r="D27" s="23" t="b">
        <f aca="false">FALSE()</f>
        <v>0</v>
      </c>
      <c r="E27" s="11" t="n">
        <f aca="false">D67/10</f>
        <v>0</v>
      </c>
      <c r="F27" s="23" t="b">
        <f aca="false">FALSE()</f>
        <v>0</v>
      </c>
      <c r="G27" s="11" t="n">
        <f aca="false">F67/10</f>
        <v>0</v>
      </c>
      <c r="H27" s="23" t="b">
        <f aca="false">FALSE()</f>
        <v>0</v>
      </c>
      <c r="I27" s="11" t="n">
        <f aca="false">H67/10</f>
        <v>0</v>
      </c>
      <c r="J27" s="23" t="b">
        <f aca="false">FALSE()</f>
        <v>0</v>
      </c>
      <c r="K27" s="11" t="n">
        <f aca="false">J67/10</f>
        <v>0</v>
      </c>
      <c r="L27" s="23" t="b">
        <f aca="false">FALSE()</f>
        <v>0</v>
      </c>
      <c r="M27" s="11" t="n">
        <f aca="false">L67/10</f>
        <v>0</v>
      </c>
      <c r="N27" s="23" t="b">
        <f aca="false">FALSE()</f>
        <v>0</v>
      </c>
      <c r="O27" s="11" t="n">
        <f aca="false">N67/10</f>
        <v>0</v>
      </c>
      <c r="P27" s="23" t="b">
        <f aca="false">FALSE()</f>
        <v>0</v>
      </c>
      <c r="Q27" s="11" t="n">
        <f aca="false">P67/10</f>
        <v>0</v>
      </c>
    </row>
    <row r="28" customFormat="false" ht="27" hidden="false" customHeight="true" outlineLevel="0" collapsed="false">
      <c r="A28" s="8" t="s">
        <v>34</v>
      </c>
      <c r="B28" s="9" t="str">
        <f aca="false">IFERROR(INDEX(成員名單!$B$5:$B$34,MATCH($A28,成員名單!$A$5:$A$34,0))&amp;"","")</f>
        <v/>
      </c>
      <c r="C28" s="23" t="b">
        <f aca="false">FALSE()</f>
        <v>0</v>
      </c>
      <c r="D28" s="23" t="b">
        <f aca="false">FALSE()</f>
        <v>0</v>
      </c>
      <c r="E28" s="9" t="n">
        <f aca="false">D68/10</f>
        <v>0</v>
      </c>
      <c r="F28" s="23" t="b">
        <f aca="false">FALSE()</f>
        <v>0</v>
      </c>
      <c r="G28" s="9" t="n">
        <f aca="false">F68/10</f>
        <v>0</v>
      </c>
      <c r="H28" s="23" t="b">
        <f aca="false">FALSE()</f>
        <v>0</v>
      </c>
      <c r="I28" s="9" t="n">
        <f aca="false">H68/10</f>
        <v>0</v>
      </c>
      <c r="J28" s="23" t="b">
        <f aca="false">FALSE()</f>
        <v>0</v>
      </c>
      <c r="K28" s="9" t="n">
        <f aca="false">J68/10</f>
        <v>0</v>
      </c>
      <c r="L28" s="23" t="b">
        <f aca="false">FALSE()</f>
        <v>0</v>
      </c>
      <c r="M28" s="9" t="n">
        <f aca="false">L68/10</f>
        <v>0</v>
      </c>
      <c r="N28" s="23" t="b">
        <f aca="false">FALSE()</f>
        <v>0</v>
      </c>
      <c r="O28" s="9" t="n">
        <f aca="false">N68/10</f>
        <v>0</v>
      </c>
      <c r="P28" s="23" t="b">
        <f aca="false">FALSE()</f>
        <v>0</v>
      </c>
      <c r="Q28" s="9" t="n">
        <f aca="false">P68/10</f>
        <v>0</v>
      </c>
    </row>
    <row r="29" customFormat="false" ht="27" hidden="false" customHeight="true" outlineLevel="0" collapsed="false">
      <c r="A29" s="10" t="s">
        <v>35</v>
      </c>
      <c r="B29" s="11" t="str">
        <f aca="false">IFERROR(INDEX(成員名單!$B$5:$B$34,MATCH($A29,成員名單!$A$5:$A$34,0))&amp;"","")</f>
        <v/>
      </c>
      <c r="C29" s="23" t="b">
        <f aca="false">FALSE()</f>
        <v>0</v>
      </c>
      <c r="D29" s="23" t="b">
        <f aca="false">FALSE()</f>
        <v>0</v>
      </c>
      <c r="E29" s="11" t="n">
        <f aca="false">D69/10</f>
        <v>0</v>
      </c>
      <c r="F29" s="23" t="b">
        <f aca="false">FALSE()</f>
        <v>0</v>
      </c>
      <c r="G29" s="11" t="n">
        <f aca="false">F69/10</f>
        <v>0</v>
      </c>
      <c r="H29" s="23" t="b">
        <f aca="false">FALSE()</f>
        <v>0</v>
      </c>
      <c r="I29" s="11" t="n">
        <f aca="false">H69/10</f>
        <v>0</v>
      </c>
      <c r="J29" s="23" t="b">
        <f aca="false">FALSE()</f>
        <v>0</v>
      </c>
      <c r="K29" s="11" t="n">
        <f aca="false">J69/10</f>
        <v>0</v>
      </c>
      <c r="L29" s="23" t="b">
        <f aca="false">FALSE()</f>
        <v>0</v>
      </c>
      <c r="M29" s="11" t="n">
        <f aca="false">L69/10</f>
        <v>0</v>
      </c>
      <c r="N29" s="23" t="b">
        <f aca="false">FALSE()</f>
        <v>0</v>
      </c>
      <c r="O29" s="11" t="n">
        <f aca="false">N69/10</f>
        <v>0</v>
      </c>
      <c r="P29" s="23" t="b">
        <f aca="false">FALSE()</f>
        <v>0</v>
      </c>
      <c r="Q29" s="11" t="n">
        <f aca="false">P69/10</f>
        <v>0</v>
      </c>
    </row>
    <row r="30" customFormat="false" ht="27" hidden="false" customHeight="true" outlineLevel="0" collapsed="false">
      <c r="A30" s="8" t="s">
        <v>36</v>
      </c>
      <c r="B30" s="9" t="str">
        <f aca="false">IFERROR(INDEX(成員名單!$B$5:$B$34,MATCH($A30,成員名單!$A$5:$A$34,0))&amp;"","")</f>
        <v/>
      </c>
      <c r="C30" s="23" t="b">
        <f aca="false">FALSE()</f>
        <v>0</v>
      </c>
      <c r="D30" s="23" t="b">
        <f aca="false">FALSE()</f>
        <v>0</v>
      </c>
      <c r="E30" s="9" t="n">
        <f aca="false">D70/10</f>
        <v>0</v>
      </c>
      <c r="F30" s="23" t="b">
        <f aca="false">FALSE()</f>
        <v>0</v>
      </c>
      <c r="G30" s="9" t="n">
        <f aca="false">F70/10</f>
        <v>0</v>
      </c>
      <c r="H30" s="23" t="b">
        <f aca="false">FALSE()</f>
        <v>0</v>
      </c>
      <c r="I30" s="9" t="n">
        <f aca="false">H70/10</f>
        <v>0</v>
      </c>
      <c r="J30" s="23" t="b">
        <f aca="false">FALSE()</f>
        <v>0</v>
      </c>
      <c r="K30" s="9" t="n">
        <f aca="false">J70/10</f>
        <v>0</v>
      </c>
      <c r="L30" s="23" t="b">
        <f aca="false">FALSE()</f>
        <v>0</v>
      </c>
      <c r="M30" s="9" t="n">
        <f aca="false">L70/10</f>
        <v>0</v>
      </c>
      <c r="N30" s="23" t="b">
        <f aca="false">FALSE()</f>
        <v>0</v>
      </c>
      <c r="O30" s="9" t="n">
        <f aca="false">N70/10</f>
        <v>0</v>
      </c>
      <c r="P30" s="23" t="b">
        <f aca="false">FALSE()</f>
        <v>0</v>
      </c>
      <c r="Q30" s="9" t="n">
        <f aca="false">P70/10</f>
        <v>0</v>
      </c>
    </row>
    <row r="31" customFormat="false" ht="27" hidden="false" customHeight="true" outlineLevel="0" collapsed="false">
      <c r="A31" s="10" t="s">
        <v>37</v>
      </c>
      <c r="B31" s="11" t="str">
        <f aca="false">IFERROR(INDEX(成員名單!$B$5:$B$34,MATCH($A31,成員名單!$A$5:$A$34,0))&amp;"","")</f>
        <v/>
      </c>
      <c r="C31" s="23" t="b">
        <f aca="false">FALSE()</f>
        <v>0</v>
      </c>
      <c r="D31" s="23" t="b">
        <f aca="false">FALSE()</f>
        <v>0</v>
      </c>
      <c r="E31" s="11" t="n">
        <f aca="false">D71/10</f>
        <v>0</v>
      </c>
      <c r="F31" s="23" t="b">
        <f aca="false">FALSE()</f>
        <v>0</v>
      </c>
      <c r="G31" s="11" t="n">
        <f aca="false">F71/10</f>
        <v>0</v>
      </c>
      <c r="H31" s="23" t="b">
        <f aca="false">FALSE()</f>
        <v>0</v>
      </c>
      <c r="I31" s="11" t="n">
        <f aca="false">H71/10</f>
        <v>0</v>
      </c>
      <c r="J31" s="23" t="b">
        <f aca="false">FALSE()</f>
        <v>0</v>
      </c>
      <c r="K31" s="11" t="n">
        <f aca="false">J71/10</f>
        <v>0</v>
      </c>
      <c r="L31" s="23" t="b">
        <f aca="false">FALSE()</f>
        <v>0</v>
      </c>
      <c r="M31" s="11" t="n">
        <f aca="false">L71/10</f>
        <v>0</v>
      </c>
      <c r="N31" s="23" t="b">
        <f aca="false">FALSE()</f>
        <v>0</v>
      </c>
      <c r="O31" s="11" t="n">
        <f aca="false">N71/10</f>
        <v>0</v>
      </c>
      <c r="P31" s="23" t="b">
        <f aca="false">FALSE()</f>
        <v>0</v>
      </c>
      <c r="Q31" s="11" t="n">
        <f aca="false">P71/10</f>
        <v>0</v>
      </c>
    </row>
    <row r="32" customFormat="false" ht="27" hidden="false" customHeight="true" outlineLevel="0" collapsed="false">
      <c r="A32" s="8" t="s">
        <v>38</v>
      </c>
      <c r="B32" s="9" t="str">
        <f aca="false">IFERROR(INDEX(成員名單!$B$5:$B$34,MATCH($A32,成員名單!$A$5:$A$34,0))&amp;"","")</f>
        <v/>
      </c>
      <c r="C32" s="23" t="b">
        <f aca="false">FALSE()</f>
        <v>0</v>
      </c>
      <c r="D32" s="23" t="b">
        <f aca="false">FALSE()</f>
        <v>0</v>
      </c>
      <c r="E32" s="9" t="n">
        <f aca="false">D72/10</f>
        <v>0</v>
      </c>
      <c r="F32" s="23" t="b">
        <f aca="false">FALSE()</f>
        <v>0</v>
      </c>
      <c r="G32" s="9" t="n">
        <f aca="false">F72/10</f>
        <v>0</v>
      </c>
      <c r="H32" s="23" t="b">
        <f aca="false">FALSE()</f>
        <v>0</v>
      </c>
      <c r="I32" s="9" t="n">
        <f aca="false">H72/10</f>
        <v>0</v>
      </c>
      <c r="J32" s="23" t="b">
        <f aca="false">FALSE()</f>
        <v>0</v>
      </c>
      <c r="K32" s="9" t="n">
        <f aca="false">J72/10</f>
        <v>0</v>
      </c>
      <c r="L32" s="23" t="b">
        <f aca="false">FALSE()</f>
        <v>0</v>
      </c>
      <c r="M32" s="9" t="n">
        <f aca="false">L72/10</f>
        <v>0</v>
      </c>
      <c r="N32" s="23" t="b">
        <f aca="false">FALSE()</f>
        <v>0</v>
      </c>
      <c r="O32" s="9" t="n">
        <f aca="false">N72/10</f>
        <v>0</v>
      </c>
      <c r="P32" s="23" t="b">
        <f aca="false">FALSE()</f>
        <v>0</v>
      </c>
      <c r="Q32" s="9" t="n">
        <f aca="false">P72/10</f>
        <v>0</v>
      </c>
    </row>
    <row r="33" customFormat="false" ht="27" hidden="false" customHeight="true" outlineLevel="0" collapsed="false">
      <c r="A33" s="10" t="s">
        <v>39</v>
      </c>
      <c r="B33" s="11" t="str">
        <f aca="false">IFERROR(INDEX(成員名單!$B$5:$B$34,MATCH($A33,成員名單!$A$5:$A$34,0))&amp;"","")</f>
        <v/>
      </c>
      <c r="C33" s="23" t="b">
        <f aca="false">FALSE()</f>
        <v>0</v>
      </c>
      <c r="D33" s="23" t="b">
        <f aca="false">FALSE()</f>
        <v>0</v>
      </c>
      <c r="E33" s="11" t="n">
        <f aca="false">D73/10</f>
        <v>0</v>
      </c>
      <c r="F33" s="23" t="b">
        <f aca="false">FALSE()</f>
        <v>0</v>
      </c>
      <c r="G33" s="11" t="n">
        <f aca="false">F73/10</f>
        <v>0</v>
      </c>
      <c r="H33" s="23" t="b">
        <f aca="false">FALSE()</f>
        <v>0</v>
      </c>
      <c r="I33" s="11" t="n">
        <f aca="false">H73/10</f>
        <v>0</v>
      </c>
      <c r="J33" s="23" t="b">
        <f aca="false">FALSE()</f>
        <v>0</v>
      </c>
      <c r="K33" s="11" t="n">
        <f aca="false">J73/10</f>
        <v>0</v>
      </c>
      <c r="L33" s="23" t="b">
        <f aca="false">FALSE()</f>
        <v>0</v>
      </c>
      <c r="M33" s="11" t="n">
        <f aca="false">L73/10</f>
        <v>0</v>
      </c>
      <c r="N33" s="23" t="b">
        <f aca="false">FALSE()</f>
        <v>0</v>
      </c>
      <c r="O33" s="11" t="n">
        <f aca="false">N73/10</f>
        <v>0</v>
      </c>
      <c r="P33" s="23" t="b">
        <f aca="false">FALSE()</f>
        <v>0</v>
      </c>
      <c r="Q33" s="11" t="n">
        <f aca="false">P73/10</f>
        <v>0</v>
      </c>
    </row>
    <row r="34" customFormat="false" ht="27" hidden="false" customHeight="true" outlineLevel="0" collapsed="false">
      <c r="A34" s="8" t="s">
        <v>40</v>
      </c>
      <c r="B34" s="9" t="str">
        <f aca="false">IFERROR(INDEX(成員名單!$B$5:$B$34,MATCH($A34,成員名單!$A$5:$A$34,0))&amp;"","")</f>
        <v/>
      </c>
      <c r="C34" s="23" t="b">
        <f aca="false">FALSE()</f>
        <v>0</v>
      </c>
      <c r="D34" s="23" t="b">
        <f aca="false">FALSE()</f>
        <v>0</v>
      </c>
      <c r="E34" s="9" t="n">
        <f aca="false">D74/10</f>
        <v>0</v>
      </c>
      <c r="F34" s="23" t="b">
        <f aca="false">FALSE()</f>
        <v>0</v>
      </c>
      <c r="G34" s="9" t="n">
        <f aca="false">F74/10</f>
        <v>0</v>
      </c>
      <c r="H34" s="23" t="b">
        <f aca="false">FALSE()</f>
        <v>0</v>
      </c>
      <c r="I34" s="9" t="n">
        <f aca="false">H74/10</f>
        <v>0</v>
      </c>
      <c r="J34" s="23" t="b">
        <f aca="false">FALSE()</f>
        <v>0</v>
      </c>
      <c r="K34" s="9" t="n">
        <f aca="false">J74/10</f>
        <v>0</v>
      </c>
      <c r="L34" s="23" t="b">
        <f aca="false">FALSE()</f>
        <v>0</v>
      </c>
      <c r="M34" s="9" t="n">
        <f aca="false">L74/10</f>
        <v>0</v>
      </c>
      <c r="N34" s="23" t="b">
        <f aca="false">FALSE()</f>
        <v>0</v>
      </c>
      <c r="O34" s="9" t="n">
        <f aca="false">N74/10</f>
        <v>0</v>
      </c>
      <c r="P34" s="23" t="b">
        <f aca="false">FALSE()</f>
        <v>0</v>
      </c>
      <c r="Q34" s="9" t="n">
        <f aca="false">P74/10</f>
        <v>0</v>
      </c>
    </row>
    <row r="35" customFormat="false" ht="27" hidden="false" customHeight="true" outlineLevel="0" collapsed="false">
      <c r="A35" s="10" t="s">
        <v>41</v>
      </c>
      <c r="B35" s="11" t="str">
        <f aca="false">IFERROR(INDEX(成員名單!$B$5:$B$34,MATCH($A35,成員名單!$A$5:$A$34,0))&amp;"","")</f>
        <v/>
      </c>
      <c r="C35" s="23" t="b">
        <f aca="false">FALSE()</f>
        <v>0</v>
      </c>
      <c r="D35" s="23" t="b">
        <f aca="false">FALSE()</f>
        <v>0</v>
      </c>
      <c r="E35" s="11" t="n">
        <f aca="false">D75/10</f>
        <v>0</v>
      </c>
      <c r="F35" s="23" t="b">
        <f aca="false">FALSE()</f>
        <v>0</v>
      </c>
      <c r="G35" s="11" t="n">
        <f aca="false">F75/10</f>
        <v>0</v>
      </c>
      <c r="H35" s="23" t="b">
        <f aca="false">FALSE()</f>
        <v>0</v>
      </c>
      <c r="I35" s="11" t="n">
        <f aca="false">H75/10</f>
        <v>0</v>
      </c>
      <c r="J35" s="23" t="b">
        <f aca="false">FALSE()</f>
        <v>0</v>
      </c>
      <c r="K35" s="11" t="n">
        <f aca="false">J75/10</f>
        <v>0</v>
      </c>
      <c r="L35" s="23" t="b">
        <f aca="false">FALSE()</f>
        <v>0</v>
      </c>
      <c r="M35" s="11" t="n">
        <f aca="false">L75/10</f>
        <v>0</v>
      </c>
      <c r="N35" s="23" t="b">
        <f aca="false">FALSE()</f>
        <v>0</v>
      </c>
      <c r="O35" s="11" t="n">
        <f aca="false">N75/10</f>
        <v>0</v>
      </c>
      <c r="P35" s="23" t="b">
        <f aca="false">FALSE()</f>
        <v>0</v>
      </c>
      <c r="Q35" s="11" t="n">
        <f aca="false">P75/10</f>
        <v>0</v>
      </c>
    </row>
    <row r="36" customFormat="false" ht="27" hidden="false" customHeight="true" outlineLevel="0" collapsed="false">
      <c r="A36" s="8" t="s">
        <v>42</v>
      </c>
      <c r="B36" s="9" t="str">
        <f aca="false">IFERROR(INDEX(成員名單!$B$5:$B$34,MATCH($A36,成員名單!$A$5:$A$34,0))&amp;"","")</f>
        <v/>
      </c>
      <c r="C36" s="23" t="b">
        <f aca="false">FALSE()</f>
        <v>0</v>
      </c>
      <c r="D36" s="23" t="b">
        <f aca="false">FALSE()</f>
        <v>0</v>
      </c>
      <c r="E36" s="9" t="n">
        <f aca="false">D76/10</f>
        <v>0</v>
      </c>
      <c r="F36" s="23" t="b">
        <f aca="false">FALSE()</f>
        <v>0</v>
      </c>
      <c r="G36" s="9" t="n">
        <f aca="false">F76/10</f>
        <v>0</v>
      </c>
      <c r="H36" s="23" t="b">
        <f aca="false">FALSE()</f>
        <v>0</v>
      </c>
      <c r="I36" s="9" t="n">
        <f aca="false">H76/10</f>
        <v>0</v>
      </c>
      <c r="J36" s="23" t="b">
        <f aca="false">FALSE()</f>
        <v>0</v>
      </c>
      <c r="K36" s="9" t="n">
        <f aca="false">J76/10</f>
        <v>0</v>
      </c>
      <c r="L36" s="23" t="b">
        <f aca="false">FALSE()</f>
        <v>0</v>
      </c>
      <c r="M36" s="9" t="n">
        <f aca="false">L76/10</f>
        <v>0</v>
      </c>
      <c r="N36" s="23" t="b">
        <f aca="false">FALSE()</f>
        <v>0</v>
      </c>
      <c r="O36" s="9" t="n">
        <f aca="false">N76/10</f>
        <v>0</v>
      </c>
      <c r="P36" s="23" t="b">
        <f aca="false">FALSE()</f>
        <v>0</v>
      </c>
      <c r="Q36" s="9" t="n">
        <f aca="false">P76/10</f>
        <v>0</v>
      </c>
    </row>
    <row r="37" customFormat="false" ht="27" hidden="false" customHeight="true" outlineLevel="0" collapsed="false">
      <c r="A37" s="10" t="s">
        <v>43</v>
      </c>
      <c r="B37" s="11" t="str">
        <f aca="false">IFERROR(INDEX(成員名單!$B$5:$B$34,MATCH($A37,成員名單!$A$5:$A$34,0))&amp;"","")</f>
        <v/>
      </c>
      <c r="C37" s="23" t="b">
        <f aca="false">FALSE()</f>
        <v>0</v>
      </c>
      <c r="D37" s="23" t="b">
        <f aca="false">FALSE()</f>
        <v>0</v>
      </c>
      <c r="E37" s="11" t="n">
        <f aca="false">D77/10</f>
        <v>0</v>
      </c>
      <c r="F37" s="23" t="b">
        <f aca="false">FALSE()</f>
        <v>0</v>
      </c>
      <c r="G37" s="11" t="n">
        <f aca="false">F77/10</f>
        <v>0</v>
      </c>
      <c r="H37" s="23" t="b">
        <f aca="false">FALSE()</f>
        <v>0</v>
      </c>
      <c r="I37" s="11" t="n">
        <f aca="false">H77/10</f>
        <v>0</v>
      </c>
      <c r="J37" s="23" t="b">
        <f aca="false">FALSE()</f>
        <v>0</v>
      </c>
      <c r="K37" s="11" t="n">
        <f aca="false">J77/10</f>
        <v>0</v>
      </c>
      <c r="L37" s="23" t="b">
        <f aca="false">FALSE()</f>
        <v>0</v>
      </c>
      <c r="M37" s="11" t="n">
        <f aca="false">L77/10</f>
        <v>0</v>
      </c>
      <c r="N37" s="23" t="b">
        <f aca="false">FALSE()</f>
        <v>0</v>
      </c>
      <c r="O37" s="11" t="n">
        <f aca="false">N77/10</f>
        <v>0</v>
      </c>
      <c r="P37" s="23" t="b">
        <f aca="false">FALSE()</f>
        <v>0</v>
      </c>
      <c r="Q37" s="11" t="n">
        <f aca="false">P77/10</f>
        <v>0</v>
      </c>
    </row>
    <row r="38" customFormat="false" ht="27" hidden="false" customHeight="true" outlineLevel="0" collapsed="false">
      <c r="A38" s="8" t="s">
        <v>44</v>
      </c>
      <c r="B38" s="9" t="str">
        <f aca="false">IFERROR(INDEX(成員名單!$B$5:$B$34,MATCH($A38,成員名單!$A$5:$A$34,0))&amp;"","")</f>
        <v/>
      </c>
      <c r="C38" s="23" t="b">
        <f aca="false">FALSE()</f>
        <v>0</v>
      </c>
      <c r="D38" s="23" t="b">
        <f aca="false">FALSE()</f>
        <v>0</v>
      </c>
      <c r="E38" s="9" t="n">
        <f aca="false">D78/10</f>
        <v>0</v>
      </c>
      <c r="F38" s="23" t="b">
        <f aca="false">FALSE()</f>
        <v>0</v>
      </c>
      <c r="G38" s="9" t="n">
        <f aca="false">F78/10</f>
        <v>0</v>
      </c>
      <c r="H38" s="23" t="b">
        <f aca="false">FALSE()</f>
        <v>0</v>
      </c>
      <c r="I38" s="9" t="n">
        <f aca="false">H78/10</f>
        <v>0</v>
      </c>
      <c r="J38" s="23" t="b">
        <f aca="false">FALSE()</f>
        <v>0</v>
      </c>
      <c r="K38" s="9" t="n">
        <f aca="false">J78/10</f>
        <v>0</v>
      </c>
      <c r="L38" s="23" t="b">
        <f aca="false">FALSE()</f>
        <v>0</v>
      </c>
      <c r="M38" s="9" t="n">
        <f aca="false">L78/10</f>
        <v>0</v>
      </c>
      <c r="N38" s="23" t="b">
        <f aca="false">FALSE()</f>
        <v>0</v>
      </c>
      <c r="O38" s="9" t="n">
        <f aca="false">N78/10</f>
        <v>0</v>
      </c>
      <c r="P38" s="23" t="b">
        <f aca="false">FALSE()</f>
        <v>0</v>
      </c>
      <c r="Q38" s="9" t="n">
        <f aca="false">P78/10</f>
        <v>0</v>
      </c>
    </row>
    <row r="39" customFormat="false" ht="27" hidden="false" customHeight="true" outlineLevel="0" collapsed="false">
      <c r="A39" s="10" t="s">
        <v>45</v>
      </c>
      <c r="B39" s="11" t="str">
        <f aca="false">IFERROR(INDEX(成員名單!$B$5:$B$34,MATCH($A39,成員名單!$A$5:$A$34,0))&amp;"","")</f>
        <v/>
      </c>
      <c r="C39" s="23" t="b">
        <f aca="false">FALSE()</f>
        <v>0</v>
      </c>
      <c r="D39" s="23" t="b">
        <f aca="false">FALSE()</f>
        <v>0</v>
      </c>
      <c r="E39" s="11" t="n">
        <f aca="false">D79/10</f>
        <v>0</v>
      </c>
      <c r="F39" s="23" t="b">
        <f aca="false">FALSE()</f>
        <v>0</v>
      </c>
      <c r="G39" s="11" t="n">
        <f aca="false">F79/10</f>
        <v>0</v>
      </c>
      <c r="H39" s="23" t="b">
        <f aca="false">FALSE()</f>
        <v>0</v>
      </c>
      <c r="I39" s="11" t="n">
        <f aca="false">H79/10</f>
        <v>0</v>
      </c>
      <c r="J39" s="23" t="b">
        <f aca="false">FALSE()</f>
        <v>0</v>
      </c>
      <c r="K39" s="11" t="n">
        <f aca="false">J79/10</f>
        <v>0</v>
      </c>
      <c r="L39" s="23" t="b">
        <f aca="false">FALSE()</f>
        <v>0</v>
      </c>
      <c r="M39" s="11" t="n">
        <f aca="false">L79/10</f>
        <v>0</v>
      </c>
      <c r="N39" s="23" t="b">
        <f aca="false">FALSE()</f>
        <v>0</v>
      </c>
      <c r="O39" s="11" t="n">
        <f aca="false">N79/10</f>
        <v>0</v>
      </c>
      <c r="P39" s="23" t="b">
        <f aca="false">FALSE()</f>
        <v>0</v>
      </c>
      <c r="Q39" s="11" t="n">
        <f aca="false">P79/10</f>
        <v>0</v>
      </c>
    </row>
    <row r="40" customFormat="false" ht="27" hidden="false" customHeight="true" outlineLevel="0" collapsed="false">
      <c r="A40" s="8" t="s">
        <v>46</v>
      </c>
      <c r="B40" s="9" t="str">
        <f aca="false">IFERROR(INDEX(成員名單!$B$5:$B$34,MATCH($A40,成員名單!$A$5:$A$34,0))&amp;"","")</f>
        <v/>
      </c>
      <c r="C40" s="23" t="b">
        <f aca="false">FALSE()</f>
        <v>0</v>
      </c>
      <c r="D40" s="23" t="b">
        <f aca="false">FALSE()</f>
        <v>0</v>
      </c>
      <c r="E40" s="9" t="n">
        <f aca="false">D80/10</f>
        <v>0</v>
      </c>
      <c r="F40" s="23" t="b">
        <f aca="false">FALSE()</f>
        <v>0</v>
      </c>
      <c r="G40" s="9" t="n">
        <f aca="false">F80/10</f>
        <v>0</v>
      </c>
      <c r="H40" s="23" t="b">
        <f aca="false">FALSE()</f>
        <v>0</v>
      </c>
      <c r="I40" s="9" t="n">
        <f aca="false">H80/10</f>
        <v>0</v>
      </c>
      <c r="J40" s="23" t="b">
        <f aca="false">FALSE()</f>
        <v>0</v>
      </c>
      <c r="K40" s="9" t="n">
        <f aca="false">J80/10</f>
        <v>0</v>
      </c>
      <c r="L40" s="23" t="b">
        <f aca="false">FALSE()</f>
        <v>0</v>
      </c>
      <c r="M40" s="9" t="n">
        <f aca="false">L80/10</f>
        <v>0</v>
      </c>
      <c r="N40" s="23" t="b">
        <f aca="false">FALSE()</f>
        <v>0</v>
      </c>
      <c r="O40" s="9" t="n">
        <f aca="false">N80/10</f>
        <v>0</v>
      </c>
      <c r="P40" s="23" t="b">
        <f aca="false">FALSE()</f>
        <v>0</v>
      </c>
      <c r="Q40" s="9" t="n">
        <f aca="false">P80/10</f>
        <v>0</v>
      </c>
    </row>
    <row r="41" customFormat="false" ht="27" hidden="false" customHeight="true" outlineLevel="0" collapsed="false">
      <c r="A41" s="10" t="s">
        <v>47</v>
      </c>
      <c r="B41" s="11" t="str">
        <f aca="false">IFERROR(INDEX(成員名單!$B$5:$B$34,MATCH($A41,成員名單!$A$5:$A$34,0))&amp;"","")</f>
        <v/>
      </c>
      <c r="C41" s="23" t="b">
        <f aca="false">FALSE()</f>
        <v>0</v>
      </c>
      <c r="D41" s="23" t="b">
        <f aca="false">FALSE()</f>
        <v>0</v>
      </c>
      <c r="E41" s="11" t="n">
        <f aca="false">D81/10</f>
        <v>0</v>
      </c>
      <c r="F41" s="23" t="b">
        <f aca="false">FALSE()</f>
        <v>0</v>
      </c>
      <c r="G41" s="11" t="n">
        <f aca="false">F81/10</f>
        <v>0</v>
      </c>
      <c r="H41" s="23" t="b">
        <f aca="false">FALSE()</f>
        <v>0</v>
      </c>
      <c r="I41" s="11" t="n">
        <f aca="false">H81/10</f>
        <v>0</v>
      </c>
      <c r="J41" s="23" t="b">
        <f aca="false">FALSE()</f>
        <v>0</v>
      </c>
      <c r="K41" s="11" t="n">
        <f aca="false">J81/10</f>
        <v>0</v>
      </c>
      <c r="L41" s="23" t="b">
        <f aca="false">FALSE()</f>
        <v>0</v>
      </c>
      <c r="M41" s="11" t="n">
        <f aca="false">L81/10</f>
        <v>0</v>
      </c>
      <c r="N41" s="23" t="b">
        <f aca="false">FALSE()</f>
        <v>0</v>
      </c>
      <c r="O41" s="11" t="n">
        <f aca="false">N81/10</f>
        <v>0</v>
      </c>
      <c r="P41" s="23" t="b">
        <f aca="false">FALSE()</f>
        <v>0</v>
      </c>
      <c r="Q41" s="11" t="n">
        <f aca="false">P81/10</f>
        <v>0</v>
      </c>
    </row>
    <row r="42" customFormat="false" ht="27" hidden="false" customHeight="true" outlineLevel="0" collapsed="false">
      <c r="A42" s="12"/>
      <c r="B42" s="8" t="s">
        <v>88</v>
      </c>
      <c r="C42" s="12"/>
      <c r="D42" s="12"/>
      <c r="E42" s="9" t="n">
        <f aca="false">D51/10</f>
        <v>0</v>
      </c>
      <c r="F42" s="12"/>
      <c r="G42" s="9" t="n">
        <f aca="false">F51/10</f>
        <v>0</v>
      </c>
      <c r="H42" s="12"/>
      <c r="I42" s="9" t="n">
        <f aca="false">H51/10</f>
        <v>0</v>
      </c>
      <c r="J42" s="12"/>
      <c r="K42" s="9" t="n">
        <f aca="false">J51/10</f>
        <v>0</v>
      </c>
      <c r="L42" s="12"/>
      <c r="M42" s="9" t="n">
        <f aca="false">L51/10</f>
        <v>0</v>
      </c>
      <c r="N42" s="12"/>
      <c r="O42" s="9" t="n">
        <f aca="false">N51/10</f>
        <v>0</v>
      </c>
      <c r="P42" s="12"/>
      <c r="Q42" s="9" t="n">
        <f aca="false">P51/10</f>
        <v>0</v>
      </c>
    </row>
    <row r="46" customFormat="false" ht="15" hidden="true" customHeight="false" outlineLevel="0" collapsed="false">
      <c r="D46" s="14" t="n">
        <f aca="false">IFERROR(IF(D$47,ROUND(D$6*10,0),0),0)</f>
        <v>0</v>
      </c>
      <c r="F46" s="14" t="n">
        <f aca="false">IFERROR(IF(F$47,ROUND(F$6*10,0),0),0)</f>
        <v>0</v>
      </c>
      <c r="H46" s="14" t="n">
        <f aca="false">IFERROR(IF(H$47,ROUND(H$6*10,0),0),0)</f>
        <v>0</v>
      </c>
      <c r="J46" s="14" t="n">
        <f aca="false">IFERROR(IF(J$47,ROUND(J$6*10,0),0),0)</f>
        <v>0</v>
      </c>
      <c r="L46" s="14" t="n">
        <f aca="false">IFERROR(IF(L$47,ROUND(L$6*10,0),0),0)</f>
        <v>0</v>
      </c>
      <c r="N46" s="14" t="n">
        <f aca="false">IFERROR(IF(N$47,ROUND(N$6*10,0),0),0)</f>
        <v>0</v>
      </c>
      <c r="P46" s="14" t="n">
        <f aca="false">IFERROR(IF(P$47,ROUND(P$6*10,0),0),0)</f>
        <v>0</v>
      </c>
    </row>
    <row r="47" customFormat="false" ht="15" hidden="true" customHeight="false" outlineLevel="0" collapsed="false">
      <c r="D47" s="14" t="n">
        <f aca="false">IF(LEN(TRIM(D$6&amp;""))=0,TRUE(),IFERROR(AND(ISNUMBER(D$6),D$6&gt;=0,D$6&lt;=100000000,ROUND(D$6,1)=D$6),FALSE()))</f>
        <v>1</v>
      </c>
      <c r="F47" s="14" t="n">
        <f aca="false">IF(LEN(TRIM(F$6&amp;""))=0,TRUE(),IFERROR(AND(ISNUMBER(F$6),F$6&gt;=0,F$6&lt;=100000000,ROUND(F$6,1)=F$6),FALSE()))</f>
        <v>1</v>
      </c>
      <c r="H47" s="14" t="n">
        <f aca="false">IF(LEN(TRIM(H$6&amp;""))=0,TRUE(),IFERROR(AND(ISNUMBER(H$6),H$6&gt;=0,H$6&lt;=100000000,ROUND(H$6,1)=H$6),FALSE()))</f>
        <v>1</v>
      </c>
      <c r="J47" s="14" t="n">
        <f aca="false">IF(LEN(TRIM(J$6&amp;""))=0,TRUE(),IFERROR(AND(ISNUMBER(J$6),J$6&gt;=0,J$6&lt;=100000000,ROUND(J$6,1)=J$6),FALSE()))</f>
        <v>1</v>
      </c>
      <c r="L47" s="14" t="n">
        <f aca="false">IF(LEN(TRIM(L$6&amp;""))=0,TRUE(),IFERROR(AND(ISNUMBER(L$6),L$6&gt;=0,L$6&lt;=100000000,ROUND(L$6,1)=L$6),FALSE()))</f>
        <v>1</v>
      </c>
      <c r="N47" s="14" t="n">
        <f aca="false">IF(LEN(TRIM(N$6&amp;""))=0,TRUE(),IFERROR(AND(ISNUMBER(N$6),N$6&gt;=0,N$6&lt;=100000000,ROUND(N$6,1)=N$6),FALSE()))</f>
        <v>1</v>
      </c>
      <c r="P47" s="14" t="n">
        <f aca="false">IF(LEN(TRIM(P$6&amp;""))=0,TRUE(),IFERROR(AND(ISNUMBER(P$6),P$6&gt;=0,P$6&lt;=100000000,ROUND(P$6,1)=P$6),FALSE()))</f>
        <v>1</v>
      </c>
    </row>
    <row r="48" customFormat="false" ht="15" hidden="true" customHeight="false" outlineLevel="0" collapsed="false">
      <c r="D48" s="14" t="n">
        <f aca="false">IF(D$50,IF(AND($C$3=TRUE(),$C$49&gt;0),SUMPRODUCT(--(LEN(TRIM($B$12:$B$41))&gt;0),--(D$12:D$41=TRUE()),--($C$12:$C$41&lt;&gt;TRUE())),0),SUMPRODUCT(--(LEN(TRIM($B$12:$B$41))&gt;0),--(D$12:D$41=TRUE())))</f>
        <v>0</v>
      </c>
      <c r="F48" s="14" t="n">
        <f aca="false">IF(F$50,IF(AND($C$3=TRUE(),$C$49&gt;0),SUMPRODUCT(--(LEN(TRIM($B$12:$B$41))&gt;0),--(F$12:F$41=TRUE()),--($C$12:$C$41&lt;&gt;TRUE())),0),SUMPRODUCT(--(LEN(TRIM($B$12:$B$41))&gt;0),--(F$12:F$41=TRUE())))</f>
        <v>0</v>
      </c>
      <c r="H48" s="14" t="n">
        <f aca="false">IF(H$50,IF(AND($C$3=TRUE(),$C$49&gt;0),SUMPRODUCT(--(LEN(TRIM($B$12:$B$41))&gt;0),--(H$12:H$41=TRUE()),--($C$12:$C$41&lt;&gt;TRUE())),0),SUMPRODUCT(--(LEN(TRIM($B$12:$B$41))&gt;0),--(H$12:H$41=TRUE())))</f>
        <v>0</v>
      </c>
      <c r="J48" s="14" t="n">
        <f aca="false">IF(J$50,IF(AND($C$3=TRUE(),$C$49&gt;0),SUMPRODUCT(--(LEN(TRIM($B$12:$B$41))&gt;0),--(J$12:J$41=TRUE()),--($C$12:$C$41&lt;&gt;TRUE())),0),SUMPRODUCT(--(LEN(TRIM($B$12:$B$41))&gt;0),--(J$12:J$41=TRUE())))</f>
        <v>0</v>
      </c>
      <c r="L48" s="14" t="n">
        <f aca="false">IF(L$50,IF(AND($C$3=TRUE(),$C$49&gt;0),SUMPRODUCT(--(LEN(TRIM($B$12:$B$41))&gt;0),--(L$12:L$41=TRUE()),--($C$12:$C$41&lt;&gt;TRUE())),0),SUMPRODUCT(--(LEN(TRIM($B$12:$B$41))&gt;0),--(L$12:L$41=TRUE())))</f>
        <v>0</v>
      </c>
      <c r="N48" s="14" t="n">
        <f aca="false">IF(N$50,IF(AND($C$3=TRUE(),$C$49&gt;0),SUMPRODUCT(--(LEN(TRIM($B$12:$B$41))&gt;0),--(N$12:N$41=TRUE()),--($C$12:$C$41&lt;&gt;TRUE())),0),SUMPRODUCT(--(LEN(TRIM($B$12:$B$41))&gt;0),--(N$12:N$41=TRUE())))</f>
        <v>0</v>
      </c>
      <c r="P48" s="14" t="n">
        <f aca="false">IF(P$50,IF(AND($C$3=TRUE(),$C$49&gt;0),SUMPRODUCT(--(LEN(TRIM($B$12:$B$41))&gt;0),--(P$12:P$41=TRUE()),--($C$12:$C$41&lt;&gt;TRUE())),0),SUMPRODUCT(--(LEN(TRIM($B$12:$B$41))&gt;0),--(P$12:P$41=TRUE())))</f>
        <v>0</v>
      </c>
    </row>
    <row r="49" customFormat="false" ht="15" hidden="true" customHeight="false" outlineLevel="0" collapsed="false">
      <c r="C49" s="14" t="n">
        <f aca="false">SUMPRODUCT(--(LEN(TRIM($B$12:$B$41))&gt;0),--($C$12:$C$41=TRUE()))</f>
        <v>0</v>
      </c>
    </row>
    <row r="50" customFormat="false" ht="15" hidden="true" customHeight="false" outlineLevel="0" collapsed="false">
      <c r="D50" s="14" t="n">
        <f aca="false">OR(D$5="油錢",D$5="租車費")</f>
        <v>0</v>
      </c>
      <c r="F50" s="14" t="n">
        <f aca="false">OR(F$5="油錢",F$5="租車費")</f>
        <v>0</v>
      </c>
      <c r="H50" s="14" t="n">
        <f aca="false">OR(H$5="油錢",H$5="租車費")</f>
        <v>0</v>
      </c>
      <c r="J50" s="14" t="n">
        <f aca="false">OR(J$5="油錢",J$5="租車費")</f>
        <v>1</v>
      </c>
      <c r="L50" s="14" t="n">
        <f aca="false">OR(L$5="油錢",L$5="租車費")</f>
        <v>1</v>
      </c>
      <c r="N50" s="14" t="n">
        <f aca="false">OR(N$5="油錢",N$5="租車費")</f>
        <v>0</v>
      </c>
      <c r="P50" s="14" t="n">
        <f aca="false">OR(P$5="油錢",P$5="租車費")</f>
        <v>0</v>
      </c>
    </row>
    <row r="51" customFormat="false" ht="15" hidden="true" customHeight="false" outlineLevel="0" collapsed="false">
      <c r="D51" s="14" t="n">
        <f aca="false">SUM(D52:D81)</f>
        <v>0</v>
      </c>
      <c r="F51" s="14" t="n">
        <f aca="false">SUM(F52:F81)</f>
        <v>0</v>
      </c>
      <c r="H51" s="14" t="n">
        <f aca="false">SUM(H52:H81)</f>
        <v>0</v>
      </c>
      <c r="J51" s="14" t="n">
        <f aca="false">SUM(J52:J81)</f>
        <v>0</v>
      </c>
      <c r="L51" s="14" t="n">
        <f aca="false">SUM(L52:L81)</f>
        <v>0</v>
      </c>
      <c r="N51" s="14" t="n">
        <f aca="false">SUM(N52:N81)</f>
        <v>0</v>
      </c>
      <c r="P51" s="14" t="n">
        <f aca="false">SUM(P52:P81)</f>
        <v>0</v>
      </c>
    </row>
    <row r="52" customFormat="false" ht="15" hidden="true" customHeight="false" outlineLevel="0" collapsed="false">
      <c r="A52" s="13" t="s">
        <v>18</v>
      </c>
      <c r="D52" s="14" t="n">
        <f aca="false">IF(AND(D$47,D$48&gt;0,LEN(TRIM($B12))&gt;0,D12=TRUE(),IF(D$50,$C12&lt;&gt;TRUE(),TRUE())),QUOTIENT(D$46,MAX(1,D$48))+IF(IF(D$50,SUMPRODUCT(--(LEN(TRIM($B$12:$B12))&gt;0),--(D$12:D12=TRUE()),--($C$12:$C12&lt;&gt;TRUE())),SUMPRODUCT(--(LEN(TRIM($B$12:$B12))&gt;0),--(D$12:D12=TRUE())))&lt;=MOD(D$46,MAX(1,D$48)),1,0),0)</f>
        <v>0</v>
      </c>
      <c r="F52" s="14" t="n">
        <f aca="false">IF(AND(F$47,F$48&gt;0,LEN(TRIM($B12))&gt;0,F12=TRUE(),IF(F$50,$C12&lt;&gt;TRUE(),TRUE())),QUOTIENT(F$46,MAX(1,F$48))+IF(IF(F$50,SUMPRODUCT(--(LEN(TRIM($B$12:$B12))&gt;0),--(F$12:F12=TRUE()),--($C$12:$C12&lt;&gt;TRUE())),SUMPRODUCT(--(LEN(TRIM($B$12:$B12))&gt;0),--(F$12:F12=TRUE())))&lt;=MOD(F$46,MAX(1,F$48)),1,0),0)</f>
        <v>0</v>
      </c>
      <c r="H52" s="14" t="n">
        <f aca="false">IF(AND(H$47,H$48&gt;0,LEN(TRIM($B12))&gt;0,H12=TRUE(),IF(H$50,$C12&lt;&gt;TRUE(),TRUE())),QUOTIENT(H$46,MAX(1,H$48))+IF(IF(H$50,SUMPRODUCT(--(LEN(TRIM($B$12:$B12))&gt;0),--(H$12:H12=TRUE()),--($C$12:$C12&lt;&gt;TRUE())),SUMPRODUCT(--(LEN(TRIM($B$12:$B12))&gt;0),--(H$12:H12=TRUE())))&lt;=MOD(H$46,MAX(1,H$48)),1,0),0)</f>
        <v>0</v>
      </c>
      <c r="J52" s="14" t="n">
        <f aca="false">IF(AND(J$47,J$48&gt;0,LEN(TRIM($B12))&gt;0,J12=TRUE(),IF(J$50,$C12&lt;&gt;TRUE(),TRUE())),QUOTIENT(J$46,MAX(1,J$48))+IF(IF(J$50,SUMPRODUCT(--(LEN(TRIM($B$12:$B12))&gt;0),--(J$12:J12=TRUE()),--($C$12:$C12&lt;&gt;TRUE())),SUMPRODUCT(--(LEN(TRIM($B$12:$B12))&gt;0),--(J$12:J12=TRUE())))&lt;=MOD(J$46,MAX(1,J$48)),1,0),0)</f>
        <v>0</v>
      </c>
      <c r="L52" s="14" t="n">
        <f aca="false">IF(AND(L$47,L$48&gt;0,LEN(TRIM($B12))&gt;0,L12=TRUE(),IF(L$50,$C12&lt;&gt;TRUE(),TRUE())),QUOTIENT(L$46,MAX(1,L$48))+IF(IF(L$50,SUMPRODUCT(--(LEN(TRIM($B$12:$B12))&gt;0),--(L$12:L12=TRUE()),--($C$12:$C12&lt;&gt;TRUE())),SUMPRODUCT(--(LEN(TRIM($B$12:$B12))&gt;0),--(L$12:L12=TRUE())))&lt;=MOD(L$46,MAX(1,L$48)),1,0),0)</f>
        <v>0</v>
      </c>
      <c r="N52" s="14" t="n">
        <f aca="false">IF(AND(N$47,N$48&gt;0,LEN(TRIM($B12))&gt;0,N12=TRUE(),IF(N$50,$C12&lt;&gt;TRUE(),TRUE())),QUOTIENT(N$46,MAX(1,N$48))+IF(IF(N$50,SUMPRODUCT(--(LEN(TRIM($B$12:$B12))&gt;0),--(N$12:N12=TRUE()),--($C$12:$C12&lt;&gt;TRUE())),SUMPRODUCT(--(LEN(TRIM($B$12:$B12))&gt;0),--(N$12:N12=TRUE())))&lt;=MOD(N$46,MAX(1,N$48)),1,0),0)</f>
        <v>0</v>
      </c>
      <c r="P52" s="14" t="n">
        <f aca="false">IF(AND(P$47,P$48&gt;0,LEN(TRIM($B12))&gt;0,P12=TRUE(),IF(P$50,$C12&lt;&gt;TRUE(),TRUE())),QUOTIENT(P$46,MAX(1,P$48))+IF(IF(P$50,SUMPRODUCT(--(LEN(TRIM($B$12:$B12))&gt;0),--(P$12:P12=TRUE()),--($C$12:$C12&lt;&gt;TRUE())),SUMPRODUCT(--(LEN(TRIM($B$12:$B12))&gt;0),--(P$12:P12=TRUE())))&lt;=MOD(P$46,MAX(1,P$48)),1,0),0)</f>
        <v>0</v>
      </c>
    </row>
    <row r="53" customFormat="false" ht="15" hidden="true" customHeight="false" outlineLevel="0" collapsed="false">
      <c r="A53" s="13" t="s">
        <v>19</v>
      </c>
      <c r="D53" s="14" t="n">
        <f aca="false">IF(AND(D$47,D$48&gt;0,LEN(TRIM($B13))&gt;0,D13=TRUE(),IF(D$50,$C13&lt;&gt;TRUE(),TRUE())),QUOTIENT(D$46,MAX(1,D$48))+IF(IF(D$50,SUMPRODUCT(--(LEN(TRIM($B$12:$B13))&gt;0),--(D$12:D13=TRUE()),--($C$12:$C13&lt;&gt;TRUE())),SUMPRODUCT(--(LEN(TRIM($B$12:$B13))&gt;0),--(D$12:D13=TRUE())))&lt;=MOD(D$46,MAX(1,D$48)),1,0),0)</f>
        <v>0</v>
      </c>
      <c r="F53" s="14" t="n">
        <f aca="false">IF(AND(F$47,F$48&gt;0,LEN(TRIM($B13))&gt;0,F13=TRUE(),IF(F$50,$C13&lt;&gt;TRUE(),TRUE())),QUOTIENT(F$46,MAX(1,F$48))+IF(IF(F$50,SUMPRODUCT(--(LEN(TRIM($B$12:$B13))&gt;0),--(F$12:F13=TRUE()),--($C$12:$C13&lt;&gt;TRUE())),SUMPRODUCT(--(LEN(TRIM($B$12:$B13))&gt;0),--(F$12:F13=TRUE())))&lt;=MOD(F$46,MAX(1,F$48)),1,0),0)</f>
        <v>0</v>
      </c>
      <c r="H53" s="14" t="n">
        <f aca="false">IF(AND(H$47,H$48&gt;0,LEN(TRIM($B13))&gt;0,H13=TRUE(),IF(H$50,$C13&lt;&gt;TRUE(),TRUE())),QUOTIENT(H$46,MAX(1,H$48))+IF(IF(H$50,SUMPRODUCT(--(LEN(TRIM($B$12:$B13))&gt;0),--(H$12:H13=TRUE()),--($C$12:$C13&lt;&gt;TRUE())),SUMPRODUCT(--(LEN(TRIM($B$12:$B13))&gt;0),--(H$12:H13=TRUE())))&lt;=MOD(H$46,MAX(1,H$48)),1,0),0)</f>
        <v>0</v>
      </c>
      <c r="J53" s="14" t="n">
        <f aca="false">IF(AND(J$47,J$48&gt;0,LEN(TRIM($B13))&gt;0,J13=TRUE(),IF(J$50,$C13&lt;&gt;TRUE(),TRUE())),QUOTIENT(J$46,MAX(1,J$48))+IF(IF(J$50,SUMPRODUCT(--(LEN(TRIM($B$12:$B13))&gt;0),--(J$12:J13=TRUE()),--($C$12:$C13&lt;&gt;TRUE())),SUMPRODUCT(--(LEN(TRIM($B$12:$B13))&gt;0),--(J$12:J13=TRUE())))&lt;=MOD(J$46,MAX(1,J$48)),1,0),0)</f>
        <v>0</v>
      </c>
      <c r="L53" s="14" t="n">
        <f aca="false">IF(AND(L$47,L$48&gt;0,LEN(TRIM($B13))&gt;0,L13=TRUE(),IF(L$50,$C13&lt;&gt;TRUE(),TRUE())),QUOTIENT(L$46,MAX(1,L$48))+IF(IF(L$50,SUMPRODUCT(--(LEN(TRIM($B$12:$B13))&gt;0),--(L$12:L13=TRUE()),--($C$12:$C13&lt;&gt;TRUE())),SUMPRODUCT(--(LEN(TRIM($B$12:$B13))&gt;0),--(L$12:L13=TRUE())))&lt;=MOD(L$46,MAX(1,L$48)),1,0),0)</f>
        <v>0</v>
      </c>
      <c r="N53" s="14" t="n">
        <f aca="false">IF(AND(N$47,N$48&gt;0,LEN(TRIM($B13))&gt;0,N13=TRUE(),IF(N$50,$C13&lt;&gt;TRUE(),TRUE())),QUOTIENT(N$46,MAX(1,N$48))+IF(IF(N$50,SUMPRODUCT(--(LEN(TRIM($B$12:$B13))&gt;0),--(N$12:N13=TRUE()),--($C$12:$C13&lt;&gt;TRUE())),SUMPRODUCT(--(LEN(TRIM($B$12:$B13))&gt;0),--(N$12:N13=TRUE())))&lt;=MOD(N$46,MAX(1,N$48)),1,0),0)</f>
        <v>0</v>
      </c>
      <c r="P53" s="14" t="n">
        <f aca="false">IF(AND(P$47,P$48&gt;0,LEN(TRIM($B13))&gt;0,P13=TRUE(),IF(P$50,$C13&lt;&gt;TRUE(),TRUE())),QUOTIENT(P$46,MAX(1,P$48))+IF(IF(P$50,SUMPRODUCT(--(LEN(TRIM($B$12:$B13))&gt;0),--(P$12:P13=TRUE()),--($C$12:$C13&lt;&gt;TRUE())),SUMPRODUCT(--(LEN(TRIM($B$12:$B13))&gt;0),--(P$12:P13=TRUE())))&lt;=MOD(P$46,MAX(1,P$48)),1,0),0)</f>
        <v>0</v>
      </c>
    </row>
    <row r="54" customFormat="false" ht="15" hidden="true" customHeight="false" outlineLevel="0" collapsed="false">
      <c r="A54" s="13" t="s">
        <v>20</v>
      </c>
      <c r="D54" s="14" t="n">
        <f aca="false">IF(AND(D$47,D$48&gt;0,LEN(TRIM($B14))&gt;0,D14=TRUE(),IF(D$50,$C14&lt;&gt;TRUE(),TRUE())),QUOTIENT(D$46,MAX(1,D$48))+IF(IF(D$50,SUMPRODUCT(--(LEN(TRIM($B$12:$B14))&gt;0),--(D$12:D14=TRUE()),--($C$12:$C14&lt;&gt;TRUE())),SUMPRODUCT(--(LEN(TRIM($B$12:$B14))&gt;0),--(D$12:D14=TRUE())))&lt;=MOD(D$46,MAX(1,D$48)),1,0),0)</f>
        <v>0</v>
      </c>
      <c r="F54" s="14" t="n">
        <f aca="false">IF(AND(F$47,F$48&gt;0,LEN(TRIM($B14))&gt;0,F14=TRUE(),IF(F$50,$C14&lt;&gt;TRUE(),TRUE())),QUOTIENT(F$46,MAX(1,F$48))+IF(IF(F$50,SUMPRODUCT(--(LEN(TRIM($B$12:$B14))&gt;0),--(F$12:F14=TRUE()),--($C$12:$C14&lt;&gt;TRUE())),SUMPRODUCT(--(LEN(TRIM($B$12:$B14))&gt;0),--(F$12:F14=TRUE())))&lt;=MOD(F$46,MAX(1,F$48)),1,0),0)</f>
        <v>0</v>
      </c>
      <c r="H54" s="14" t="n">
        <f aca="false">IF(AND(H$47,H$48&gt;0,LEN(TRIM($B14))&gt;0,H14=TRUE(),IF(H$50,$C14&lt;&gt;TRUE(),TRUE())),QUOTIENT(H$46,MAX(1,H$48))+IF(IF(H$50,SUMPRODUCT(--(LEN(TRIM($B$12:$B14))&gt;0),--(H$12:H14=TRUE()),--($C$12:$C14&lt;&gt;TRUE())),SUMPRODUCT(--(LEN(TRIM($B$12:$B14))&gt;0),--(H$12:H14=TRUE())))&lt;=MOD(H$46,MAX(1,H$48)),1,0),0)</f>
        <v>0</v>
      </c>
      <c r="J54" s="14" t="n">
        <f aca="false">IF(AND(J$47,J$48&gt;0,LEN(TRIM($B14))&gt;0,J14=TRUE(),IF(J$50,$C14&lt;&gt;TRUE(),TRUE())),QUOTIENT(J$46,MAX(1,J$48))+IF(IF(J$50,SUMPRODUCT(--(LEN(TRIM($B$12:$B14))&gt;0),--(J$12:J14=TRUE()),--($C$12:$C14&lt;&gt;TRUE())),SUMPRODUCT(--(LEN(TRIM($B$12:$B14))&gt;0),--(J$12:J14=TRUE())))&lt;=MOD(J$46,MAX(1,J$48)),1,0),0)</f>
        <v>0</v>
      </c>
      <c r="L54" s="14" t="n">
        <f aca="false">IF(AND(L$47,L$48&gt;0,LEN(TRIM($B14))&gt;0,L14=TRUE(),IF(L$50,$C14&lt;&gt;TRUE(),TRUE())),QUOTIENT(L$46,MAX(1,L$48))+IF(IF(L$50,SUMPRODUCT(--(LEN(TRIM($B$12:$B14))&gt;0),--(L$12:L14=TRUE()),--($C$12:$C14&lt;&gt;TRUE())),SUMPRODUCT(--(LEN(TRIM($B$12:$B14))&gt;0),--(L$12:L14=TRUE())))&lt;=MOD(L$46,MAX(1,L$48)),1,0),0)</f>
        <v>0</v>
      </c>
      <c r="N54" s="14" t="n">
        <f aca="false">IF(AND(N$47,N$48&gt;0,LEN(TRIM($B14))&gt;0,N14=TRUE(),IF(N$50,$C14&lt;&gt;TRUE(),TRUE())),QUOTIENT(N$46,MAX(1,N$48))+IF(IF(N$50,SUMPRODUCT(--(LEN(TRIM($B$12:$B14))&gt;0),--(N$12:N14=TRUE()),--($C$12:$C14&lt;&gt;TRUE())),SUMPRODUCT(--(LEN(TRIM($B$12:$B14))&gt;0),--(N$12:N14=TRUE())))&lt;=MOD(N$46,MAX(1,N$48)),1,0),0)</f>
        <v>0</v>
      </c>
      <c r="P54" s="14" t="n">
        <f aca="false">IF(AND(P$47,P$48&gt;0,LEN(TRIM($B14))&gt;0,P14=TRUE(),IF(P$50,$C14&lt;&gt;TRUE(),TRUE())),QUOTIENT(P$46,MAX(1,P$48))+IF(IF(P$50,SUMPRODUCT(--(LEN(TRIM($B$12:$B14))&gt;0),--(P$12:P14=TRUE()),--($C$12:$C14&lt;&gt;TRUE())),SUMPRODUCT(--(LEN(TRIM($B$12:$B14))&gt;0),--(P$12:P14=TRUE())))&lt;=MOD(P$46,MAX(1,P$48)),1,0),0)</f>
        <v>0</v>
      </c>
    </row>
    <row r="55" customFormat="false" ht="15" hidden="true" customHeight="false" outlineLevel="0" collapsed="false">
      <c r="A55" s="13" t="s">
        <v>21</v>
      </c>
      <c r="D55" s="14" t="n">
        <f aca="false">IF(AND(D$47,D$48&gt;0,LEN(TRIM($B15))&gt;0,D15=TRUE(),IF(D$50,$C15&lt;&gt;TRUE(),TRUE())),QUOTIENT(D$46,MAX(1,D$48))+IF(IF(D$50,SUMPRODUCT(--(LEN(TRIM($B$12:$B15))&gt;0),--(D$12:D15=TRUE()),--($C$12:$C15&lt;&gt;TRUE())),SUMPRODUCT(--(LEN(TRIM($B$12:$B15))&gt;0),--(D$12:D15=TRUE())))&lt;=MOD(D$46,MAX(1,D$48)),1,0),0)</f>
        <v>0</v>
      </c>
      <c r="F55" s="14" t="n">
        <f aca="false">IF(AND(F$47,F$48&gt;0,LEN(TRIM($B15))&gt;0,F15=TRUE(),IF(F$50,$C15&lt;&gt;TRUE(),TRUE())),QUOTIENT(F$46,MAX(1,F$48))+IF(IF(F$50,SUMPRODUCT(--(LEN(TRIM($B$12:$B15))&gt;0),--(F$12:F15=TRUE()),--($C$12:$C15&lt;&gt;TRUE())),SUMPRODUCT(--(LEN(TRIM($B$12:$B15))&gt;0),--(F$12:F15=TRUE())))&lt;=MOD(F$46,MAX(1,F$48)),1,0),0)</f>
        <v>0</v>
      </c>
      <c r="H55" s="14" t="n">
        <f aca="false">IF(AND(H$47,H$48&gt;0,LEN(TRIM($B15))&gt;0,H15=TRUE(),IF(H$50,$C15&lt;&gt;TRUE(),TRUE())),QUOTIENT(H$46,MAX(1,H$48))+IF(IF(H$50,SUMPRODUCT(--(LEN(TRIM($B$12:$B15))&gt;0),--(H$12:H15=TRUE()),--($C$12:$C15&lt;&gt;TRUE())),SUMPRODUCT(--(LEN(TRIM($B$12:$B15))&gt;0),--(H$12:H15=TRUE())))&lt;=MOD(H$46,MAX(1,H$48)),1,0),0)</f>
        <v>0</v>
      </c>
      <c r="J55" s="14" t="n">
        <f aca="false">IF(AND(J$47,J$48&gt;0,LEN(TRIM($B15))&gt;0,J15=TRUE(),IF(J$50,$C15&lt;&gt;TRUE(),TRUE())),QUOTIENT(J$46,MAX(1,J$48))+IF(IF(J$50,SUMPRODUCT(--(LEN(TRIM($B$12:$B15))&gt;0),--(J$12:J15=TRUE()),--($C$12:$C15&lt;&gt;TRUE())),SUMPRODUCT(--(LEN(TRIM($B$12:$B15))&gt;0),--(J$12:J15=TRUE())))&lt;=MOD(J$46,MAX(1,J$48)),1,0),0)</f>
        <v>0</v>
      </c>
      <c r="L55" s="14" t="n">
        <f aca="false">IF(AND(L$47,L$48&gt;0,LEN(TRIM($B15))&gt;0,L15=TRUE(),IF(L$50,$C15&lt;&gt;TRUE(),TRUE())),QUOTIENT(L$46,MAX(1,L$48))+IF(IF(L$50,SUMPRODUCT(--(LEN(TRIM($B$12:$B15))&gt;0),--(L$12:L15=TRUE()),--($C$12:$C15&lt;&gt;TRUE())),SUMPRODUCT(--(LEN(TRIM($B$12:$B15))&gt;0),--(L$12:L15=TRUE())))&lt;=MOD(L$46,MAX(1,L$48)),1,0),0)</f>
        <v>0</v>
      </c>
      <c r="N55" s="14" t="n">
        <f aca="false">IF(AND(N$47,N$48&gt;0,LEN(TRIM($B15))&gt;0,N15=TRUE(),IF(N$50,$C15&lt;&gt;TRUE(),TRUE())),QUOTIENT(N$46,MAX(1,N$48))+IF(IF(N$50,SUMPRODUCT(--(LEN(TRIM($B$12:$B15))&gt;0),--(N$12:N15=TRUE()),--($C$12:$C15&lt;&gt;TRUE())),SUMPRODUCT(--(LEN(TRIM($B$12:$B15))&gt;0),--(N$12:N15=TRUE())))&lt;=MOD(N$46,MAX(1,N$48)),1,0),0)</f>
        <v>0</v>
      </c>
      <c r="P55" s="14" t="n">
        <f aca="false">IF(AND(P$47,P$48&gt;0,LEN(TRIM($B15))&gt;0,P15=TRUE(),IF(P$50,$C15&lt;&gt;TRUE(),TRUE())),QUOTIENT(P$46,MAX(1,P$48))+IF(IF(P$50,SUMPRODUCT(--(LEN(TRIM($B$12:$B15))&gt;0),--(P$12:P15=TRUE()),--($C$12:$C15&lt;&gt;TRUE())),SUMPRODUCT(--(LEN(TRIM($B$12:$B15))&gt;0),--(P$12:P15=TRUE())))&lt;=MOD(P$46,MAX(1,P$48)),1,0),0)</f>
        <v>0</v>
      </c>
    </row>
    <row r="56" customFormat="false" ht="15" hidden="true" customHeight="false" outlineLevel="0" collapsed="false">
      <c r="A56" s="13" t="s">
        <v>22</v>
      </c>
      <c r="D56" s="14" t="n">
        <f aca="false">IF(AND(D$47,D$48&gt;0,LEN(TRIM($B16))&gt;0,D16=TRUE(),IF(D$50,$C16&lt;&gt;TRUE(),TRUE())),QUOTIENT(D$46,MAX(1,D$48))+IF(IF(D$50,SUMPRODUCT(--(LEN(TRIM($B$12:$B16))&gt;0),--(D$12:D16=TRUE()),--($C$12:$C16&lt;&gt;TRUE())),SUMPRODUCT(--(LEN(TRIM($B$12:$B16))&gt;0),--(D$12:D16=TRUE())))&lt;=MOD(D$46,MAX(1,D$48)),1,0),0)</f>
        <v>0</v>
      </c>
      <c r="F56" s="14" t="n">
        <f aca="false">IF(AND(F$47,F$48&gt;0,LEN(TRIM($B16))&gt;0,F16=TRUE(),IF(F$50,$C16&lt;&gt;TRUE(),TRUE())),QUOTIENT(F$46,MAX(1,F$48))+IF(IF(F$50,SUMPRODUCT(--(LEN(TRIM($B$12:$B16))&gt;0),--(F$12:F16=TRUE()),--($C$12:$C16&lt;&gt;TRUE())),SUMPRODUCT(--(LEN(TRIM($B$12:$B16))&gt;0),--(F$12:F16=TRUE())))&lt;=MOD(F$46,MAX(1,F$48)),1,0),0)</f>
        <v>0</v>
      </c>
      <c r="H56" s="14" t="n">
        <f aca="false">IF(AND(H$47,H$48&gt;0,LEN(TRIM($B16))&gt;0,H16=TRUE(),IF(H$50,$C16&lt;&gt;TRUE(),TRUE())),QUOTIENT(H$46,MAX(1,H$48))+IF(IF(H$50,SUMPRODUCT(--(LEN(TRIM($B$12:$B16))&gt;0),--(H$12:H16=TRUE()),--($C$12:$C16&lt;&gt;TRUE())),SUMPRODUCT(--(LEN(TRIM($B$12:$B16))&gt;0),--(H$12:H16=TRUE())))&lt;=MOD(H$46,MAX(1,H$48)),1,0),0)</f>
        <v>0</v>
      </c>
      <c r="J56" s="14" t="n">
        <f aca="false">IF(AND(J$47,J$48&gt;0,LEN(TRIM($B16))&gt;0,J16=TRUE(),IF(J$50,$C16&lt;&gt;TRUE(),TRUE())),QUOTIENT(J$46,MAX(1,J$48))+IF(IF(J$50,SUMPRODUCT(--(LEN(TRIM($B$12:$B16))&gt;0),--(J$12:J16=TRUE()),--($C$12:$C16&lt;&gt;TRUE())),SUMPRODUCT(--(LEN(TRIM($B$12:$B16))&gt;0),--(J$12:J16=TRUE())))&lt;=MOD(J$46,MAX(1,J$48)),1,0),0)</f>
        <v>0</v>
      </c>
      <c r="L56" s="14" t="n">
        <f aca="false">IF(AND(L$47,L$48&gt;0,LEN(TRIM($B16))&gt;0,L16=TRUE(),IF(L$50,$C16&lt;&gt;TRUE(),TRUE())),QUOTIENT(L$46,MAX(1,L$48))+IF(IF(L$50,SUMPRODUCT(--(LEN(TRIM($B$12:$B16))&gt;0),--(L$12:L16=TRUE()),--($C$12:$C16&lt;&gt;TRUE())),SUMPRODUCT(--(LEN(TRIM($B$12:$B16))&gt;0),--(L$12:L16=TRUE())))&lt;=MOD(L$46,MAX(1,L$48)),1,0),0)</f>
        <v>0</v>
      </c>
      <c r="N56" s="14" t="n">
        <f aca="false">IF(AND(N$47,N$48&gt;0,LEN(TRIM($B16))&gt;0,N16=TRUE(),IF(N$50,$C16&lt;&gt;TRUE(),TRUE())),QUOTIENT(N$46,MAX(1,N$48))+IF(IF(N$50,SUMPRODUCT(--(LEN(TRIM($B$12:$B16))&gt;0),--(N$12:N16=TRUE()),--($C$12:$C16&lt;&gt;TRUE())),SUMPRODUCT(--(LEN(TRIM($B$12:$B16))&gt;0),--(N$12:N16=TRUE())))&lt;=MOD(N$46,MAX(1,N$48)),1,0),0)</f>
        <v>0</v>
      </c>
      <c r="P56" s="14" t="n">
        <f aca="false">IF(AND(P$47,P$48&gt;0,LEN(TRIM($B16))&gt;0,P16=TRUE(),IF(P$50,$C16&lt;&gt;TRUE(),TRUE())),QUOTIENT(P$46,MAX(1,P$48))+IF(IF(P$50,SUMPRODUCT(--(LEN(TRIM($B$12:$B16))&gt;0),--(P$12:P16=TRUE()),--($C$12:$C16&lt;&gt;TRUE())),SUMPRODUCT(--(LEN(TRIM($B$12:$B16))&gt;0),--(P$12:P16=TRUE())))&lt;=MOD(P$46,MAX(1,P$48)),1,0),0)</f>
        <v>0</v>
      </c>
    </row>
    <row r="57" customFormat="false" ht="15" hidden="true" customHeight="false" outlineLevel="0" collapsed="false">
      <c r="A57" s="13" t="s">
        <v>23</v>
      </c>
      <c r="D57" s="14" t="n">
        <f aca="false">IF(AND(D$47,D$48&gt;0,LEN(TRIM($B17))&gt;0,D17=TRUE(),IF(D$50,$C17&lt;&gt;TRUE(),TRUE())),QUOTIENT(D$46,MAX(1,D$48))+IF(IF(D$50,SUMPRODUCT(--(LEN(TRIM($B$12:$B17))&gt;0),--(D$12:D17=TRUE()),--($C$12:$C17&lt;&gt;TRUE())),SUMPRODUCT(--(LEN(TRIM($B$12:$B17))&gt;0),--(D$12:D17=TRUE())))&lt;=MOD(D$46,MAX(1,D$48)),1,0),0)</f>
        <v>0</v>
      </c>
      <c r="F57" s="14" t="n">
        <f aca="false">IF(AND(F$47,F$48&gt;0,LEN(TRIM($B17))&gt;0,F17=TRUE(),IF(F$50,$C17&lt;&gt;TRUE(),TRUE())),QUOTIENT(F$46,MAX(1,F$48))+IF(IF(F$50,SUMPRODUCT(--(LEN(TRIM($B$12:$B17))&gt;0),--(F$12:F17=TRUE()),--($C$12:$C17&lt;&gt;TRUE())),SUMPRODUCT(--(LEN(TRIM($B$12:$B17))&gt;0),--(F$12:F17=TRUE())))&lt;=MOD(F$46,MAX(1,F$48)),1,0),0)</f>
        <v>0</v>
      </c>
      <c r="H57" s="14" t="n">
        <f aca="false">IF(AND(H$47,H$48&gt;0,LEN(TRIM($B17))&gt;0,H17=TRUE(),IF(H$50,$C17&lt;&gt;TRUE(),TRUE())),QUOTIENT(H$46,MAX(1,H$48))+IF(IF(H$50,SUMPRODUCT(--(LEN(TRIM($B$12:$B17))&gt;0),--(H$12:H17=TRUE()),--($C$12:$C17&lt;&gt;TRUE())),SUMPRODUCT(--(LEN(TRIM($B$12:$B17))&gt;0),--(H$12:H17=TRUE())))&lt;=MOD(H$46,MAX(1,H$48)),1,0),0)</f>
        <v>0</v>
      </c>
      <c r="J57" s="14" t="n">
        <f aca="false">IF(AND(J$47,J$48&gt;0,LEN(TRIM($B17))&gt;0,J17=TRUE(),IF(J$50,$C17&lt;&gt;TRUE(),TRUE())),QUOTIENT(J$46,MAX(1,J$48))+IF(IF(J$50,SUMPRODUCT(--(LEN(TRIM($B$12:$B17))&gt;0),--(J$12:J17=TRUE()),--($C$12:$C17&lt;&gt;TRUE())),SUMPRODUCT(--(LEN(TRIM($B$12:$B17))&gt;0),--(J$12:J17=TRUE())))&lt;=MOD(J$46,MAX(1,J$48)),1,0),0)</f>
        <v>0</v>
      </c>
      <c r="L57" s="14" t="n">
        <f aca="false">IF(AND(L$47,L$48&gt;0,LEN(TRIM($B17))&gt;0,L17=TRUE(),IF(L$50,$C17&lt;&gt;TRUE(),TRUE())),QUOTIENT(L$46,MAX(1,L$48))+IF(IF(L$50,SUMPRODUCT(--(LEN(TRIM($B$12:$B17))&gt;0),--(L$12:L17=TRUE()),--($C$12:$C17&lt;&gt;TRUE())),SUMPRODUCT(--(LEN(TRIM($B$12:$B17))&gt;0),--(L$12:L17=TRUE())))&lt;=MOD(L$46,MAX(1,L$48)),1,0),0)</f>
        <v>0</v>
      </c>
      <c r="N57" s="14" t="n">
        <f aca="false">IF(AND(N$47,N$48&gt;0,LEN(TRIM($B17))&gt;0,N17=TRUE(),IF(N$50,$C17&lt;&gt;TRUE(),TRUE())),QUOTIENT(N$46,MAX(1,N$48))+IF(IF(N$50,SUMPRODUCT(--(LEN(TRIM($B$12:$B17))&gt;0),--(N$12:N17=TRUE()),--($C$12:$C17&lt;&gt;TRUE())),SUMPRODUCT(--(LEN(TRIM($B$12:$B17))&gt;0),--(N$12:N17=TRUE())))&lt;=MOD(N$46,MAX(1,N$48)),1,0),0)</f>
        <v>0</v>
      </c>
      <c r="P57" s="14" t="n">
        <f aca="false">IF(AND(P$47,P$48&gt;0,LEN(TRIM($B17))&gt;0,P17=TRUE(),IF(P$50,$C17&lt;&gt;TRUE(),TRUE())),QUOTIENT(P$46,MAX(1,P$48))+IF(IF(P$50,SUMPRODUCT(--(LEN(TRIM($B$12:$B17))&gt;0),--(P$12:P17=TRUE()),--($C$12:$C17&lt;&gt;TRUE())),SUMPRODUCT(--(LEN(TRIM($B$12:$B17))&gt;0),--(P$12:P17=TRUE())))&lt;=MOD(P$46,MAX(1,P$48)),1,0),0)</f>
        <v>0</v>
      </c>
    </row>
    <row r="58" customFormat="false" ht="15" hidden="true" customHeight="false" outlineLevel="0" collapsed="false">
      <c r="A58" s="13" t="s">
        <v>24</v>
      </c>
      <c r="D58" s="14" t="n">
        <f aca="false">IF(AND(D$47,D$48&gt;0,LEN(TRIM($B18))&gt;0,D18=TRUE(),IF(D$50,$C18&lt;&gt;TRUE(),TRUE())),QUOTIENT(D$46,MAX(1,D$48))+IF(IF(D$50,SUMPRODUCT(--(LEN(TRIM($B$12:$B18))&gt;0),--(D$12:D18=TRUE()),--($C$12:$C18&lt;&gt;TRUE())),SUMPRODUCT(--(LEN(TRIM($B$12:$B18))&gt;0),--(D$12:D18=TRUE())))&lt;=MOD(D$46,MAX(1,D$48)),1,0),0)</f>
        <v>0</v>
      </c>
      <c r="F58" s="14" t="n">
        <f aca="false">IF(AND(F$47,F$48&gt;0,LEN(TRIM($B18))&gt;0,F18=TRUE(),IF(F$50,$C18&lt;&gt;TRUE(),TRUE())),QUOTIENT(F$46,MAX(1,F$48))+IF(IF(F$50,SUMPRODUCT(--(LEN(TRIM($B$12:$B18))&gt;0),--(F$12:F18=TRUE()),--($C$12:$C18&lt;&gt;TRUE())),SUMPRODUCT(--(LEN(TRIM($B$12:$B18))&gt;0),--(F$12:F18=TRUE())))&lt;=MOD(F$46,MAX(1,F$48)),1,0),0)</f>
        <v>0</v>
      </c>
      <c r="H58" s="14" t="n">
        <f aca="false">IF(AND(H$47,H$48&gt;0,LEN(TRIM($B18))&gt;0,H18=TRUE(),IF(H$50,$C18&lt;&gt;TRUE(),TRUE())),QUOTIENT(H$46,MAX(1,H$48))+IF(IF(H$50,SUMPRODUCT(--(LEN(TRIM($B$12:$B18))&gt;0),--(H$12:H18=TRUE()),--($C$12:$C18&lt;&gt;TRUE())),SUMPRODUCT(--(LEN(TRIM($B$12:$B18))&gt;0),--(H$12:H18=TRUE())))&lt;=MOD(H$46,MAX(1,H$48)),1,0),0)</f>
        <v>0</v>
      </c>
      <c r="J58" s="14" t="n">
        <f aca="false">IF(AND(J$47,J$48&gt;0,LEN(TRIM($B18))&gt;0,J18=TRUE(),IF(J$50,$C18&lt;&gt;TRUE(),TRUE())),QUOTIENT(J$46,MAX(1,J$48))+IF(IF(J$50,SUMPRODUCT(--(LEN(TRIM($B$12:$B18))&gt;0),--(J$12:J18=TRUE()),--($C$12:$C18&lt;&gt;TRUE())),SUMPRODUCT(--(LEN(TRIM($B$12:$B18))&gt;0),--(J$12:J18=TRUE())))&lt;=MOD(J$46,MAX(1,J$48)),1,0),0)</f>
        <v>0</v>
      </c>
      <c r="L58" s="14" t="n">
        <f aca="false">IF(AND(L$47,L$48&gt;0,LEN(TRIM($B18))&gt;0,L18=TRUE(),IF(L$50,$C18&lt;&gt;TRUE(),TRUE())),QUOTIENT(L$46,MAX(1,L$48))+IF(IF(L$50,SUMPRODUCT(--(LEN(TRIM($B$12:$B18))&gt;0),--(L$12:L18=TRUE()),--($C$12:$C18&lt;&gt;TRUE())),SUMPRODUCT(--(LEN(TRIM($B$12:$B18))&gt;0),--(L$12:L18=TRUE())))&lt;=MOD(L$46,MAX(1,L$48)),1,0),0)</f>
        <v>0</v>
      </c>
      <c r="N58" s="14" t="n">
        <f aca="false">IF(AND(N$47,N$48&gt;0,LEN(TRIM($B18))&gt;0,N18=TRUE(),IF(N$50,$C18&lt;&gt;TRUE(),TRUE())),QUOTIENT(N$46,MAX(1,N$48))+IF(IF(N$50,SUMPRODUCT(--(LEN(TRIM($B$12:$B18))&gt;0),--(N$12:N18=TRUE()),--($C$12:$C18&lt;&gt;TRUE())),SUMPRODUCT(--(LEN(TRIM($B$12:$B18))&gt;0),--(N$12:N18=TRUE())))&lt;=MOD(N$46,MAX(1,N$48)),1,0),0)</f>
        <v>0</v>
      </c>
      <c r="P58" s="14" t="n">
        <f aca="false">IF(AND(P$47,P$48&gt;0,LEN(TRIM($B18))&gt;0,P18=TRUE(),IF(P$50,$C18&lt;&gt;TRUE(),TRUE())),QUOTIENT(P$46,MAX(1,P$48))+IF(IF(P$50,SUMPRODUCT(--(LEN(TRIM($B$12:$B18))&gt;0),--(P$12:P18=TRUE()),--($C$12:$C18&lt;&gt;TRUE())),SUMPRODUCT(--(LEN(TRIM($B$12:$B18))&gt;0),--(P$12:P18=TRUE())))&lt;=MOD(P$46,MAX(1,P$48)),1,0),0)</f>
        <v>0</v>
      </c>
    </row>
    <row r="59" customFormat="false" ht="15" hidden="true" customHeight="false" outlineLevel="0" collapsed="false">
      <c r="A59" s="13" t="s">
        <v>25</v>
      </c>
      <c r="D59" s="14" t="n">
        <f aca="false">IF(AND(D$47,D$48&gt;0,LEN(TRIM($B19))&gt;0,D19=TRUE(),IF(D$50,$C19&lt;&gt;TRUE(),TRUE())),QUOTIENT(D$46,MAX(1,D$48))+IF(IF(D$50,SUMPRODUCT(--(LEN(TRIM($B$12:$B19))&gt;0),--(D$12:D19=TRUE()),--($C$12:$C19&lt;&gt;TRUE())),SUMPRODUCT(--(LEN(TRIM($B$12:$B19))&gt;0),--(D$12:D19=TRUE())))&lt;=MOD(D$46,MAX(1,D$48)),1,0),0)</f>
        <v>0</v>
      </c>
      <c r="F59" s="14" t="n">
        <f aca="false">IF(AND(F$47,F$48&gt;0,LEN(TRIM($B19))&gt;0,F19=TRUE(),IF(F$50,$C19&lt;&gt;TRUE(),TRUE())),QUOTIENT(F$46,MAX(1,F$48))+IF(IF(F$50,SUMPRODUCT(--(LEN(TRIM($B$12:$B19))&gt;0),--(F$12:F19=TRUE()),--($C$12:$C19&lt;&gt;TRUE())),SUMPRODUCT(--(LEN(TRIM($B$12:$B19))&gt;0),--(F$12:F19=TRUE())))&lt;=MOD(F$46,MAX(1,F$48)),1,0),0)</f>
        <v>0</v>
      </c>
      <c r="H59" s="14" t="n">
        <f aca="false">IF(AND(H$47,H$48&gt;0,LEN(TRIM($B19))&gt;0,H19=TRUE(),IF(H$50,$C19&lt;&gt;TRUE(),TRUE())),QUOTIENT(H$46,MAX(1,H$48))+IF(IF(H$50,SUMPRODUCT(--(LEN(TRIM($B$12:$B19))&gt;0),--(H$12:H19=TRUE()),--($C$12:$C19&lt;&gt;TRUE())),SUMPRODUCT(--(LEN(TRIM($B$12:$B19))&gt;0),--(H$12:H19=TRUE())))&lt;=MOD(H$46,MAX(1,H$48)),1,0),0)</f>
        <v>0</v>
      </c>
      <c r="J59" s="14" t="n">
        <f aca="false">IF(AND(J$47,J$48&gt;0,LEN(TRIM($B19))&gt;0,J19=TRUE(),IF(J$50,$C19&lt;&gt;TRUE(),TRUE())),QUOTIENT(J$46,MAX(1,J$48))+IF(IF(J$50,SUMPRODUCT(--(LEN(TRIM($B$12:$B19))&gt;0),--(J$12:J19=TRUE()),--($C$12:$C19&lt;&gt;TRUE())),SUMPRODUCT(--(LEN(TRIM($B$12:$B19))&gt;0),--(J$12:J19=TRUE())))&lt;=MOD(J$46,MAX(1,J$48)),1,0),0)</f>
        <v>0</v>
      </c>
      <c r="L59" s="14" t="n">
        <f aca="false">IF(AND(L$47,L$48&gt;0,LEN(TRIM($B19))&gt;0,L19=TRUE(),IF(L$50,$C19&lt;&gt;TRUE(),TRUE())),QUOTIENT(L$46,MAX(1,L$48))+IF(IF(L$50,SUMPRODUCT(--(LEN(TRIM($B$12:$B19))&gt;0),--(L$12:L19=TRUE()),--($C$12:$C19&lt;&gt;TRUE())),SUMPRODUCT(--(LEN(TRIM($B$12:$B19))&gt;0),--(L$12:L19=TRUE())))&lt;=MOD(L$46,MAX(1,L$48)),1,0),0)</f>
        <v>0</v>
      </c>
      <c r="N59" s="14" t="n">
        <f aca="false">IF(AND(N$47,N$48&gt;0,LEN(TRIM($B19))&gt;0,N19=TRUE(),IF(N$50,$C19&lt;&gt;TRUE(),TRUE())),QUOTIENT(N$46,MAX(1,N$48))+IF(IF(N$50,SUMPRODUCT(--(LEN(TRIM($B$12:$B19))&gt;0),--(N$12:N19=TRUE()),--($C$12:$C19&lt;&gt;TRUE())),SUMPRODUCT(--(LEN(TRIM($B$12:$B19))&gt;0),--(N$12:N19=TRUE())))&lt;=MOD(N$46,MAX(1,N$48)),1,0),0)</f>
        <v>0</v>
      </c>
      <c r="P59" s="14" t="n">
        <f aca="false">IF(AND(P$47,P$48&gt;0,LEN(TRIM($B19))&gt;0,P19=TRUE(),IF(P$50,$C19&lt;&gt;TRUE(),TRUE())),QUOTIENT(P$46,MAX(1,P$48))+IF(IF(P$50,SUMPRODUCT(--(LEN(TRIM($B$12:$B19))&gt;0),--(P$12:P19=TRUE()),--($C$12:$C19&lt;&gt;TRUE())),SUMPRODUCT(--(LEN(TRIM($B$12:$B19))&gt;0),--(P$12:P19=TRUE())))&lt;=MOD(P$46,MAX(1,P$48)),1,0),0)</f>
        <v>0</v>
      </c>
    </row>
    <row r="60" customFormat="false" ht="15" hidden="true" customHeight="false" outlineLevel="0" collapsed="false">
      <c r="A60" s="13" t="s">
        <v>26</v>
      </c>
      <c r="D60" s="14" t="n">
        <f aca="false">IF(AND(D$47,D$48&gt;0,LEN(TRIM($B20))&gt;0,D20=TRUE(),IF(D$50,$C20&lt;&gt;TRUE(),TRUE())),QUOTIENT(D$46,MAX(1,D$48))+IF(IF(D$50,SUMPRODUCT(--(LEN(TRIM($B$12:$B20))&gt;0),--(D$12:D20=TRUE()),--($C$12:$C20&lt;&gt;TRUE())),SUMPRODUCT(--(LEN(TRIM($B$12:$B20))&gt;0),--(D$12:D20=TRUE())))&lt;=MOD(D$46,MAX(1,D$48)),1,0),0)</f>
        <v>0</v>
      </c>
      <c r="F60" s="14" t="n">
        <f aca="false">IF(AND(F$47,F$48&gt;0,LEN(TRIM($B20))&gt;0,F20=TRUE(),IF(F$50,$C20&lt;&gt;TRUE(),TRUE())),QUOTIENT(F$46,MAX(1,F$48))+IF(IF(F$50,SUMPRODUCT(--(LEN(TRIM($B$12:$B20))&gt;0),--(F$12:F20=TRUE()),--($C$12:$C20&lt;&gt;TRUE())),SUMPRODUCT(--(LEN(TRIM($B$12:$B20))&gt;0),--(F$12:F20=TRUE())))&lt;=MOD(F$46,MAX(1,F$48)),1,0),0)</f>
        <v>0</v>
      </c>
      <c r="H60" s="14" t="n">
        <f aca="false">IF(AND(H$47,H$48&gt;0,LEN(TRIM($B20))&gt;0,H20=TRUE(),IF(H$50,$C20&lt;&gt;TRUE(),TRUE())),QUOTIENT(H$46,MAX(1,H$48))+IF(IF(H$50,SUMPRODUCT(--(LEN(TRIM($B$12:$B20))&gt;0),--(H$12:H20=TRUE()),--($C$12:$C20&lt;&gt;TRUE())),SUMPRODUCT(--(LEN(TRIM($B$12:$B20))&gt;0),--(H$12:H20=TRUE())))&lt;=MOD(H$46,MAX(1,H$48)),1,0),0)</f>
        <v>0</v>
      </c>
      <c r="J60" s="14" t="n">
        <f aca="false">IF(AND(J$47,J$48&gt;0,LEN(TRIM($B20))&gt;0,J20=TRUE(),IF(J$50,$C20&lt;&gt;TRUE(),TRUE())),QUOTIENT(J$46,MAX(1,J$48))+IF(IF(J$50,SUMPRODUCT(--(LEN(TRIM($B$12:$B20))&gt;0),--(J$12:J20=TRUE()),--($C$12:$C20&lt;&gt;TRUE())),SUMPRODUCT(--(LEN(TRIM($B$12:$B20))&gt;0),--(J$12:J20=TRUE())))&lt;=MOD(J$46,MAX(1,J$48)),1,0),0)</f>
        <v>0</v>
      </c>
      <c r="L60" s="14" t="n">
        <f aca="false">IF(AND(L$47,L$48&gt;0,LEN(TRIM($B20))&gt;0,L20=TRUE(),IF(L$50,$C20&lt;&gt;TRUE(),TRUE())),QUOTIENT(L$46,MAX(1,L$48))+IF(IF(L$50,SUMPRODUCT(--(LEN(TRIM($B$12:$B20))&gt;0),--(L$12:L20=TRUE()),--($C$12:$C20&lt;&gt;TRUE())),SUMPRODUCT(--(LEN(TRIM($B$12:$B20))&gt;0),--(L$12:L20=TRUE())))&lt;=MOD(L$46,MAX(1,L$48)),1,0),0)</f>
        <v>0</v>
      </c>
      <c r="N60" s="14" t="n">
        <f aca="false">IF(AND(N$47,N$48&gt;0,LEN(TRIM($B20))&gt;0,N20=TRUE(),IF(N$50,$C20&lt;&gt;TRUE(),TRUE())),QUOTIENT(N$46,MAX(1,N$48))+IF(IF(N$50,SUMPRODUCT(--(LEN(TRIM($B$12:$B20))&gt;0),--(N$12:N20=TRUE()),--($C$12:$C20&lt;&gt;TRUE())),SUMPRODUCT(--(LEN(TRIM($B$12:$B20))&gt;0),--(N$12:N20=TRUE())))&lt;=MOD(N$46,MAX(1,N$48)),1,0),0)</f>
        <v>0</v>
      </c>
      <c r="P60" s="14" t="n">
        <f aca="false">IF(AND(P$47,P$48&gt;0,LEN(TRIM($B20))&gt;0,P20=TRUE(),IF(P$50,$C20&lt;&gt;TRUE(),TRUE())),QUOTIENT(P$46,MAX(1,P$48))+IF(IF(P$50,SUMPRODUCT(--(LEN(TRIM($B$12:$B20))&gt;0),--(P$12:P20=TRUE()),--($C$12:$C20&lt;&gt;TRUE())),SUMPRODUCT(--(LEN(TRIM($B$12:$B20))&gt;0),--(P$12:P20=TRUE())))&lt;=MOD(P$46,MAX(1,P$48)),1,0),0)</f>
        <v>0</v>
      </c>
    </row>
    <row r="61" customFormat="false" ht="15" hidden="true" customHeight="false" outlineLevel="0" collapsed="false">
      <c r="A61" s="13" t="s">
        <v>27</v>
      </c>
      <c r="D61" s="14" t="n">
        <f aca="false">IF(AND(D$47,D$48&gt;0,LEN(TRIM($B21))&gt;0,D21=TRUE(),IF(D$50,$C21&lt;&gt;TRUE(),TRUE())),QUOTIENT(D$46,MAX(1,D$48))+IF(IF(D$50,SUMPRODUCT(--(LEN(TRIM($B$12:$B21))&gt;0),--(D$12:D21=TRUE()),--($C$12:$C21&lt;&gt;TRUE())),SUMPRODUCT(--(LEN(TRIM($B$12:$B21))&gt;0),--(D$12:D21=TRUE())))&lt;=MOD(D$46,MAX(1,D$48)),1,0),0)</f>
        <v>0</v>
      </c>
      <c r="F61" s="14" t="n">
        <f aca="false">IF(AND(F$47,F$48&gt;0,LEN(TRIM($B21))&gt;0,F21=TRUE(),IF(F$50,$C21&lt;&gt;TRUE(),TRUE())),QUOTIENT(F$46,MAX(1,F$48))+IF(IF(F$50,SUMPRODUCT(--(LEN(TRIM($B$12:$B21))&gt;0),--(F$12:F21=TRUE()),--($C$12:$C21&lt;&gt;TRUE())),SUMPRODUCT(--(LEN(TRIM($B$12:$B21))&gt;0),--(F$12:F21=TRUE())))&lt;=MOD(F$46,MAX(1,F$48)),1,0),0)</f>
        <v>0</v>
      </c>
      <c r="H61" s="14" t="n">
        <f aca="false">IF(AND(H$47,H$48&gt;0,LEN(TRIM($B21))&gt;0,H21=TRUE(),IF(H$50,$C21&lt;&gt;TRUE(),TRUE())),QUOTIENT(H$46,MAX(1,H$48))+IF(IF(H$50,SUMPRODUCT(--(LEN(TRIM($B$12:$B21))&gt;0),--(H$12:H21=TRUE()),--($C$12:$C21&lt;&gt;TRUE())),SUMPRODUCT(--(LEN(TRIM($B$12:$B21))&gt;0),--(H$12:H21=TRUE())))&lt;=MOD(H$46,MAX(1,H$48)),1,0),0)</f>
        <v>0</v>
      </c>
      <c r="J61" s="14" t="n">
        <f aca="false">IF(AND(J$47,J$48&gt;0,LEN(TRIM($B21))&gt;0,J21=TRUE(),IF(J$50,$C21&lt;&gt;TRUE(),TRUE())),QUOTIENT(J$46,MAX(1,J$48))+IF(IF(J$50,SUMPRODUCT(--(LEN(TRIM($B$12:$B21))&gt;0),--(J$12:J21=TRUE()),--($C$12:$C21&lt;&gt;TRUE())),SUMPRODUCT(--(LEN(TRIM($B$12:$B21))&gt;0),--(J$12:J21=TRUE())))&lt;=MOD(J$46,MAX(1,J$48)),1,0),0)</f>
        <v>0</v>
      </c>
      <c r="L61" s="14" t="n">
        <f aca="false">IF(AND(L$47,L$48&gt;0,LEN(TRIM($B21))&gt;0,L21=TRUE(),IF(L$50,$C21&lt;&gt;TRUE(),TRUE())),QUOTIENT(L$46,MAX(1,L$48))+IF(IF(L$50,SUMPRODUCT(--(LEN(TRIM($B$12:$B21))&gt;0),--(L$12:L21=TRUE()),--($C$12:$C21&lt;&gt;TRUE())),SUMPRODUCT(--(LEN(TRIM($B$12:$B21))&gt;0),--(L$12:L21=TRUE())))&lt;=MOD(L$46,MAX(1,L$48)),1,0),0)</f>
        <v>0</v>
      </c>
      <c r="N61" s="14" t="n">
        <f aca="false">IF(AND(N$47,N$48&gt;0,LEN(TRIM($B21))&gt;0,N21=TRUE(),IF(N$50,$C21&lt;&gt;TRUE(),TRUE())),QUOTIENT(N$46,MAX(1,N$48))+IF(IF(N$50,SUMPRODUCT(--(LEN(TRIM($B$12:$B21))&gt;0),--(N$12:N21=TRUE()),--($C$12:$C21&lt;&gt;TRUE())),SUMPRODUCT(--(LEN(TRIM($B$12:$B21))&gt;0),--(N$12:N21=TRUE())))&lt;=MOD(N$46,MAX(1,N$48)),1,0),0)</f>
        <v>0</v>
      </c>
      <c r="P61" s="14" t="n">
        <f aca="false">IF(AND(P$47,P$48&gt;0,LEN(TRIM($B21))&gt;0,P21=TRUE(),IF(P$50,$C21&lt;&gt;TRUE(),TRUE())),QUOTIENT(P$46,MAX(1,P$48))+IF(IF(P$50,SUMPRODUCT(--(LEN(TRIM($B$12:$B21))&gt;0),--(P$12:P21=TRUE()),--($C$12:$C21&lt;&gt;TRUE())),SUMPRODUCT(--(LEN(TRIM($B$12:$B21))&gt;0),--(P$12:P21=TRUE())))&lt;=MOD(P$46,MAX(1,P$48)),1,0),0)</f>
        <v>0</v>
      </c>
    </row>
    <row r="62" customFormat="false" ht="15" hidden="true" customHeight="false" outlineLevel="0" collapsed="false">
      <c r="A62" s="13" t="s">
        <v>28</v>
      </c>
      <c r="D62" s="14" t="n">
        <f aca="false">IF(AND(D$47,D$48&gt;0,LEN(TRIM($B22))&gt;0,D22=TRUE(),IF(D$50,$C22&lt;&gt;TRUE(),TRUE())),QUOTIENT(D$46,MAX(1,D$48))+IF(IF(D$50,SUMPRODUCT(--(LEN(TRIM($B$12:$B22))&gt;0),--(D$12:D22=TRUE()),--($C$12:$C22&lt;&gt;TRUE())),SUMPRODUCT(--(LEN(TRIM($B$12:$B22))&gt;0),--(D$12:D22=TRUE())))&lt;=MOD(D$46,MAX(1,D$48)),1,0),0)</f>
        <v>0</v>
      </c>
      <c r="F62" s="14" t="n">
        <f aca="false">IF(AND(F$47,F$48&gt;0,LEN(TRIM($B22))&gt;0,F22=TRUE(),IF(F$50,$C22&lt;&gt;TRUE(),TRUE())),QUOTIENT(F$46,MAX(1,F$48))+IF(IF(F$50,SUMPRODUCT(--(LEN(TRIM($B$12:$B22))&gt;0),--(F$12:F22=TRUE()),--($C$12:$C22&lt;&gt;TRUE())),SUMPRODUCT(--(LEN(TRIM($B$12:$B22))&gt;0),--(F$12:F22=TRUE())))&lt;=MOD(F$46,MAX(1,F$48)),1,0),0)</f>
        <v>0</v>
      </c>
      <c r="H62" s="14" t="n">
        <f aca="false">IF(AND(H$47,H$48&gt;0,LEN(TRIM($B22))&gt;0,H22=TRUE(),IF(H$50,$C22&lt;&gt;TRUE(),TRUE())),QUOTIENT(H$46,MAX(1,H$48))+IF(IF(H$50,SUMPRODUCT(--(LEN(TRIM($B$12:$B22))&gt;0),--(H$12:H22=TRUE()),--($C$12:$C22&lt;&gt;TRUE())),SUMPRODUCT(--(LEN(TRIM($B$12:$B22))&gt;0),--(H$12:H22=TRUE())))&lt;=MOD(H$46,MAX(1,H$48)),1,0),0)</f>
        <v>0</v>
      </c>
      <c r="J62" s="14" t="n">
        <f aca="false">IF(AND(J$47,J$48&gt;0,LEN(TRIM($B22))&gt;0,J22=TRUE(),IF(J$50,$C22&lt;&gt;TRUE(),TRUE())),QUOTIENT(J$46,MAX(1,J$48))+IF(IF(J$50,SUMPRODUCT(--(LEN(TRIM($B$12:$B22))&gt;0),--(J$12:J22=TRUE()),--($C$12:$C22&lt;&gt;TRUE())),SUMPRODUCT(--(LEN(TRIM($B$12:$B22))&gt;0),--(J$12:J22=TRUE())))&lt;=MOD(J$46,MAX(1,J$48)),1,0),0)</f>
        <v>0</v>
      </c>
      <c r="L62" s="14" t="n">
        <f aca="false">IF(AND(L$47,L$48&gt;0,LEN(TRIM($B22))&gt;0,L22=TRUE(),IF(L$50,$C22&lt;&gt;TRUE(),TRUE())),QUOTIENT(L$46,MAX(1,L$48))+IF(IF(L$50,SUMPRODUCT(--(LEN(TRIM($B$12:$B22))&gt;0),--(L$12:L22=TRUE()),--($C$12:$C22&lt;&gt;TRUE())),SUMPRODUCT(--(LEN(TRIM($B$12:$B22))&gt;0),--(L$12:L22=TRUE())))&lt;=MOD(L$46,MAX(1,L$48)),1,0),0)</f>
        <v>0</v>
      </c>
      <c r="N62" s="14" t="n">
        <f aca="false">IF(AND(N$47,N$48&gt;0,LEN(TRIM($B22))&gt;0,N22=TRUE(),IF(N$50,$C22&lt;&gt;TRUE(),TRUE())),QUOTIENT(N$46,MAX(1,N$48))+IF(IF(N$50,SUMPRODUCT(--(LEN(TRIM($B$12:$B22))&gt;0),--(N$12:N22=TRUE()),--($C$12:$C22&lt;&gt;TRUE())),SUMPRODUCT(--(LEN(TRIM($B$12:$B22))&gt;0),--(N$12:N22=TRUE())))&lt;=MOD(N$46,MAX(1,N$48)),1,0),0)</f>
        <v>0</v>
      </c>
      <c r="P62" s="14" t="n">
        <f aca="false">IF(AND(P$47,P$48&gt;0,LEN(TRIM($B22))&gt;0,P22=TRUE(),IF(P$50,$C22&lt;&gt;TRUE(),TRUE())),QUOTIENT(P$46,MAX(1,P$48))+IF(IF(P$50,SUMPRODUCT(--(LEN(TRIM($B$12:$B22))&gt;0),--(P$12:P22=TRUE()),--($C$12:$C22&lt;&gt;TRUE())),SUMPRODUCT(--(LEN(TRIM($B$12:$B22))&gt;0),--(P$12:P22=TRUE())))&lt;=MOD(P$46,MAX(1,P$48)),1,0),0)</f>
        <v>0</v>
      </c>
    </row>
    <row r="63" customFormat="false" ht="15" hidden="true" customHeight="false" outlineLevel="0" collapsed="false">
      <c r="A63" s="13" t="s">
        <v>29</v>
      </c>
      <c r="D63" s="14" t="n">
        <f aca="false">IF(AND(D$47,D$48&gt;0,LEN(TRIM($B23))&gt;0,D23=TRUE(),IF(D$50,$C23&lt;&gt;TRUE(),TRUE())),QUOTIENT(D$46,MAX(1,D$48))+IF(IF(D$50,SUMPRODUCT(--(LEN(TRIM($B$12:$B23))&gt;0),--(D$12:D23=TRUE()),--($C$12:$C23&lt;&gt;TRUE())),SUMPRODUCT(--(LEN(TRIM($B$12:$B23))&gt;0),--(D$12:D23=TRUE())))&lt;=MOD(D$46,MAX(1,D$48)),1,0),0)</f>
        <v>0</v>
      </c>
      <c r="F63" s="14" t="n">
        <f aca="false">IF(AND(F$47,F$48&gt;0,LEN(TRIM($B23))&gt;0,F23=TRUE(),IF(F$50,$C23&lt;&gt;TRUE(),TRUE())),QUOTIENT(F$46,MAX(1,F$48))+IF(IF(F$50,SUMPRODUCT(--(LEN(TRIM($B$12:$B23))&gt;0),--(F$12:F23=TRUE()),--($C$12:$C23&lt;&gt;TRUE())),SUMPRODUCT(--(LEN(TRIM($B$12:$B23))&gt;0),--(F$12:F23=TRUE())))&lt;=MOD(F$46,MAX(1,F$48)),1,0),0)</f>
        <v>0</v>
      </c>
      <c r="H63" s="14" t="n">
        <f aca="false">IF(AND(H$47,H$48&gt;0,LEN(TRIM($B23))&gt;0,H23=TRUE(),IF(H$50,$C23&lt;&gt;TRUE(),TRUE())),QUOTIENT(H$46,MAX(1,H$48))+IF(IF(H$50,SUMPRODUCT(--(LEN(TRIM($B$12:$B23))&gt;0),--(H$12:H23=TRUE()),--($C$12:$C23&lt;&gt;TRUE())),SUMPRODUCT(--(LEN(TRIM($B$12:$B23))&gt;0),--(H$12:H23=TRUE())))&lt;=MOD(H$46,MAX(1,H$48)),1,0),0)</f>
        <v>0</v>
      </c>
      <c r="J63" s="14" t="n">
        <f aca="false">IF(AND(J$47,J$48&gt;0,LEN(TRIM($B23))&gt;0,J23=TRUE(),IF(J$50,$C23&lt;&gt;TRUE(),TRUE())),QUOTIENT(J$46,MAX(1,J$48))+IF(IF(J$50,SUMPRODUCT(--(LEN(TRIM($B$12:$B23))&gt;0),--(J$12:J23=TRUE()),--($C$12:$C23&lt;&gt;TRUE())),SUMPRODUCT(--(LEN(TRIM($B$12:$B23))&gt;0),--(J$12:J23=TRUE())))&lt;=MOD(J$46,MAX(1,J$48)),1,0),0)</f>
        <v>0</v>
      </c>
      <c r="L63" s="14" t="n">
        <f aca="false">IF(AND(L$47,L$48&gt;0,LEN(TRIM($B23))&gt;0,L23=TRUE(),IF(L$50,$C23&lt;&gt;TRUE(),TRUE())),QUOTIENT(L$46,MAX(1,L$48))+IF(IF(L$50,SUMPRODUCT(--(LEN(TRIM($B$12:$B23))&gt;0),--(L$12:L23=TRUE()),--($C$12:$C23&lt;&gt;TRUE())),SUMPRODUCT(--(LEN(TRIM($B$12:$B23))&gt;0),--(L$12:L23=TRUE())))&lt;=MOD(L$46,MAX(1,L$48)),1,0),0)</f>
        <v>0</v>
      </c>
      <c r="N63" s="14" t="n">
        <f aca="false">IF(AND(N$47,N$48&gt;0,LEN(TRIM($B23))&gt;0,N23=TRUE(),IF(N$50,$C23&lt;&gt;TRUE(),TRUE())),QUOTIENT(N$46,MAX(1,N$48))+IF(IF(N$50,SUMPRODUCT(--(LEN(TRIM($B$12:$B23))&gt;0),--(N$12:N23=TRUE()),--($C$12:$C23&lt;&gt;TRUE())),SUMPRODUCT(--(LEN(TRIM($B$12:$B23))&gt;0),--(N$12:N23=TRUE())))&lt;=MOD(N$46,MAX(1,N$48)),1,0),0)</f>
        <v>0</v>
      </c>
      <c r="P63" s="14" t="n">
        <f aca="false">IF(AND(P$47,P$48&gt;0,LEN(TRIM($B23))&gt;0,P23=TRUE(),IF(P$50,$C23&lt;&gt;TRUE(),TRUE())),QUOTIENT(P$46,MAX(1,P$48))+IF(IF(P$50,SUMPRODUCT(--(LEN(TRIM($B$12:$B23))&gt;0),--(P$12:P23=TRUE()),--($C$12:$C23&lt;&gt;TRUE())),SUMPRODUCT(--(LEN(TRIM($B$12:$B23))&gt;0),--(P$12:P23=TRUE())))&lt;=MOD(P$46,MAX(1,P$48)),1,0),0)</f>
        <v>0</v>
      </c>
    </row>
    <row r="64" customFormat="false" ht="15" hidden="true" customHeight="false" outlineLevel="0" collapsed="false">
      <c r="A64" s="13" t="s">
        <v>30</v>
      </c>
      <c r="D64" s="14" t="n">
        <f aca="false">IF(AND(D$47,D$48&gt;0,LEN(TRIM($B24))&gt;0,D24=TRUE(),IF(D$50,$C24&lt;&gt;TRUE(),TRUE())),QUOTIENT(D$46,MAX(1,D$48))+IF(IF(D$50,SUMPRODUCT(--(LEN(TRIM($B$12:$B24))&gt;0),--(D$12:D24=TRUE()),--($C$12:$C24&lt;&gt;TRUE())),SUMPRODUCT(--(LEN(TRIM($B$12:$B24))&gt;0),--(D$12:D24=TRUE())))&lt;=MOD(D$46,MAX(1,D$48)),1,0),0)</f>
        <v>0</v>
      </c>
      <c r="F64" s="14" t="n">
        <f aca="false">IF(AND(F$47,F$48&gt;0,LEN(TRIM($B24))&gt;0,F24=TRUE(),IF(F$50,$C24&lt;&gt;TRUE(),TRUE())),QUOTIENT(F$46,MAX(1,F$48))+IF(IF(F$50,SUMPRODUCT(--(LEN(TRIM($B$12:$B24))&gt;0),--(F$12:F24=TRUE()),--($C$12:$C24&lt;&gt;TRUE())),SUMPRODUCT(--(LEN(TRIM($B$12:$B24))&gt;0),--(F$12:F24=TRUE())))&lt;=MOD(F$46,MAX(1,F$48)),1,0),0)</f>
        <v>0</v>
      </c>
      <c r="H64" s="14" t="n">
        <f aca="false">IF(AND(H$47,H$48&gt;0,LEN(TRIM($B24))&gt;0,H24=TRUE(),IF(H$50,$C24&lt;&gt;TRUE(),TRUE())),QUOTIENT(H$46,MAX(1,H$48))+IF(IF(H$50,SUMPRODUCT(--(LEN(TRIM($B$12:$B24))&gt;0),--(H$12:H24=TRUE()),--($C$12:$C24&lt;&gt;TRUE())),SUMPRODUCT(--(LEN(TRIM($B$12:$B24))&gt;0),--(H$12:H24=TRUE())))&lt;=MOD(H$46,MAX(1,H$48)),1,0),0)</f>
        <v>0</v>
      </c>
      <c r="J64" s="14" t="n">
        <f aca="false">IF(AND(J$47,J$48&gt;0,LEN(TRIM($B24))&gt;0,J24=TRUE(),IF(J$50,$C24&lt;&gt;TRUE(),TRUE())),QUOTIENT(J$46,MAX(1,J$48))+IF(IF(J$50,SUMPRODUCT(--(LEN(TRIM($B$12:$B24))&gt;0),--(J$12:J24=TRUE()),--($C$12:$C24&lt;&gt;TRUE())),SUMPRODUCT(--(LEN(TRIM($B$12:$B24))&gt;0),--(J$12:J24=TRUE())))&lt;=MOD(J$46,MAX(1,J$48)),1,0),0)</f>
        <v>0</v>
      </c>
      <c r="L64" s="14" t="n">
        <f aca="false">IF(AND(L$47,L$48&gt;0,LEN(TRIM($B24))&gt;0,L24=TRUE(),IF(L$50,$C24&lt;&gt;TRUE(),TRUE())),QUOTIENT(L$46,MAX(1,L$48))+IF(IF(L$50,SUMPRODUCT(--(LEN(TRIM($B$12:$B24))&gt;0),--(L$12:L24=TRUE()),--($C$12:$C24&lt;&gt;TRUE())),SUMPRODUCT(--(LEN(TRIM($B$12:$B24))&gt;0),--(L$12:L24=TRUE())))&lt;=MOD(L$46,MAX(1,L$48)),1,0),0)</f>
        <v>0</v>
      </c>
      <c r="N64" s="14" t="n">
        <f aca="false">IF(AND(N$47,N$48&gt;0,LEN(TRIM($B24))&gt;0,N24=TRUE(),IF(N$50,$C24&lt;&gt;TRUE(),TRUE())),QUOTIENT(N$46,MAX(1,N$48))+IF(IF(N$50,SUMPRODUCT(--(LEN(TRIM($B$12:$B24))&gt;0),--(N$12:N24=TRUE()),--($C$12:$C24&lt;&gt;TRUE())),SUMPRODUCT(--(LEN(TRIM($B$12:$B24))&gt;0),--(N$12:N24=TRUE())))&lt;=MOD(N$46,MAX(1,N$48)),1,0),0)</f>
        <v>0</v>
      </c>
      <c r="P64" s="14" t="n">
        <f aca="false">IF(AND(P$47,P$48&gt;0,LEN(TRIM($B24))&gt;0,P24=TRUE(),IF(P$50,$C24&lt;&gt;TRUE(),TRUE())),QUOTIENT(P$46,MAX(1,P$48))+IF(IF(P$50,SUMPRODUCT(--(LEN(TRIM($B$12:$B24))&gt;0),--(P$12:P24=TRUE()),--($C$12:$C24&lt;&gt;TRUE())),SUMPRODUCT(--(LEN(TRIM($B$12:$B24))&gt;0),--(P$12:P24=TRUE())))&lt;=MOD(P$46,MAX(1,P$48)),1,0),0)</f>
        <v>0</v>
      </c>
    </row>
    <row r="65" customFormat="false" ht="15" hidden="true" customHeight="false" outlineLevel="0" collapsed="false">
      <c r="A65" s="13" t="s">
        <v>31</v>
      </c>
      <c r="D65" s="14" t="n">
        <f aca="false">IF(AND(D$47,D$48&gt;0,LEN(TRIM($B25))&gt;0,D25=TRUE(),IF(D$50,$C25&lt;&gt;TRUE(),TRUE())),QUOTIENT(D$46,MAX(1,D$48))+IF(IF(D$50,SUMPRODUCT(--(LEN(TRIM($B$12:$B25))&gt;0),--(D$12:D25=TRUE()),--($C$12:$C25&lt;&gt;TRUE())),SUMPRODUCT(--(LEN(TRIM($B$12:$B25))&gt;0),--(D$12:D25=TRUE())))&lt;=MOD(D$46,MAX(1,D$48)),1,0),0)</f>
        <v>0</v>
      </c>
      <c r="F65" s="14" t="n">
        <f aca="false">IF(AND(F$47,F$48&gt;0,LEN(TRIM($B25))&gt;0,F25=TRUE(),IF(F$50,$C25&lt;&gt;TRUE(),TRUE())),QUOTIENT(F$46,MAX(1,F$48))+IF(IF(F$50,SUMPRODUCT(--(LEN(TRIM($B$12:$B25))&gt;0),--(F$12:F25=TRUE()),--($C$12:$C25&lt;&gt;TRUE())),SUMPRODUCT(--(LEN(TRIM($B$12:$B25))&gt;0),--(F$12:F25=TRUE())))&lt;=MOD(F$46,MAX(1,F$48)),1,0),0)</f>
        <v>0</v>
      </c>
      <c r="H65" s="14" t="n">
        <f aca="false">IF(AND(H$47,H$48&gt;0,LEN(TRIM($B25))&gt;0,H25=TRUE(),IF(H$50,$C25&lt;&gt;TRUE(),TRUE())),QUOTIENT(H$46,MAX(1,H$48))+IF(IF(H$50,SUMPRODUCT(--(LEN(TRIM($B$12:$B25))&gt;0),--(H$12:H25=TRUE()),--($C$12:$C25&lt;&gt;TRUE())),SUMPRODUCT(--(LEN(TRIM($B$12:$B25))&gt;0),--(H$12:H25=TRUE())))&lt;=MOD(H$46,MAX(1,H$48)),1,0),0)</f>
        <v>0</v>
      </c>
      <c r="J65" s="14" t="n">
        <f aca="false">IF(AND(J$47,J$48&gt;0,LEN(TRIM($B25))&gt;0,J25=TRUE(),IF(J$50,$C25&lt;&gt;TRUE(),TRUE())),QUOTIENT(J$46,MAX(1,J$48))+IF(IF(J$50,SUMPRODUCT(--(LEN(TRIM($B$12:$B25))&gt;0),--(J$12:J25=TRUE()),--($C$12:$C25&lt;&gt;TRUE())),SUMPRODUCT(--(LEN(TRIM($B$12:$B25))&gt;0),--(J$12:J25=TRUE())))&lt;=MOD(J$46,MAX(1,J$48)),1,0),0)</f>
        <v>0</v>
      </c>
      <c r="L65" s="14" t="n">
        <f aca="false">IF(AND(L$47,L$48&gt;0,LEN(TRIM($B25))&gt;0,L25=TRUE(),IF(L$50,$C25&lt;&gt;TRUE(),TRUE())),QUOTIENT(L$46,MAX(1,L$48))+IF(IF(L$50,SUMPRODUCT(--(LEN(TRIM($B$12:$B25))&gt;0),--(L$12:L25=TRUE()),--($C$12:$C25&lt;&gt;TRUE())),SUMPRODUCT(--(LEN(TRIM($B$12:$B25))&gt;0),--(L$12:L25=TRUE())))&lt;=MOD(L$46,MAX(1,L$48)),1,0),0)</f>
        <v>0</v>
      </c>
      <c r="N65" s="14" t="n">
        <f aca="false">IF(AND(N$47,N$48&gt;0,LEN(TRIM($B25))&gt;0,N25=TRUE(),IF(N$50,$C25&lt;&gt;TRUE(),TRUE())),QUOTIENT(N$46,MAX(1,N$48))+IF(IF(N$50,SUMPRODUCT(--(LEN(TRIM($B$12:$B25))&gt;0),--(N$12:N25=TRUE()),--($C$12:$C25&lt;&gt;TRUE())),SUMPRODUCT(--(LEN(TRIM($B$12:$B25))&gt;0),--(N$12:N25=TRUE())))&lt;=MOD(N$46,MAX(1,N$48)),1,0),0)</f>
        <v>0</v>
      </c>
      <c r="P65" s="14" t="n">
        <f aca="false">IF(AND(P$47,P$48&gt;0,LEN(TRIM($B25))&gt;0,P25=TRUE(),IF(P$50,$C25&lt;&gt;TRUE(),TRUE())),QUOTIENT(P$46,MAX(1,P$48))+IF(IF(P$50,SUMPRODUCT(--(LEN(TRIM($B$12:$B25))&gt;0),--(P$12:P25=TRUE()),--($C$12:$C25&lt;&gt;TRUE())),SUMPRODUCT(--(LEN(TRIM($B$12:$B25))&gt;0),--(P$12:P25=TRUE())))&lt;=MOD(P$46,MAX(1,P$48)),1,0),0)</f>
        <v>0</v>
      </c>
    </row>
    <row r="66" customFormat="false" ht="15" hidden="true" customHeight="false" outlineLevel="0" collapsed="false">
      <c r="A66" s="13" t="s">
        <v>32</v>
      </c>
      <c r="D66" s="14" t="n">
        <f aca="false">IF(AND(D$47,D$48&gt;0,LEN(TRIM($B26))&gt;0,D26=TRUE(),IF(D$50,$C26&lt;&gt;TRUE(),TRUE())),QUOTIENT(D$46,MAX(1,D$48))+IF(IF(D$50,SUMPRODUCT(--(LEN(TRIM($B$12:$B26))&gt;0),--(D$12:D26=TRUE()),--($C$12:$C26&lt;&gt;TRUE())),SUMPRODUCT(--(LEN(TRIM($B$12:$B26))&gt;0),--(D$12:D26=TRUE())))&lt;=MOD(D$46,MAX(1,D$48)),1,0),0)</f>
        <v>0</v>
      </c>
      <c r="F66" s="14" t="n">
        <f aca="false">IF(AND(F$47,F$48&gt;0,LEN(TRIM($B26))&gt;0,F26=TRUE(),IF(F$50,$C26&lt;&gt;TRUE(),TRUE())),QUOTIENT(F$46,MAX(1,F$48))+IF(IF(F$50,SUMPRODUCT(--(LEN(TRIM($B$12:$B26))&gt;0),--(F$12:F26=TRUE()),--($C$12:$C26&lt;&gt;TRUE())),SUMPRODUCT(--(LEN(TRIM($B$12:$B26))&gt;0),--(F$12:F26=TRUE())))&lt;=MOD(F$46,MAX(1,F$48)),1,0),0)</f>
        <v>0</v>
      </c>
      <c r="H66" s="14" t="n">
        <f aca="false">IF(AND(H$47,H$48&gt;0,LEN(TRIM($B26))&gt;0,H26=TRUE(),IF(H$50,$C26&lt;&gt;TRUE(),TRUE())),QUOTIENT(H$46,MAX(1,H$48))+IF(IF(H$50,SUMPRODUCT(--(LEN(TRIM($B$12:$B26))&gt;0),--(H$12:H26=TRUE()),--($C$12:$C26&lt;&gt;TRUE())),SUMPRODUCT(--(LEN(TRIM($B$12:$B26))&gt;0),--(H$12:H26=TRUE())))&lt;=MOD(H$46,MAX(1,H$48)),1,0),0)</f>
        <v>0</v>
      </c>
      <c r="J66" s="14" t="n">
        <f aca="false">IF(AND(J$47,J$48&gt;0,LEN(TRIM($B26))&gt;0,J26=TRUE(),IF(J$50,$C26&lt;&gt;TRUE(),TRUE())),QUOTIENT(J$46,MAX(1,J$48))+IF(IF(J$50,SUMPRODUCT(--(LEN(TRIM($B$12:$B26))&gt;0),--(J$12:J26=TRUE()),--($C$12:$C26&lt;&gt;TRUE())),SUMPRODUCT(--(LEN(TRIM($B$12:$B26))&gt;0),--(J$12:J26=TRUE())))&lt;=MOD(J$46,MAX(1,J$48)),1,0),0)</f>
        <v>0</v>
      </c>
      <c r="L66" s="14" t="n">
        <f aca="false">IF(AND(L$47,L$48&gt;0,LEN(TRIM($B26))&gt;0,L26=TRUE(),IF(L$50,$C26&lt;&gt;TRUE(),TRUE())),QUOTIENT(L$46,MAX(1,L$48))+IF(IF(L$50,SUMPRODUCT(--(LEN(TRIM($B$12:$B26))&gt;0),--(L$12:L26=TRUE()),--($C$12:$C26&lt;&gt;TRUE())),SUMPRODUCT(--(LEN(TRIM($B$12:$B26))&gt;0),--(L$12:L26=TRUE())))&lt;=MOD(L$46,MAX(1,L$48)),1,0),0)</f>
        <v>0</v>
      </c>
      <c r="N66" s="14" t="n">
        <f aca="false">IF(AND(N$47,N$48&gt;0,LEN(TRIM($B26))&gt;0,N26=TRUE(),IF(N$50,$C26&lt;&gt;TRUE(),TRUE())),QUOTIENT(N$46,MAX(1,N$48))+IF(IF(N$50,SUMPRODUCT(--(LEN(TRIM($B$12:$B26))&gt;0),--(N$12:N26=TRUE()),--($C$12:$C26&lt;&gt;TRUE())),SUMPRODUCT(--(LEN(TRIM($B$12:$B26))&gt;0),--(N$12:N26=TRUE())))&lt;=MOD(N$46,MAX(1,N$48)),1,0),0)</f>
        <v>0</v>
      </c>
      <c r="P66" s="14" t="n">
        <f aca="false">IF(AND(P$47,P$48&gt;0,LEN(TRIM($B26))&gt;0,P26=TRUE(),IF(P$50,$C26&lt;&gt;TRUE(),TRUE())),QUOTIENT(P$46,MAX(1,P$48))+IF(IF(P$50,SUMPRODUCT(--(LEN(TRIM($B$12:$B26))&gt;0),--(P$12:P26=TRUE()),--($C$12:$C26&lt;&gt;TRUE())),SUMPRODUCT(--(LEN(TRIM($B$12:$B26))&gt;0),--(P$12:P26=TRUE())))&lt;=MOD(P$46,MAX(1,P$48)),1,0),0)</f>
        <v>0</v>
      </c>
    </row>
    <row r="67" customFormat="false" ht="15" hidden="true" customHeight="false" outlineLevel="0" collapsed="false">
      <c r="A67" s="13" t="s">
        <v>33</v>
      </c>
      <c r="D67" s="14" t="n">
        <f aca="false">IF(AND(D$47,D$48&gt;0,LEN(TRIM($B27))&gt;0,D27=TRUE(),IF(D$50,$C27&lt;&gt;TRUE(),TRUE())),QUOTIENT(D$46,MAX(1,D$48))+IF(IF(D$50,SUMPRODUCT(--(LEN(TRIM($B$12:$B27))&gt;0),--(D$12:D27=TRUE()),--($C$12:$C27&lt;&gt;TRUE())),SUMPRODUCT(--(LEN(TRIM($B$12:$B27))&gt;0),--(D$12:D27=TRUE())))&lt;=MOD(D$46,MAX(1,D$48)),1,0),0)</f>
        <v>0</v>
      </c>
      <c r="F67" s="14" t="n">
        <f aca="false">IF(AND(F$47,F$48&gt;0,LEN(TRIM($B27))&gt;0,F27=TRUE(),IF(F$50,$C27&lt;&gt;TRUE(),TRUE())),QUOTIENT(F$46,MAX(1,F$48))+IF(IF(F$50,SUMPRODUCT(--(LEN(TRIM($B$12:$B27))&gt;0),--(F$12:F27=TRUE()),--($C$12:$C27&lt;&gt;TRUE())),SUMPRODUCT(--(LEN(TRIM($B$12:$B27))&gt;0),--(F$12:F27=TRUE())))&lt;=MOD(F$46,MAX(1,F$48)),1,0),0)</f>
        <v>0</v>
      </c>
      <c r="H67" s="14" t="n">
        <f aca="false">IF(AND(H$47,H$48&gt;0,LEN(TRIM($B27))&gt;0,H27=TRUE(),IF(H$50,$C27&lt;&gt;TRUE(),TRUE())),QUOTIENT(H$46,MAX(1,H$48))+IF(IF(H$50,SUMPRODUCT(--(LEN(TRIM($B$12:$B27))&gt;0),--(H$12:H27=TRUE()),--($C$12:$C27&lt;&gt;TRUE())),SUMPRODUCT(--(LEN(TRIM($B$12:$B27))&gt;0),--(H$12:H27=TRUE())))&lt;=MOD(H$46,MAX(1,H$48)),1,0),0)</f>
        <v>0</v>
      </c>
      <c r="J67" s="14" t="n">
        <f aca="false">IF(AND(J$47,J$48&gt;0,LEN(TRIM($B27))&gt;0,J27=TRUE(),IF(J$50,$C27&lt;&gt;TRUE(),TRUE())),QUOTIENT(J$46,MAX(1,J$48))+IF(IF(J$50,SUMPRODUCT(--(LEN(TRIM($B$12:$B27))&gt;0),--(J$12:J27=TRUE()),--($C$12:$C27&lt;&gt;TRUE())),SUMPRODUCT(--(LEN(TRIM($B$12:$B27))&gt;0),--(J$12:J27=TRUE())))&lt;=MOD(J$46,MAX(1,J$48)),1,0),0)</f>
        <v>0</v>
      </c>
      <c r="L67" s="14" t="n">
        <f aca="false">IF(AND(L$47,L$48&gt;0,LEN(TRIM($B27))&gt;0,L27=TRUE(),IF(L$50,$C27&lt;&gt;TRUE(),TRUE())),QUOTIENT(L$46,MAX(1,L$48))+IF(IF(L$50,SUMPRODUCT(--(LEN(TRIM($B$12:$B27))&gt;0),--(L$12:L27=TRUE()),--($C$12:$C27&lt;&gt;TRUE())),SUMPRODUCT(--(LEN(TRIM($B$12:$B27))&gt;0),--(L$12:L27=TRUE())))&lt;=MOD(L$46,MAX(1,L$48)),1,0),0)</f>
        <v>0</v>
      </c>
      <c r="N67" s="14" t="n">
        <f aca="false">IF(AND(N$47,N$48&gt;0,LEN(TRIM($B27))&gt;0,N27=TRUE(),IF(N$50,$C27&lt;&gt;TRUE(),TRUE())),QUOTIENT(N$46,MAX(1,N$48))+IF(IF(N$50,SUMPRODUCT(--(LEN(TRIM($B$12:$B27))&gt;0),--(N$12:N27=TRUE()),--($C$12:$C27&lt;&gt;TRUE())),SUMPRODUCT(--(LEN(TRIM($B$12:$B27))&gt;0),--(N$12:N27=TRUE())))&lt;=MOD(N$46,MAX(1,N$48)),1,0),0)</f>
        <v>0</v>
      </c>
      <c r="P67" s="14" t="n">
        <f aca="false">IF(AND(P$47,P$48&gt;0,LEN(TRIM($B27))&gt;0,P27=TRUE(),IF(P$50,$C27&lt;&gt;TRUE(),TRUE())),QUOTIENT(P$46,MAX(1,P$48))+IF(IF(P$50,SUMPRODUCT(--(LEN(TRIM($B$12:$B27))&gt;0),--(P$12:P27=TRUE()),--($C$12:$C27&lt;&gt;TRUE())),SUMPRODUCT(--(LEN(TRIM($B$12:$B27))&gt;0),--(P$12:P27=TRUE())))&lt;=MOD(P$46,MAX(1,P$48)),1,0),0)</f>
        <v>0</v>
      </c>
    </row>
    <row r="68" customFormat="false" ht="15" hidden="true" customHeight="false" outlineLevel="0" collapsed="false">
      <c r="A68" s="13" t="s">
        <v>34</v>
      </c>
      <c r="D68" s="14" t="n">
        <f aca="false">IF(AND(D$47,D$48&gt;0,LEN(TRIM($B28))&gt;0,D28=TRUE(),IF(D$50,$C28&lt;&gt;TRUE(),TRUE())),QUOTIENT(D$46,MAX(1,D$48))+IF(IF(D$50,SUMPRODUCT(--(LEN(TRIM($B$12:$B28))&gt;0),--(D$12:D28=TRUE()),--($C$12:$C28&lt;&gt;TRUE())),SUMPRODUCT(--(LEN(TRIM($B$12:$B28))&gt;0),--(D$12:D28=TRUE())))&lt;=MOD(D$46,MAX(1,D$48)),1,0),0)</f>
        <v>0</v>
      </c>
      <c r="F68" s="14" t="n">
        <f aca="false">IF(AND(F$47,F$48&gt;0,LEN(TRIM($B28))&gt;0,F28=TRUE(),IF(F$50,$C28&lt;&gt;TRUE(),TRUE())),QUOTIENT(F$46,MAX(1,F$48))+IF(IF(F$50,SUMPRODUCT(--(LEN(TRIM($B$12:$B28))&gt;0),--(F$12:F28=TRUE()),--($C$12:$C28&lt;&gt;TRUE())),SUMPRODUCT(--(LEN(TRIM($B$12:$B28))&gt;0),--(F$12:F28=TRUE())))&lt;=MOD(F$46,MAX(1,F$48)),1,0),0)</f>
        <v>0</v>
      </c>
      <c r="H68" s="14" t="n">
        <f aca="false">IF(AND(H$47,H$48&gt;0,LEN(TRIM($B28))&gt;0,H28=TRUE(),IF(H$50,$C28&lt;&gt;TRUE(),TRUE())),QUOTIENT(H$46,MAX(1,H$48))+IF(IF(H$50,SUMPRODUCT(--(LEN(TRIM($B$12:$B28))&gt;0),--(H$12:H28=TRUE()),--($C$12:$C28&lt;&gt;TRUE())),SUMPRODUCT(--(LEN(TRIM($B$12:$B28))&gt;0),--(H$12:H28=TRUE())))&lt;=MOD(H$46,MAX(1,H$48)),1,0),0)</f>
        <v>0</v>
      </c>
      <c r="J68" s="14" t="n">
        <f aca="false">IF(AND(J$47,J$48&gt;0,LEN(TRIM($B28))&gt;0,J28=TRUE(),IF(J$50,$C28&lt;&gt;TRUE(),TRUE())),QUOTIENT(J$46,MAX(1,J$48))+IF(IF(J$50,SUMPRODUCT(--(LEN(TRIM($B$12:$B28))&gt;0),--(J$12:J28=TRUE()),--($C$12:$C28&lt;&gt;TRUE())),SUMPRODUCT(--(LEN(TRIM($B$12:$B28))&gt;0),--(J$12:J28=TRUE())))&lt;=MOD(J$46,MAX(1,J$48)),1,0),0)</f>
        <v>0</v>
      </c>
      <c r="L68" s="14" t="n">
        <f aca="false">IF(AND(L$47,L$48&gt;0,LEN(TRIM($B28))&gt;0,L28=TRUE(),IF(L$50,$C28&lt;&gt;TRUE(),TRUE())),QUOTIENT(L$46,MAX(1,L$48))+IF(IF(L$50,SUMPRODUCT(--(LEN(TRIM($B$12:$B28))&gt;0),--(L$12:L28=TRUE()),--($C$12:$C28&lt;&gt;TRUE())),SUMPRODUCT(--(LEN(TRIM($B$12:$B28))&gt;0),--(L$12:L28=TRUE())))&lt;=MOD(L$46,MAX(1,L$48)),1,0),0)</f>
        <v>0</v>
      </c>
      <c r="N68" s="14" t="n">
        <f aca="false">IF(AND(N$47,N$48&gt;0,LEN(TRIM($B28))&gt;0,N28=TRUE(),IF(N$50,$C28&lt;&gt;TRUE(),TRUE())),QUOTIENT(N$46,MAX(1,N$48))+IF(IF(N$50,SUMPRODUCT(--(LEN(TRIM($B$12:$B28))&gt;0),--(N$12:N28=TRUE()),--($C$12:$C28&lt;&gt;TRUE())),SUMPRODUCT(--(LEN(TRIM($B$12:$B28))&gt;0),--(N$12:N28=TRUE())))&lt;=MOD(N$46,MAX(1,N$48)),1,0),0)</f>
        <v>0</v>
      </c>
      <c r="P68" s="14" t="n">
        <f aca="false">IF(AND(P$47,P$48&gt;0,LEN(TRIM($B28))&gt;0,P28=TRUE(),IF(P$50,$C28&lt;&gt;TRUE(),TRUE())),QUOTIENT(P$46,MAX(1,P$48))+IF(IF(P$50,SUMPRODUCT(--(LEN(TRIM($B$12:$B28))&gt;0),--(P$12:P28=TRUE()),--($C$12:$C28&lt;&gt;TRUE())),SUMPRODUCT(--(LEN(TRIM($B$12:$B28))&gt;0),--(P$12:P28=TRUE())))&lt;=MOD(P$46,MAX(1,P$48)),1,0),0)</f>
        <v>0</v>
      </c>
    </row>
    <row r="69" customFormat="false" ht="15" hidden="true" customHeight="false" outlineLevel="0" collapsed="false">
      <c r="A69" s="13" t="s">
        <v>35</v>
      </c>
      <c r="D69" s="14" t="n">
        <f aca="false">IF(AND(D$47,D$48&gt;0,LEN(TRIM($B29))&gt;0,D29=TRUE(),IF(D$50,$C29&lt;&gt;TRUE(),TRUE())),QUOTIENT(D$46,MAX(1,D$48))+IF(IF(D$50,SUMPRODUCT(--(LEN(TRIM($B$12:$B29))&gt;0),--(D$12:D29=TRUE()),--($C$12:$C29&lt;&gt;TRUE())),SUMPRODUCT(--(LEN(TRIM($B$12:$B29))&gt;0),--(D$12:D29=TRUE())))&lt;=MOD(D$46,MAX(1,D$48)),1,0),0)</f>
        <v>0</v>
      </c>
      <c r="F69" s="14" t="n">
        <f aca="false">IF(AND(F$47,F$48&gt;0,LEN(TRIM($B29))&gt;0,F29=TRUE(),IF(F$50,$C29&lt;&gt;TRUE(),TRUE())),QUOTIENT(F$46,MAX(1,F$48))+IF(IF(F$50,SUMPRODUCT(--(LEN(TRIM($B$12:$B29))&gt;0),--(F$12:F29=TRUE()),--($C$12:$C29&lt;&gt;TRUE())),SUMPRODUCT(--(LEN(TRIM($B$12:$B29))&gt;0),--(F$12:F29=TRUE())))&lt;=MOD(F$46,MAX(1,F$48)),1,0),0)</f>
        <v>0</v>
      </c>
      <c r="H69" s="14" t="n">
        <f aca="false">IF(AND(H$47,H$48&gt;0,LEN(TRIM($B29))&gt;0,H29=TRUE(),IF(H$50,$C29&lt;&gt;TRUE(),TRUE())),QUOTIENT(H$46,MAX(1,H$48))+IF(IF(H$50,SUMPRODUCT(--(LEN(TRIM($B$12:$B29))&gt;0),--(H$12:H29=TRUE()),--($C$12:$C29&lt;&gt;TRUE())),SUMPRODUCT(--(LEN(TRIM($B$12:$B29))&gt;0),--(H$12:H29=TRUE())))&lt;=MOD(H$46,MAX(1,H$48)),1,0),0)</f>
        <v>0</v>
      </c>
      <c r="J69" s="14" t="n">
        <f aca="false">IF(AND(J$47,J$48&gt;0,LEN(TRIM($B29))&gt;0,J29=TRUE(),IF(J$50,$C29&lt;&gt;TRUE(),TRUE())),QUOTIENT(J$46,MAX(1,J$48))+IF(IF(J$50,SUMPRODUCT(--(LEN(TRIM($B$12:$B29))&gt;0),--(J$12:J29=TRUE()),--($C$12:$C29&lt;&gt;TRUE())),SUMPRODUCT(--(LEN(TRIM($B$12:$B29))&gt;0),--(J$12:J29=TRUE())))&lt;=MOD(J$46,MAX(1,J$48)),1,0),0)</f>
        <v>0</v>
      </c>
      <c r="L69" s="14" t="n">
        <f aca="false">IF(AND(L$47,L$48&gt;0,LEN(TRIM($B29))&gt;0,L29=TRUE(),IF(L$50,$C29&lt;&gt;TRUE(),TRUE())),QUOTIENT(L$46,MAX(1,L$48))+IF(IF(L$50,SUMPRODUCT(--(LEN(TRIM($B$12:$B29))&gt;0),--(L$12:L29=TRUE()),--($C$12:$C29&lt;&gt;TRUE())),SUMPRODUCT(--(LEN(TRIM($B$12:$B29))&gt;0),--(L$12:L29=TRUE())))&lt;=MOD(L$46,MAX(1,L$48)),1,0),0)</f>
        <v>0</v>
      </c>
      <c r="N69" s="14" t="n">
        <f aca="false">IF(AND(N$47,N$48&gt;0,LEN(TRIM($B29))&gt;0,N29=TRUE(),IF(N$50,$C29&lt;&gt;TRUE(),TRUE())),QUOTIENT(N$46,MAX(1,N$48))+IF(IF(N$50,SUMPRODUCT(--(LEN(TRIM($B$12:$B29))&gt;0),--(N$12:N29=TRUE()),--($C$12:$C29&lt;&gt;TRUE())),SUMPRODUCT(--(LEN(TRIM($B$12:$B29))&gt;0),--(N$12:N29=TRUE())))&lt;=MOD(N$46,MAX(1,N$48)),1,0),0)</f>
        <v>0</v>
      </c>
      <c r="P69" s="14" t="n">
        <f aca="false">IF(AND(P$47,P$48&gt;0,LEN(TRIM($B29))&gt;0,P29=TRUE(),IF(P$50,$C29&lt;&gt;TRUE(),TRUE())),QUOTIENT(P$46,MAX(1,P$48))+IF(IF(P$50,SUMPRODUCT(--(LEN(TRIM($B$12:$B29))&gt;0),--(P$12:P29=TRUE()),--($C$12:$C29&lt;&gt;TRUE())),SUMPRODUCT(--(LEN(TRIM($B$12:$B29))&gt;0),--(P$12:P29=TRUE())))&lt;=MOD(P$46,MAX(1,P$48)),1,0),0)</f>
        <v>0</v>
      </c>
    </row>
    <row r="70" customFormat="false" ht="15" hidden="true" customHeight="false" outlineLevel="0" collapsed="false">
      <c r="A70" s="13" t="s">
        <v>36</v>
      </c>
      <c r="D70" s="14" t="n">
        <f aca="false">IF(AND(D$47,D$48&gt;0,LEN(TRIM($B30))&gt;0,D30=TRUE(),IF(D$50,$C30&lt;&gt;TRUE(),TRUE())),QUOTIENT(D$46,MAX(1,D$48))+IF(IF(D$50,SUMPRODUCT(--(LEN(TRIM($B$12:$B30))&gt;0),--(D$12:D30=TRUE()),--($C$12:$C30&lt;&gt;TRUE())),SUMPRODUCT(--(LEN(TRIM($B$12:$B30))&gt;0),--(D$12:D30=TRUE())))&lt;=MOD(D$46,MAX(1,D$48)),1,0),0)</f>
        <v>0</v>
      </c>
      <c r="F70" s="14" t="n">
        <f aca="false">IF(AND(F$47,F$48&gt;0,LEN(TRIM($B30))&gt;0,F30=TRUE(),IF(F$50,$C30&lt;&gt;TRUE(),TRUE())),QUOTIENT(F$46,MAX(1,F$48))+IF(IF(F$50,SUMPRODUCT(--(LEN(TRIM($B$12:$B30))&gt;0),--(F$12:F30=TRUE()),--($C$12:$C30&lt;&gt;TRUE())),SUMPRODUCT(--(LEN(TRIM($B$12:$B30))&gt;0),--(F$12:F30=TRUE())))&lt;=MOD(F$46,MAX(1,F$48)),1,0),0)</f>
        <v>0</v>
      </c>
      <c r="H70" s="14" t="n">
        <f aca="false">IF(AND(H$47,H$48&gt;0,LEN(TRIM($B30))&gt;0,H30=TRUE(),IF(H$50,$C30&lt;&gt;TRUE(),TRUE())),QUOTIENT(H$46,MAX(1,H$48))+IF(IF(H$50,SUMPRODUCT(--(LEN(TRIM($B$12:$B30))&gt;0),--(H$12:H30=TRUE()),--($C$12:$C30&lt;&gt;TRUE())),SUMPRODUCT(--(LEN(TRIM($B$12:$B30))&gt;0),--(H$12:H30=TRUE())))&lt;=MOD(H$46,MAX(1,H$48)),1,0),0)</f>
        <v>0</v>
      </c>
      <c r="J70" s="14" t="n">
        <f aca="false">IF(AND(J$47,J$48&gt;0,LEN(TRIM($B30))&gt;0,J30=TRUE(),IF(J$50,$C30&lt;&gt;TRUE(),TRUE())),QUOTIENT(J$46,MAX(1,J$48))+IF(IF(J$50,SUMPRODUCT(--(LEN(TRIM($B$12:$B30))&gt;0),--(J$12:J30=TRUE()),--($C$12:$C30&lt;&gt;TRUE())),SUMPRODUCT(--(LEN(TRIM($B$12:$B30))&gt;0),--(J$12:J30=TRUE())))&lt;=MOD(J$46,MAX(1,J$48)),1,0),0)</f>
        <v>0</v>
      </c>
      <c r="L70" s="14" t="n">
        <f aca="false">IF(AND(L$47,L$48&gt;0,LEN(TRIM($B30))&gt;0,L30=TRUE(),IF(L$50,$C30&lt;&gt;TRUE(),TRUE())),QUOTIENT(L$46,MAX(1,L$48))+IF(IF(L$50,SUMPRODUCT(--(LEN(TRIM($B$12:$B30))&gt;0),--(L$12:L30=TRUE()),--($C$12:$C30&lt;&gt;TRUE())),SUMPRODUCT(--(LEN(TRIM($B$12:$B30))&gt;0),--(L$12:L30=TRUE())))&lt;=MOD(L$46,MAX(1,L$48)),1,0),0)</f>
        <v>0</v>
      </c>
      <c r="N70" s="14" t="n">
        <f aca="false">IF(AND(N$47,N$48&gt;0,LEN(TRIM($B30))&gt;0,N30=TRUE(),IF(N$50,$C30&lt;&gt;TRUE(),TRUE())),QUOTIENT(N$46,MAX(1,N$48))+IF(IF(N$50,SUMPRODUCT(--(LEN(TRIM($B$12:$B30))&gt;0),--(N$12:N30=TRUE()),--($C$12:$C30&lt;&gt;TRUE())),SUMPRODUCT(--(LEN(TRIM($B$12:$B30))&gt;0),--(N$12:N30=TRUE())))&lt;=MOD(N$46,MAX(1,N$48)),1,0),0)</f>
        <v>0</v>
      </c>
      <c r="P70" s="14" t="n">
        <f aca="false">IF(AND(P$47,P$48&gt;0,LEN(TRIM($B30))&gt;0,P30=TRUE(),IF(P$50,$C30&lt;&gt;TRUE(),TRUE())),QUOTIENT(P$46,MAX(1,P$48))+IF(IF(P$50,SUMPRODUCT(--(LEN(TRIM($B$12:$B30))&gt;0),--(P$12:P30=TRUE()),--($C$12:$C30&lt;&gt;TRUE())),SUMPRODUCT(--(LEN(TRIM($B$12:$B30))&gt;0),--(P$12:P30=TRUE())))&lt;=MOD(P$46,MAX(1,P$48)),1,0),0)</f>
        <v>0</v>
      </c>
    </row>
    <row r="71" customFormat="false" ht="15" hidden="true" customHeight="false" outlineLevel="0" collapsed="false">
      <c r="A71" s="13" t="s">
        <v>37</v>
      </c>
      <c r="D71" s="14" t="n">
        <f aca="false">IF(AND(D$47,D$48&gt;0,LEN(TRIM($B31))&gt;0,D31=TRUE(),IF(D$50,$C31&lt;&gt;TRUE(),TRUE())),QUOTIENT(D$46,MAX(1,D$48))+IF(IF(D$50,SUMPRODUCT(--(LEN(TRIM($B$12:$B31))&gt;0),--(D$12:D31=TRUE()),--($C$12:$C31&lt;&gt;TRUE())),SUMPRODUCT(--(LEN(TRIM($B$12:$B31))&gt;0),--(D$12:D31=TRUE())))&lt;=MOD(D$46,MAX(1,D$48)),1,0),0)</f>
        <v>0</v>
      </c>
      <c r="F71" s="14" t="n">
        <f aca="false">IF(AND(F$47,F$48&gt;0,LEN(TRIM($B31))&gt;0,F31=TRUE(),IF(F$50,$C31&lt;&gt;TRUE(),TRUE())),QUOTIENT(F$46,MAX(1,F$48))+IF(IF(F$50,SUMPRODUCT(--(LEN(TRIM($B$12:$B31))&gt;0),--(F$12:F31=TRUE()),--($C$12:$C31&lt;&gt;TRUE())),SUMPRODUCT(--(LEN(TRIM($B$12:$B31))&gt;0),--(F$12:F31=TRUE())))&lt;=MOD(F$46,MAX(1,F$48)),1,0),0)</f>
        <v>0</v>
      </c>
      <c r="H71" s="14" t="n">
        <f aca="false">IF(AND(H$47,H$48&gt;0,LEN(TRIM($B31))&gt;0,H31=TRUE(),IF(H$50,$C31&lt;&gt;TRUE(),TRUE())),QUOTIENT(H$46,MAX(1,H$48))+IF(IF(H$50,SUMPRODUCT(--(LEN(TRIM($B$12:$B31))&gt;0),--(H$12:H31=TRUE()),--($C$12:$C31&lt;&gt;TRUE())),SUMPRODUCT(--(LEN(TRIM($B$12:$B31))&gt;0),--(H$12:H31=TRUE())))&lt;=MOD(H$46,MAX(1,H$48)),1,0),0)</f>
        <v>0</v>
      </c>
      <c r="J71" s="14" t="n">
        <f aca="false">IF(AND(J$47,J$48&gt;0,LEN(TRIM($B31))&gt;0,J31=TRUE(),IF(J$50,$C31&lt;&gt;TRUE(),TRUE())),QUOTIENT(J$46,MAX(1,J$48))+IF(IF(J$50,SUMPRODUCT(--(LEN(TRIM($B$12:$B31))&gt;0),--(J$12:J31=TRUE()),--($C$12:$C31&lt;&gt;TRUE())),SUMPRODUCT(--(LEN(TRIM($B$12:$B31))&gt;0),--(J$12:J31=TRUE())))&lt;=MOD(J$46,MAX(1,J$48)),1,0),0)</f>
        <v>0</v>
      </c>
      <c r="L71" s="14" t="n">
        <f aca="false">IF(AND(L$47,L$48&gt;0,LEN(TRIM($B31))&gt;0,L31=TRUE(),IF(L$50,$C31&lt;&gt;TRUE(),TRUE())),QUOTIENT(L$46,MAX(1,L$48))+IF(IF(L$50,SUMPRODUCT(--(LEN(TRIM($B$12:$B31))&gt;0),--(L$12:L31=TRUE()),--($C$12:$C31&lt;&gt;TRUE())),SUMPRODUCT(--(LEN(TRIM($B$12:$B31))&gt;0),--(L$12:L31=TRUE())))&lt;=MOD(L$46,MAX(1,L$48)),1,0),0)</f>
        <v>0</v>
      </c>
      <c r="N71" s="14" t="n">
        <f aca="false">IF(AND(N$47,N$48&gt;0,LEN(TRIM($B31))&gt;0,N31=TRUE(),IF(N$50,$C31&lt;&gt;TRUE(),TRUE())),QUOTIENT(N$46,MAX(1,N$48))+IF(IF(N$50,SUMPRODUCT(--(LEN(TRIM($B$12:$B31))&gt;0),--(N$12:N31=TRUE()),--($C$12:$C31&lt;&gt;TRUE())),SUMPRODUCT(--(LEN(TRIM($B$12:$B31))&gt;0),--(N$12:N31=TRUE())))&lt;=MOD(N$46,MAX(1,N$48)),1,0),0)</f>
        <v>0</v>
      </c>
      <c r="P71" s="14" t="n">
        <f aca="false">IF(AND(P$47,P$48&gt;0,LEN(TRIM($B31))&gt;0,P31=TRUE(),IF(P$50,$C31&lt;&gt;TRUE(),TRUE())),QUOTIENT(P$46,MAX(1,P$48))+IF(IF(P$50,SUMPRODUCT(--(LEN(TRIM($B$12:$B31))&gt;0),--(P$12:P31=TRUE()),--($C$12:$C31&lt;&gt;TRUE())),SUMPRODUCT(--(LEN(TRIM($B$12:$B31))&gt;0),--(P$12:P31=TRUE())))&lt;=MOD(P$46,MAX(1,P$48)),1,0),0)</f>
        <v>0</v>
      </c>
    </row>
    <row r="72" customFormat="false" ht="15" hidden="true" customHeight="false" outlineLevel="0" collapsed="false">
      <c r="A72" s="13" t="s">
        <v>38</v>
      </c>
      <c r="D72" s="14" t="n">
        <f aca="false">IF(AND(D$47,D$48&gt;0,LEN(TRIM($B32))&gt;0,D32=TRUE(),IF(D$50,$C32&lt;&gt;TRUE(),TRUE())),QUOTIENT(D$46,MAX(1,D$48))+IF(IF(D$50,SUMPRODUCT(--(LEN(TRIM($B$12:$B32))&gt;0),--(D$12:D32=TRUE()),--($C$12:$C32&lt;&gt;TRUE())),SUMPRODUCT(--(LEN(TRIM($B$12:$B32))&gt;0),--(D$12:D32=TRUE())))&lt;=MOD(D$46,MAX(1,D$48)),1,0),0)</f>
        <v>0</v>
      </c>
      <c r="F72" s="14" t="n">
        <f aca="false">IF(AND(F$47,F$48&gt;0,LEN(TRIM($B32))&gt;0,F32=TRUE(),IF(F$50,$C32&lt;&gt;TRUE(),TRUE())),QUOTIENT(F$46,MAX(1,F$48))+IF(IF(F$50,SUMPRODUCT(--(LEN(TRIM($B$12:$B32))&gt;0),--(F$12:F32=TRUE()),--($C$12:$C32&lt;&gt;TRUE())),SUMPRODUCT(--(LEN(TRIM($B$12:$B32))&gt;0),--(F$12:F32=TRUE())))&lt;=MOD(F$46,MAX(1,F$48)),1,0),0)</f>
        <v>0</v>
      </c>
      <c r="H72" s="14" t="n">
        <f aca="false">IF(AND(H$47,H$48&gt;0,LEN(TRIM($B32))&gt;0,H32=TRUE(),IF(H$50,$C32&lt;&gt;TRUE(),TRUE())),QUOTIENT(H$46,MAX(1,H$48))+IF(IF(H$50,SUMPRODUCT(--(LEN(TRIM($B$12:$B32))&gt;0),--(H$12:H32=TRUE()),--($C$12:$C32&lt;&gt;TRUE())),SUMPRODUCT(--(LEN(TRIM($B$12:$B32))&gt;0),--(H$12:H32=TRUE())))&lt;=MOD(H$46,MAX(1,H$48)),1,0),0)</f>
        <v>0</v>
      </c>
      <c r="J72" s="14" t="n">
        <f aca="false">IF(AND(J$47,J$48&gt;0,LEN(TRIM($B32))&gt;0,J32=TRUE(),IF(J$50,$C32&lt;&gt;TRUE(),TRUE())),QUOTIENT(J$46,MAX(1,J$48))+IF(IF(J$50,SUMPRODUCT(--(LEN(TRIM($B$12:$B32))&gt;0),--(J$12:J32=TRUE()),--($C$12:$C32&lt;&gt;TRUE())),SUMPRODUCT(--(LEN(TRIM($B$12:$B32))&gt;0),--(J$12:J32=TRUE())))&lt;=MOD(J$46,MAX(1,J$48)),1,0),0)</f>
        <v>0</v>
      </c>
      <c r="L72" s="14" t="n">
        <f aca="false">IF(AND(L$47,L$48&gt;0,LEN(TRIM($B32))&gt;0,L32=TRUE(),IF(L$50,$C32&lt;&gt;TRUE(),TRUE())),QUOTIENT(L$46,MAX(1,L$48))+IF(IF(L$50,SUMPRODUCT(--(LEN(TRIM($B$12:$B32))&gt;0),--(L$12:L32=TRUE()),--($C$12:$C32&lt;&gt;TRUE())),SUMPRODUCT(--(LEN(TRIM($B$12:$B32))&gt;0),--(L$12:L32=TRUE())))&lt;=MOD(L$46,MAX(1,L$48)),1,0),0)</f>
        <v>0</v>
      </c>
      <c r="N72" s="14" t="n">
        <f aca="false">IF(AND(N$47,N$48&gt;0,LEN(TRIM($B32))&gt;0,N32=TRUE(),IF(N$50,$C32&lt;&gt;TRUE(),TRUE())),QUOTIENT(N$46,MAX(1,N$48))+IF(IF(N$50,SUMPRODUCT(--(LEN(TRIM($B$12:$B32))&gt;0),--(N$12:N32=TRUE()),--($C$12:$C32&lt;&gt;TRUE())),SUMPRODUCT(--(LEN(TRIM($B$12:$B32))&gt;0),--(N$12:N32=TRUE())))&lt;=MOD(N$46,MAX(1,N$48)),1,0),0)</f>
        <v>0</v>
      </c>
      <c r="P72" s="14" t="n">
        <f aca="false">IF(AND(P$47,P$48&gt;0,LEN(TRIM($B32))&gt;0,P32=TRUE(),IF(P$50,$C32&lt;&gt;TRUE(),TRUE())),QUOTIENT(P$46,MAX(1,P$48))+IF(IF(P$50,SUMPRODUCT(--(LEN(TRIM($B$12:$B32))&gt;0),--(P$12:P32=TRUE()),--($C$12:$C32&lt;&gt;TRUE())),SUMPRODUCT(--(LEN(TRIM($B$12:$B32))&gt;0),--(P$12:P32=TRUE())))&lt;=MOD(P$46,MAX(1,P$48)),1,0),0)</f>
        <v>0</v>
      </c>
    </row>
    <row r="73" customFormat="false" ht="15" hidden="true" customHeight="false" outlineLevel="0" collapsed="false">
      <c r="A73" s="13" t="s">
        <v>39</v>
      </c>
      <c r="D73" s="14" t="n">
        <f aca="false">IF(AND(D$47,D$48&gt;0,LEN(TRIM($B33))&gt;0,D33=TRUE(),IF(D$50,$C33&lt;&gt;TRUE(),TRUE())),QUOTIENT(D$46,MAX(1,D$48))+IF(IF(D$50,SUMPRODUCT(--(LEN(TRIM($B$12:$B33))&gt;0),--(D$12:D33=TRUE()),--($C$12:$C33&lt;&gt;TRUE())),SUMPRODUCT(--(LEN(TRIM($B$12:$B33))&gt;0),--(D$12:D33=TRUE())))&lt;=MOD(D$46,MAX(1,D$48)),1,0),0)</f>
        <v>0</v>
      </c>
      <c r="F73" s="14" t="n">
        <f aca="false">IF(AND(F$47,F$48&gt;0,LEN(TRIM($B33))&gt;0,F33=TRUE(),IF(F$50,$C33&lt;&gt;TRUE(),TRUE())),QUOTIENT(F$46,MAX(1,F$48))+IF(IF(F$50,SUMPRODUCT(--(LEN(TRIM($B$12:$B33))&gt;0),--(F$12:F33=TRUE()),--($C$12:$C33&lt;&gt;TRUE())),SUMPRODUCT(--(LEN(TRIM($B$12:$B33))&gt;0),--(F$12:F33=TRUE())))&lt;=MOD(F$46,MAX(1,F$48)),1,0),0)</f>
        <v>0</v>
      </c>
      <c r="H73" s="14" t="n">
        <f aca="false">IF(AND(H$47,H$48&gt;0,LEN(TRIM($B33))&gt;0,H33=TRUE(),IF(H$50,$C33&lt;&gt;TRUE(),TRUE())),QUOTIENT(H$46,MAX(1,H$48))+IF(IF(H$50,SUMPRODUCT(--(LEN(TRIM($B$12:$B33))&gt;0),--(H$12:H33=TRUE()),--($C$12:$C33&lt;&gt;TRUE())),SUMPRODUCT(--(LEN(TRIM($B$12:$B33))&gt;0),--(H$12:H33=TRUE())))&lt;=MOD(H$46,MAX(1,H$48)),1,0),0)</f>
        <v>0</v>
      </c>
      <c r="J73" s="14" t="n">
        <f aca="false">IF(AND(J$47,J$48&gt;0,LEN(TRIM($B33))&gt;0,J33=TRUE(),IF(J$50,$C33&lt;&gt;TRUE(),TRUE())),QUOTIENT(J$46,MAX(1,J$48))+IF(IF(J$50,SUMPRODUCT(--(LEN(TRIM($B$12:$B33))&gt;0),--(J$12:J33=TRUE()),--($C$12:$C33&lt;&gt;TRUE())),SUMPRODUCT(--(LEN(TRIM($B$12:$B33))&gt;0),--(J$12:J33=TRUE())))&lt;=MOD(J$46,MAX(1,J$48)),1,0),0)</f>
        <v>0</v>
      </c>
      <c r="L73" s="14" t="n">
        <f aca="false">IF(AND(L$47,L$48&gt;0,LEN(TRIM($B33))&gt;0,L33=TRUE(),IF(L$50,$C33&lt;&gt;TRUE(),TRUE())),QUOTIENT(L$46,MAX(1,L$48))+IF(IF(L$50,SUMPRODUCT(--(LEN(TRIM($B$12:$B33))&gt;0),--(L$12:L33=TRUE()),--($C$12:$C33&lt;&gt;TRUE())),SUMPRODUCT(--(LEN(TRIM($B$12:$B33))&gt;0),--(L$12:L33=TRUE())))&lt;=MOD(L$46,MAX(1,L$48)),1,0),0)</f>
        <v>0</v>
      </c>
      <c r="N73" s="14" t="n">
        <f aca="false">IF(AND(N$47,N$48&gt;0,LEN(TRIM($B33))&gt;0,N33=TRUE(),IF(N$50,$C33&lt;&gt;TRUE(),TRUE())),QUOTIENT(N$46,MAX(1,N$48))+IF(IF(N$50,SUMPRODUCT(--(LEN(TRIM($B$12:$B33))&gt;0),--(N$12:N33=TRUE()),--($C$12:$C33&lt;&gt;TRUE())),SUMPRODUCT(--(LEN(TRIM($B$12:$B33))&gt;0),--(N$12:N33=TRUE())))&lt;=MOD(N$46,MAX(1,N$48)),1,0),0)</f>
        <v>0</v>
      </c>
      <c r="P73" s="14" t="n">
        <f aca="false">IF(AND(P$47,P$48&gt;0,LEN(TRIM($B33))&gt;0,P33=TRUE(),IF(P$50,$C33&lt;&gt;TRUE(),TRUE())),QUOTIENT(P$46,MAX(1,P$48))+IF(IF(P$50,SUMPRODUCT(--(LEN(TRIM($B$12:$B33))&gt;0),--(P$12:P33=TRUE()),--($C$12:$C33&lt;&gt;TRUE())),SUMPRODUCT(--(LEN(TRIM($B$12:$B33))&gt;0),--(P$12:P33=TRUE())))&lt;=MOD(P$46,MAX(1,P$48)),1,0),0)</f>
        <v>0</v>
      </c>
    </row>
    <row r="74" customFormat="false" ht="15" hidden="true" customHeight="false" outlineLevel="0" collapsed="false">
      <c r="A74" s="13" t="s">
        <v>40</v>
      </c>
      <c r="D74" s="14" t="n">
        <f aca="false">IF(AND(D$47,D$48&gt;0,LEN(TRIM($B34))&gt;0,D34=TRUE(),IF(D$50,$C34&lt;&gt;TRUE(),TRUE())),QUOTIENT(D$46,MAX(1,D$48))+IF(IF(D$50,SUMPRODUCT(--(LEN(TRIM($B$12:$B34))&gt;0),--(D$12:D34=TRUE()),--($C$12:$C34&lt;&gt;TRUE())),SUMPRODUCT(--(LEN(TRIM($B$12:$B34))&gt;0),--(D$12:D34=TRUE())))&lt;=MOD(D$46,MAX(1,D$48)),1,0),0)</f>
        <v>0</v>
      </c>
      <c r="F74" s="14" t="n">
        <f aca="false">IF(AND(F$47,F$48&gt;0,LEN(TRIM($B34))&gt;0,F34=TRUE(),IF(F$50,$C34&lt;&gt;TRUE(),TRUE())),QUOTIENT(F$46,MAX(1,F$48))+IF(IF(F$50,SUMPRODUCT(--(LEN(TRIM($B$12:$B34))&gt;0),--(F$12:F34=TRUE()),--($C$12:$C34&lt;&gt;TRUE())),SUMPRODUCT(--(LEN(TRIM($B$12:$B34))&gt;0),--(F$12:F34=TRUE())))&lt;=MOD(F$46,MAX(1,F$48)),1,0),0)</f>
        <v>0</v>
      </c>
      <c r="H74" s="14" t="n">
        <f aca="false">IF(AND(H$47,H$48&gt;0,LEN(TRIM($B34))&gt;0,H34=TRUE(),IF(H$50,$C34&lt;&gt;TRUE(),TRUE())),QUOTIENT(H$46,MAX(1,H$48))+IF(IF(H$50,SUMPRODUCT(--(LEN(TRIM($B$12:$B34))&gt;0),--(H$12:H34=TRUE()),--($C$12:$C34&lt;&gt;TRUE())),SUMPRODUCT(--(LEN(TRIM($B$12:$B34))&gt;0),--(H$12:H34=TRUE())))&lt;=MOD(H$46,MAX(1,H$48)),1,0),0)</f>
        <v>0</v>
      </c>
      <c r="J74" s="14" t="n">
        <f aca="false">IF(AND(J$47,J$48&gt;0,LEN(TRIM($B34))&gt;0,J34=TRUE(),IF(J$50,$C34&lt;&gt;TRUE(),TRUE())),QUOTIENT(J$46,MAX(1,J$48))+IF(IF(J$50,SUMPRODUCT(--(LEN(TRIM($B$12:$B34))&gt;0),--(J$12:J34=TRUE()),--($C$12:$C34&lt;&gt;TRUE())),SUMPRODUCT(--(LEN(TRIM($B$12:$B34))&gt;0),--(J$12:J34=TRUE())))&lt;=MOD(J$46,MAX(1,J$48)),1,0),0)</f>
        <v>0</v>
      </c>
      <c r="L74" s="14" t="n">
        <f aca="false">IF(AND(L$47,L$48&gt;0,LEN(TRIM($B34))&gt;0,L34=TRUE(),IF(L$50,$C34&lt;&gt;TRUE(),TRUE())),QUOTIENT(L$46,MAX(1,L$48))+IF(IF(L$50,SUMPRODUCT(--(LEN(TRIM($B$12:$B34))&gt;0),--(L$12:L34=TRUE()),--($C$12:$C34&lt;&gt;TRUE())),SUMPRODUCT(--(LEN(TRIM($B$12:$B34))&gt;0),--(L$12:L34=TRUE())))&lt;=MOD(L$46,MAX(1,L$48)),1,0),0)</f>
        <v>0</v>
      </c>
      <c r="N74" s="14" t="n">
        <f aca="false">IF(AND(N$47,N$48&gt;0,LEN(TRIM($B34))&gt;0,N34=TRUE(),IF(N$50,$C34&lt;&gt;TRUE(),TRUE())),QUOTIENT(N$46,MAX(1,N$48))+IF(IF(N$50,SUMPRODUCT(--(LEN(TRIM($B$12:$B34))&gt;0),--(N$12:N34=TRUE()),--($C$12:$C34&lt;&gt;TRUE())),SUMPRODUCT(--(LEN(TRIM($B$12:$B34))&gt;0),--(N$12:N34=TRUE())))&lt;=MOD(N$46,MAX(1,N$48)),1,0),0)</f>
        <v>0</v>
      </c>
      <c r="P74" s="14" t="n">
        <f aca="false">IF(AND(P$47,P$48&gt;0,LEN(TRIM($B34))&gt;0,P34=TRUE(),IF(P$50,$C34&lt;&gt;TRUE(),TRUE())),QUOTIENT(P$46,MAX(1,P$48))+IF(IF(P$50,SUMPRODUCT(--(LEN(TRIM($B$12:$B34))&gt;0),--(P$12:P34=TRUE()),--($C$12:$C34&lt;&gt;TRUE())),SUMPRODUCT(--(LEN(TRIM($B$12:$B34))&gt;0),--(P$12:P34=TRUE())))&lt;=MOD(P$46,MAX(1,P$48)),1,0),0)</f>
        <v>0</v>
      </c>
    </row>
    <row r="75" customFormat="false" ht="15" hidden="true" customHeight="false" outlineLevel="0" collapsed="false">
      <c r="A75" s="13" t="s">
        <v>41</v>
      </c>
      <c r="D75" s="14" t="n">
        <f aca="false">IF(AND(D$47,D$48&gt;0,LEN(TRIM($B35))&gt;0,D35=TRUE(),IF(D$50,$C35&lt;&gt;TRUE(),TRUE())),QUOTIENT(D$46,MAX(1,D$48))+IF(IF(D$50,SUMPRODUCT(--(LEN(TRIM($B$12:$B35))&gt;0),--(D$12:D35=TRUE()),--($C$12:$C35&lt;&gt;TRUE())),SUMPRODUCT(--(LEN(TRIM($B$12:$B35))&gt;0),--(D$12:D35=TRUE())))&lt;=MOD(D$46,MAX(1,D$48)),1,0),0)</f>
        <v>0</v>
      </c>
      <c r="F75" s="14" t="n">
        <f aca="false">IF(AND(F$47,F$48&gt;0,LEN(TRIM($B35))&gt;0,F35=TRUE(),IF(F$50,$C35&lt;&gt;TRUE(),TRUE())),QUOTIENT(F$46,MAX(1,F$48))+IF(IF(F$50,SUMPRODUCT(--(LEN(TRIM($B$12:$B35))&gt;0),--(F$12:F35=TRUE()),--($C$12:$C35&lt;&gt;TRUE())),SUMPRODUCT(--(LEN(TRIM($B$12:$B35))&gt;0),--(F$12:F35=TRUE())))&lt;=MOD(F$46,MAX(1,F$48)),1,0),0)</f>
        <v>0</v>
      </c>
      <c r="H75" s="14" t="n">
        <f aca="false">IF(AND(H$47,H$48&gt;0,LEN(TRIM($B35))&gt;0,H35=TRUE(),IF(H$50,$C35&lt;&gt;TRUE(),TRUE())),QUOTIENT(H$46,MAX(1,H$48))+IF(IF(H$50,SUMPRODUCT(--(LEN(TRIM($B$12:$B35))&gt;0),--(H$12:H35=TRUE()),--($C$12:$C35&lt;&gt;TRUE())),SUMPRODUCT(--(LEN(TRIM($B$12:$B35))&gt;0),--(H$12:H35=TRUE())))&lt;=MOD(H$46,MAX(1,H$48)),1,0),0)</f>
        <v>0</v>
      </c>
      <c r="J75" s="14" t="n">
        <f aca="false">IF(AND(J$47,J$48&gt;0,LEN(TRIM($B35))&gt;0,J35=TRUE(),IF(J$50,$C35&lt;&gt;TRUE(),TRUE())),QUOTIENT(J$46,MAX(1,J$48))+IF(IF(J$50,SUMPRODUCT(--(LEN(TRIM($B$12:$B35))&gt;0),--(J$12:J35=TRUE()),--($C$12:$C35&lt;&gt;TRUE())),SUMPRODUCT(--(LEN(TRIM($B$12:$B35))&gt;0),--(J$12:J35=TRUE())))&lt;=MOD(J$46,MAX(1,J$48)),1,0),0)</f>
        <v>0</v>
      </c>
      <c r="L75" s="14" t="n">
        <f aca="false">IF(AND(L$47,L$48&gt;0,LEN(TRIM($B35))&gt;0,L35=TRUE(),IF(L$50,$C35&lt;&gt;TRUE(),TRUE())),QUOTIENT(L$46,MAX(1,L$48))+IF(IF(L$50,SUMPRODUCT(--(LEN(TRIM($B$12:$B35))&gt;0),--(L$12:L35=TRUE()),--($C$12:$C35&lt;&gt;TRUE())),SUMPRODUCT(--(LEN(TRIM($B$12:$B35))&gt;0),--(L$12:L35=TRUE())))&lt;=MOD(L$46,MAX(1,L$48)),1,0),0)</f>
        <v>0</v>
      </c>
      <c r="N75" s="14" t="n">
        <f aca="false">IF(AND(N$47,N$48&gt;0,LEN(TRIM($B35))&gt;0,N35=TRUE(),IF(N$50,$C35&lt;&gt;TRUE(),TRUE())),QUOTIENT(N$46,MAX(1,N$48))+IF(IF(N$50,SUMPRODUCT(--(LEN(TRIM($B$12:$B35))&gt;0),--(N$12:N35=TRUE()),--($C$12:$C35&lt;&gt;TRUE())),SUMPRODUCT(--(LEN(TRIM($B$12:$B35))&gt;0),--(N$12:N35=TRUE())))&lt;=MOD(N$46,MAX(1,N$48)),1,0),0)</f>
        <v>0</v>
      </c>
      <c r="P75" s="14" t="n">
        <f aca="false">IF(AND(P$47,P$48&gt;0,LEN(TRIM($B35))&gt;0,P35=TRUE(),IF(P$50,$C35&lt;&gt;TRUE(),TRUE())),QUOTIENT(P$46,MAX(1,P$48))+IF(IF(P$50,SUMPRODUCT(--(LEN(TRIM($B$12:$B35))&gt;0),--(P$12:P35=TRUE()),--($C$12:$C35&lt;&gt;TRUE())),SUMPRODUCT(--(LEN(TRIM($B$12:$B35))&gt;0),--(P$12:P35=TRUE())))&lt;=MOD(P$46,MAX(1,P$48)),1,0),0)</f>
        <v>0</v>
      </c>
    </row>
    <row r="76" customFormat="false" ht="15" hidden="true" customHeight="false" outlineLevel="0" collapsed="false">
      <c r="A76" s="13" t="s">
        <v>42</v>
      </c>
      <c r="D76" s="14" t="n">
        <f aca="false">IF(AND(D$47,D$48&gt;0,LEN(TRIM($B36))&gt;0,D36=TRUE(),IF(D$50,$C36&lt;&gt;TRUE(),TRUE())),QUOTIENT(D$46,MAX(1,D$48))+IF(IF(D$50,SUMPRODUCT(--(LEN(TRIM($B$12:$B36))&gt;0),--(D$12:D36=TRUE()),--($C$12:$C36&lt;&gt;TRUE())),SUMPRODUCT(--(LEN(TRIM($B$12:$B36))&gt;0),--(D$12:D36=TRUE())))&lt;=MOD(D$46,MAX(1,D$48)),1,0),0)</f>
        <v>0</v>
      </c>
      <c r="F76" s="14" t="n">
        <f aca="false">IF(AND(F$47,F$48&gt;0,LEN(TRIM($B36))&gt;0,F36=TRUE(),IF(F$50,$C36&lt;&gt;TRUE(),TRUE())),QUOTIENT(F$46,MAX(1,F$48))+IF(IF(F$50,SUMPRODUCT(--(LEN(TRIM($B$12:$B36))&gt;0),--(F$12:F36=TRUE()),--($C$12:$C36&lt;&gt;TRUE())),SUMPRODUCT(--(LEN(TRIM($B$12:$B36))&gt;0),--(F$12:F36=TRUE())))&lt;=MOD(F$46,MAX(1,F$48)),1,0),0)</f>
        <v>0</v>
      </c>
      <c r="H76" s="14" t="n">
        <f aca="false">IF(AND(H$47,H$48&gt;0,LEN(TRIM($B36))&gt;0,H36=TRUE(),IF(H$50,$C36&lt;&gt;TRUE(),TRUE())),QUOTIENT(H$46,MAX(1,H$48))+IF(IF(H$50,SUMPRODUCT(--(LEN(TRIM($B$12:$B36))&gt;0),--(H$12:H36=TRUE()),--($C$12:$C36&lt;&gt;TRUE())),SUMPRODUCT(--(LEN(TRIM($B$12:$B36))&gt;0),--(H$12:H36=TRUE())))&lt;=MOD(H$46,MAX(1,H$48)),1,0),0)</f>
        <v>0</v>
      </c>
      <c r="J76" s="14" t="n">
        <f aca="false">IF(AND(J$47,J$48&gt;0,LEN(TRIM($B36))&gt;0,J36=TRUE(),IF(J$50,$C36&lt;&gt;TRUE(),TRUE())),QUOTIENT(J$46,MAX(1,J$48))+IF(IF(J$50,SUMPRODUCT(--(LEN(TRIM($B$12:$B36))&gt;0),--(J$12:J36=TRUE()),--($C$12:$C36&lt;&gt;TRUE())),SUMPRODUCT(--(LEN(TRIM($B$12:$B36))&gt;0),--(J$12:J36=TRUE())))&lt;=MOD(J$46,MAX(1,J$48)),1,0),0)</f>
        <v>0</v>
      </c>
      <c r="L76" s="14" t="n">
        <f aca="false">IF(AND(L$47,L$48&gt;0,LEN(TRIM($B36))&gt;0,L36=TRUE(),IF(L$50,$C36&lt;&gt;TRUE(),TRUE())),QUOTIENT(L$46,MAX(1,L$48))+IF(IF(L$50,SUMPRODUCT(--(LEN(TRIM($B$12:$B36))&gt;0),--(L$12:L36=TRUE()),--($C$12:$C36&lt;&gt;TRUE())),SUMPRODUCT(--(LEN(TRIM($B$12:$B36))&gt;0),--(L$12:L36=TRUE())))&lt;=MOD(L$46,MAX(1,L$48)),1,0),0)</f>
        <v>0</v>
      </c>
      <c r="N76" s="14" t="n">
        <f aca="false">IF(AND(N$47,N$48&gt;0,LEN(TRIM($B36))&gt;0,N36=TRUE(),IF(N$50,$C36&lt;&gt;TRUE(),TRUE())),QUOTIENT(N$46,MAX(1,N$48))+IF(IF(N$50,SUMPRODUCT(--(LEN(TRIM($B$12:$B36))&gt;0),--(N$12:N36=TRUE()),--($C$12:$C36&lt;&gt;TRUE())),SUMPRODUCT(--(LEN(TRIM($B$12:$B36))&gt;0),--(N$12:N36=TRUE())))&lt;=MOD(N$46,MAX(1,N$48)),1,0),0)</f>
        <v>0</v>
      </c>
      <c r="P76" s="14" t="n">
        <f aca="false">IF(AND(P$47,P$48&gt;0,LEN(TRIM($B36))&gt;0,P36=TRUE(),IF(P$50,$C36&lt;&gt;TRUE(),TRUE())),QUOTIENT(P$46,MAX(1,P$48))+IF(IF(P$50,SUMPRODUCT(--(LEN(TRIM($B$12:$B36))&gt;0),--(P$12:P36=TRUE()),--($C$12:$C36&lt;&gt;TRUE())),SUMPRODUCT(--(LEN(TRIM($B$12:$B36))&gt;0),--(P$12:P36=TRUE())))&lt;=MOD(P$46,MAX(1,P$48)),1,0),0)</f>
        <v>0</v>
      </c>
    </row>
    <row r="77" customFormat="false" ht="15" hidden="true" customHeight="false" outlineLevel="0" collapsed="false">
      <c r="A77" s="13" t="s">
        <v>43</v>
      </c>
      <c r="D77" s="14" t="n">
        <f aca="false">IF(AND(D$47,D$48&gt;0,LEN(TRIM($B37))&gt;0,D37=TRUE(),IF(D$50,$C37&lt;&gt;TRUE(),TRUE())),QUOTIENT(D$46,MAX(1,D$48))+IF(IF(D$50,SUMPRODUCT(--(LEN(TRIM($B$12:$B37))&gt;0),--(D$12:D37=TRUE()),--($C$12:$C37&lt;&gt;TRUE())),SUMPRODUCT(--(LEN(TRIM($B$12:$B37))&gt;0),--(D$12:D37=TRUE())))&lt;=MOD(D$46,MAX(1,D$48)),1,0),0)</f>
        <v>0</v>
      </c>
      <c r="F77" s="14" t="n">
        <f aca="false">IF(AND(F$47,F$48&gt;0,LEN(TRIM($B37))&gt;0,F37=TRUE(),IF(F$50,$C37&lt;&gt;TRUE(),TRUE())),QUOTIENT(F$46,MAX(1,F$48))+IF(IF(F$50,SUMPRODUCT(--(LEN(TRIM($B$12:$B37))&gt;0),--(F$12:F37=TRUE()),--($C$12:$C37&lt;&gt;TRUE())),SUMPRODUCT(--(LEN(TRIM($B$12:$B37))&gt;0),--(F$12:F37=TRUE())))&lt;=MOD(F$46,MAX(1,F$48)),1,0),0)</f>
        <v>0</v>
      </c>
      <c r="H77" s="14" t="n">
        <f aca="false">IF(AND(H$47,H$48&gt;0,LEN(TRIM($B37))&gt;0,H37=TRUE(),IF(H$50,$C37&lt;&gt;TRUE(),TRUE())),QUOTIENT(H$46,MAX(1,H$48))+IF(IF(H$50,SUMPRODUCT(--(LEN(TRIM($B$12:$B37))&gt;0),--(H$12:H37=TRUE()),--($C$12:$C37&lt;&gt;TRUE())),SUMPRODUCT(--(LEN(TRIM($B$12:$B37))&gt;0),--(H$12:H37=TRUE())))&lt;=MOD(H$46,MAX(1,H$48)),1,0),0)</f>
        <v>0</v>
      </c>
      <c r="J77" s="14" t="n">
        <f aca="false">IF(AND(J$47,J$48&gt;0,LEN(TRIM($B37))&gt;0,J37=TRUE(),IF(J$50,$C37&lt;&gt;TRUE(),TRUE())),QUOTIENT(J$46,MAX(1,J$48))+IF(IF(J$50,SUMPRODUCT(--(LEN(TRIM($B$12:$B37))&gt;0),--(J$12:J37=TRUE()),--($C$12:$C37&lt;&gt;TRUE())),SUMPRODUCT(--(LEN(TRIM($B$12:$B37))&gt;0),--(J$12:J37=TRUE())))&lt;=MOD(J$46,MAX(1,J$48)),1,0),0)</f>
        <v>0</v>
      </c>
      <c r="L77" s="14" t="n">
        <f aca="false">IF(AND(L$47,L$48&gt;0,LEN(TRIM($B37))&gt;0,L37=TRUE(),IF(L$50,$C37&lt;&gt;TRUE(),TRUE())),QUOTIENT(L$46,MAX(1,L$48))+IF(IF(L$50,SUMPRODUCT(--(LEN(TRIM($B$12:$B37))&gt;0),--(L$12:L37=TRUE()),--($C$12:$C37&lt;&gt;TRUE())),SUMPRODUCT(--(LEN(TRIM($B$12:$B37))&gt;0),--(L$12:L37=TRUE())))&lt;=MOD(L$46,MAX(1,L$48)),1,0),0)</f>
        <v>0</v>
      </c>
      <c r="N77" s="14" t="n">
        <f aca="false">IF(AND(N$47,N$48&gt;0,LEN(TRIM($B37))&gt;0,N37=TRUE(),IF(N$50,$C37&lt;&gt;TRUE(),TRUE())),QUOTIENT(N$46,MAX(1,N$48))+IF(IF(N$50,SUMPRODUCT(--(LEN(TRIM($B$12:$B37))&gt;0),--(N$12:N37=TRUE()),--($C$12:$C37&lt;&gt;TRUE())),SUMPRODUCT(--(LEN(TRIM($B$12:$B37))&gt;0),--(N$12:N37=TRUE())))&lt;=MOD(N$46,MAX(1,N$48)),1,0),0)</f>
        <v>0</v>
      </c>
      <c r="P77" s="14" t="n">
        <f aca="false">IF(AND(P$47,P$48&gt;0,LEN(TRIM($B37))&gt;0,P37=TRUE(),IF(P$50,$C37&lt;&gt;TRUE(),TRUE())),QUOTIENT(P$46,MAX(1,P$48))+IF(IF(P$50,SUMPRODUCT(--(LEN(TRIM($B$12:$B37))&gt;0),--(P$12:P37=TRUE()),--($C$12:$C37&lt;&gt;TRUE())),SUMPRODUCT(--(LEN(TRIM($B$12:$B37))&gt;0),--(P$12:P37=TRUE())))&lt;=MOD(P$46,MAX(1,P$48)),1,0),0)</f>
        <v>0</v>
      </c>
    </row>
    <row r="78" customFormat="false" ht="15" hidden="true" customHeight="false" outlineLevel="0" collapsed="false">
      <c r="A78" s="13" t="s">
        <v>44</v>
      </c>
      <c r="D78" s="14" t="n">
        <f aca="false">IF(AND(D$47,D$48&gt;0,LEN(TRIM($B38))&gt;0,D38=TRUE(),IF(D$50,$C38&lt;&gt;TRUE(),TRUE())),QUOTIENT(D$46,MAX(1,D$48))+IF(IF(D$50,SUMPRODUCT(--(LEN(TRIM($B$12:$B38))&gt;0),--(D$12:D38=TRUE()),--($C$12:$C38&lt;&gt;TRUE())),SUMPRODUCT(--(LEN(TRIM($B$12:$B38))&gt;0),--(D$12:D38=TRUE())))&lt;=MOD(D$46,MAX(1,D$48)),1,0),0)</f>
        <v>0</v>
      </c>
      <c r="F78" s="14" t="n">
        <f aca="false">IF(AND(F$47,F$48&gt;0,LEN(TRIM($B38))&gt;0,F38=TRUE(),IF(F$50,$C38&lt;&gt;TRUE(),TRUE())),QUOTIENT(F$46,MAX(1,F$48))+IF(IF(F$50,SUMPRODUCT(--(LEN(TRIM($B$12:$B38))&gt;0),--(F$12:F38=TRUE()),--($C$12:$C38&lt;&gt;TRUE())),SUMPRODUCT(--(LEN(TRIM($B$12:$B38))&gt;0),--(F$12:F38=TRUE())))&lt;=MOD(F$46,MAX(1,F$48)),1,0),0)</f>
        <v>0</v>
      </c>
      <c r="H78" s="14" t="n">
        <f aca="false">IF(AND(H$47,H$48&gt;0,LEN(TRIM($B38))&gt;0,H38=TRUE(),IF(H$50,$C38&lt;&gt;TRUE(),TRUE())),QUOTIENT(H$46,MAX(1,H$48))+IF(IF(H$50,SUMPRODUCT(--(LEN(TRIM($B$12:$B38))&gt;0),--(H$12:H38=TRUE()),--($C$12:$C38&lt;&gt;TRUE())),SUMPRODUCT(--(LEN(TRIM($B$12:$B38))&gt;0),--(H$12:H38=TRUE())))&lt;=MOD(H$46,MAX(1,H$48)),1,0),0)</f>
        <v>0</v>
      </c>
      <c r="J78" s="14" t="n">
        <f aca="false">IF(AND(J$47,J$48&gt;0,LEN(TRIM($B38))&gt;0,J38=TRUE(),IF(J$50,$C38&lt;&gt;TRUE(),TRUE())),QUOTIENT(J$46,MAX(1,J$48))+IF(IF(J$50,SUMPRODUCT(--(LEN(TRIM($B$12:$B38))&gt;0),--(J$12:J38=TRUE()),--($C$12:$C38&lt;&gt;TRUE())),SUMPRODUCT(--(LEN(TRIM($B$12:$B38))&gt;0),--(J$12:J38=TRUE())))&lt;=MOD(J$46,MAX(1,J$48)),1,0),0)</f>
        <v>0</v>
      </c>
      <c r="L78" s="14" t="n">
        <f aca="false">IF(AND(L$47,L$48&gt;0,LEN(TRIM($B38))&gt;0,L38=TRUE(),IF(L$50,$C38&lt;&gt;TRUE(),TRUE())),QUOTIENT(L$46,MAX(1,L$48))+IF(IF(L$50,SUMPRODUCT(--(LEN(TRIM($B$12:$B38))&gt;0),--(L$12:L38=TRUE()),--($C$12:$C38&lt;&gt;TRUE())),SUMPRODUCT(--(LEN(TRIM($B$12:$B38))&gt;0),--(L$12:L38=TRUE())))&lt;=MOD(L$46,MAX(1,L$48)),1,0),0)</f>
        <v>0</v>
      </c>
      <c r="N78" s="14" t="n">
        <f aca="false">IF(AND(N$47,N$48&gt;0,LEN(TRIM($B38))&gt;0,N38=TRUE(),IF(N$50,$C38&lt;&gt;TRUE(),TRUE())),QUOTIENT(N$46,MAX(1,N$48))+IF(IF(N$50,SUMPRODUCT(--(LEN(TRIM($B$12:$B38))&gt;0),--(N$12:N38=TRUE()),--($C$12:$C38&lt;&gt;TRUE())),SUMPRODUCT(--(LEN(TRIM($B$12:$B38))&gt;0),--(N$12:N38=TRUE())))&lt;=MOD(N$46,MAX(1,N$48)),1,0),0)</f>
        <v>0</v>
      </c>
      <c r="P78" s="14" t="n">
        <f aca="false">IF(AND(P$47,P$48&gt;0,LEN(TRIM($B38))&gt;0,P38=TRUE(),IF(P$50,$C38&lt;&gt;TRUE(),TRUE())),QUOTIENT(P$46,MAX(1,P$48))+IF(IF(P$50,SUMPRODUCT(--(LEN(TRIM($B$12:$B38))&gt;0),--(P$12:P38=TRUE()),--($C$12:$C38&lt;&gt;TRUE())),SUMPRODUCT(--(LEN(TRIM($B$12:$B38))&gt;0),--(P$12:P38=TRUE())))&lt;=MOD(P$46,MAX(1,P$48)),1,0),0)</f>
        <v>0</v>
      </c>
    </row>
    <row r="79" customFormat="false" ht="15" hidden="true" customHeight="false" outlineLevel="0" collapsed="false">
      <c r="A79" s="13" t="s">
        <v>45</v>
      </c>
      <c r="D79" s="14" t="n">
        <f aca="false">IF(AND(D$47,D$48&gt;0,LEN(TRIM($B39))&gt;0,D39=TRUE(),IF(D$50,$C39&lt;&gt;TRUE(),TRUE())),QUOTIENT(D$46,MAX(1,D$48))+IF(IF(D$50,SUMPRODUCT(--(LEN(TRIM($B$12:$B39))&gt;0),--(D$12:D39=TRUE()),--($C$12:$C39&lt;&gt;TRUE())),SUMPRODUCT(--(LEN(TRIM($B$12:$B39))&gt;0),--(D$12:D39=TRUE())))&lt;=MOD(D$46,MAX(1,D$48)),1,0),0)</f>
        <v>0</v>
      </c>
      <c r="F79" s="14" t="n">
        <f aca="false">IF(AND(F$47,F$48&gt;0,LEN(TRIM($B39))&gt;0,F39=TRUE(),IF(F$50,$C39&lt;&gt;TRUE(),TRUE())),QUOTIENT(F$46,MAX(1,F$48))+IF(IF(F$50,SUMPRODUCT(--(LEN(TRIM($B$12:$B39))&gt;0),--(F$12:F39=TRUE()),--($C$12:$C39&lt;&gt;TRUE())),SUMPRODUCT(--(LEN(TRIM($B$12:$B39))&gt;0),--(F$12:F39=TRUE())))&lt;=MOD(F$46,MAX(1,F$48)),1,0),0)</f>
        <v>0</v>
      </c>
      <c r="H79" s="14" t="n">
        <f aca="false">IF(AND(H$47,H$48&gt;0,LEN(TRIM($B39))&gt;0,H39=TRUE(),IF(H$50,$C39&lt;&gt;TRUE(),TRUE())),QUOTIENT(H$46,MAX(1,H$48))+IF(IF(H$50,SUMPRODUCT(--(LEN(TRIM($B$12:$B39))&gt;0),--(H$12:H39=TRUE()),--($C$12:$C39&lt;&gt;TRUE())),SUMPRODUCT(--(LEN(TRIM($B$12:$B39))&gt;0),--(H$12:H39=TRUE())))&lt;=MOD(H$46,MAX(1,H$48)),1,0),0)</f>
        <v>0</v>
      </c>
      <c r="J79" s="14" t="n">
        <f aca="false">IF(AND(J$47,J$48&gt;0,LEN(TRIM($B39))&gt;0,J39=TRUE(),IF(J$50,$C39&lt;&gt;TRUE(),TRUE())),QUOTIENT(J$46,MAX(1,J$48))+IF(IF(J$50,SUMPRODUCT(--(LEN(TRIM($B$12:$B39))&gt;0),--(J$12:J39=TRUE()),--($C$12:$C39&lt;&gt;TRUE())),SUMPRODUCT(--(LEN(TRIM($B$12:$B39))&gt;0),--(J$12:J39=TRUE())))&lt;=MOD(J$46,MAX(1,J$48)),1,0),0)</f>
        <v>0</v>
      </c>
      <c r="L79" s="14" t="n">
        <f aca="false">IF(AND(L$47,L$48&gt;0,LEN(TRIM($B39))&gt;0,L39=TRUE(),IF(L$50,$C39&lt;&gt;TRUE(),TRUE())),QUOTIENT(L$46,MAX(1,L$48))+IF(IF(L$50,SUMPRODUCT(--(LEN(TRIM($B$12:$B39))&gt;0),--(L$12:L39=TRUE()),--($C$12:$C39&lt;&gt;TRUE())),SUMPRODUCT(--(LEN(TRIM($B$12:$B39))&gt;0),--(L$12:L39=TRUE())))&lt;=MOD(L$46,MAX(1,L$48)),1,0),0)</f>
        <v>0</v>
      </c>
      <c r="N79" s="14" t="n">
        <f aca="false">IF(AND(N$47,N$48&gt;0,LEN(TRIM($B39))&gt;0,N39=TRUE(),IF(N$50,$C39&lt;&gt;TRUE(),TRUE())),QUOTIENT(N$46,MAX(1,N$48))+IF(IF(N$50,SUMPRODUCT(--(LEN(TRIM($B$12:$B39))&gt;0),--(N$12:N39=TRUE()),--($C$12:$C39&lt;&gt;TRUE())),SUMPRODUCT(--(LEN(TRIM($B$12:$B39))&gt;0),--(N$12:N39=TRUE())))&lt;=MOD(N$46,MAX(1,N$48)),1,0),0)</f>
        <v>0</v>
      </c>
      <c r="P79" s="14" t="n">
        <f aca="false">IF(AND(P$47,P$48&gt;0,LEN(TRIM($B39))&gt;0,P39=TRUE(),IF(P$50,$C39&lt;&gt;TRUE(),TRUE())),QUOTIENT(P$46,MAX(1,P$48))+IF(IF(P$50,SUMPRODUCT(--(LEN(TRIM($B$12:$B39))&gt;0),--(P$12:P39=TRUE()),--($C$12:$C39&lt;&gt;TRUE())),SUMPRODUCT(--(LEN(TRIM($B$12:$B39))&gt;0),--(P$12:P39=TRUE())))&lt;=MOD(P$46,MAX(1,P$48)),1,0),0)</f>
        <v>0</v>
      </c>
    </row>
    <row r="80" customFormat="false" ht="15" hidden="true" customHeight="false" outlineLevel="0" collapsed="false">
      <c r="A80" s="13" t="s">
        <v>46</v>
      </c>
      <c r="D80" s="14" t="n">
        <f aca="false">IF(AND(D$47,D$48&gt;0,LEN(TRIM($B40))&gt;0,D40=TRUE(),IF(D$50,$C40&lt;&gt;TRUE(),TRUE())),QUOTIENT(D$46,MAX(1,D$48))+IF(IF(D$50,SUMPRODUCT(--(LEN(TRIM($B$12:$B40))&gt;0),--(D$12:D40=TRUE()),--($C$12:$C40&lt;&gt;TRUE())),SUMPRODUCT(--(LEN(TRIM($B$12:$B40))&gt;0),--(D$12:D40=TRUE())))&lt;=MOD(D$46,MAX(1,D$48)),1,0),0)</f>
        <v>0</v>
      </c>
      <c r="F80" s="14" t="n">
        <f aca="false">IF(AND(F$47,F$48&gt;0,LEN(TRIM($B40))&gt;0,F40=TRUE(),IF(F$50,$C40&lt;&gt;TRUE(),TRUE())),QUOTIENT(F$46,MAX(1,F$48))+IF(IF(F$50,SUMPRODUCT(--(LEN(TRIM($B$12:$B40))&gt;0),--(F$12:F40=TRUE()),--($C$12:$C40&lt;&gt;TRUE())),SUMPRODUCT(--(LEN(TRIM($B$12:$B40))&gt;0),--(F$12:F40=TRUE())))&lt;=MOD(F$46,MAX(1,F$48)),1,0),0)</f>
        <v>0</v>
      </c>
      <c r="H80" s="14" t="n">
        <f aca="false">IF(AND(H$47,H$48&gt;0,LEN(TRIM($B40))&gt;0,H40=TRUE(),IF(H$50,$C40&lt;&gt;TRUE(),TRUE())),QUOTIENT(H$46,MAX(1,H$48))+IF(IF(H$50,SUMPRODUCT(--(LEN(TRIM($B$12:$B40))&gt;0),--(H$12:H40=TRUE()),--($C$12:$C40&lt;&gt;TRUE())),SUMPRODUCT(--(LEN(TRIM($B$12:$B40))&gt;0),--(H$12:H40=TRUE())))&lt;=MOD(H$46,MAX(1,H$48)),1,0),0)</f>
        <v>0</v>
      </c>
      <c r="J80" s="14" t="n">
        <f aca="false">IF(AND(J$47,J$48&gt;0,LEN(TRIM($B40))&gt;0,J40=TRUE(),IF(J$50,$C40&lt;&gt;TRUE(),TRUE())),QUOTIENT(J$46,MAX(1,J$48))+IF(IF(J$50,SUMPRODUCT(--(LEN(TRIM($B$12:$B40))&gt;0),--(J$12:J40=TRUE()),--($C$12:$C40&lt;&gt;TRUE())),SUMPRODUCT(--(LEN(TRIM($B$12:$B40))&gt;0),--(J$12:J40=TRUE())))&lt;=MOD(J$46,MAX(1,J$48)),1,0),0)</f>
        <v>0</v>
      </c>
      <c r="L80" s="14" t="n">
        <f aca="false">IF(AND(L$47,L$48&gt;0,LEN(TRIM($B40))&gt;0,L40=TRUE(),IF(L$50,$C40&lt;&gt;TRUE(),TRUE())),QUOTIENT(L$46,MAX(1,L$48))+IF(IF(L$50,SUMPRODUCT(--(LEN(TRIM($B$12:$B40))&gt;0),--(L$12:L40=TRUE()),--($C$12:$C40&lt;&gt;TRUE())),SUMPRODUCT(--(LEN(TRIM($B$12:$B40))&gt;0),--(L$12:L40=TRUE())))&lt;=MOD(L$46,MAX(1,L$48)),1,0),0)</f>
        <v>0</v>
      </c>
      <c r="N80" s="14" t="n">
        <f aca="false">IF(AND(N$47,N$48&gt;0,LEN(TRIM($B40))&gt;0,N40=TRUE(),IF(N$50,$C40&lt;&gt;TRUE(),TRUE())),QUOTIENT(N$46,MAX(1,N$48))+IF(IF(N$50,SUMPRODUCT(--(LEN(TRIM($B$12:$B40))&gt;0),--(N$12:N40=TRUE()),--($C$12:$C40&lt;&gt;TRUE())),SUMPRODUCT(--(LEN(TRIM($B$12:$B40))&gt;0),--(N$12:N40=TRUE())))&lt;=MOD(N$46,MAX(1,N$48)),1,0),0)</f>
        <v>0</v>
      </c>
      <c r="P80" s="14" t="n">
        <f aca="false">IF(AND(P$47,P$48&gt;0,LEN(TRIM($B40))&gt;0,P40=TRUE(),IF(P$50,$C40&lt;&gt;TRUE(),TRUE())),QUOTIENT(P$46,MAX(1,P$48))+IF(IF(P$50,SUMPRODUCT(--(LEN(TRIM($B$12:$B40))&gt;0),--(P$12:P40=TRUE()),--($C$12:$C40&lt;&gt;TRUE())),SUMPRODUCT(--(LEN(TRIM($B$12:$B40))&gt;0),--(P$12:P40=TRUE())))&lt;=MOD(P$46,MAX(1,P$48)),1,0),0)</f>
        <v>0</v>
      </c>
    </row>
    <row r="81" customFormat="false" ht="15" hidden="true" customHeight="false" outlineLevel="0" collapsed="false">
      <c r="A81" s="13" t="s">
        <v>47</v>
      </c>
      <c r="D81" s="14" t="n">
        <f aca="false">IF(AND(D$47,D$48&gt;0,LEN(TRIM($B41))&gt;0,D41=TRUE(),IF(D$50,$C41&lt;&gt;TRUE(),TRUE())),QUOTIENT(D$46,MAX(1,D$48))+IF(IF(D$50,SUMPRODUCT(--(LEN(TRIM($B$12:$B41))&gt;0),--(D$12:D41=TRUE()),--($C$12:$C41&lt;&gt;TRUE())),SUMPRODUCT(--(LEN(TRIM($B$12:$B41))&gt;0),--(D$12:D41=TRUE())))&lt;=MOD(D$46,MAX(1,D$48)),1,0),0)</f>
        <v>0</v>
      </c>
      <c r="F81" s="14" t="n">
        <f aca="false">IF(AND(F$47,F$48&gt;0,LEN(TRIM($B41))&gt;0,F41=TRUE(),IF(F$50,$C41&lt;&gt;TRUE(),TRUE())),QUOTIENT(F$46,MAX(1,F$48))+IF(IF(F$50,SUMPRODUCT(--(LEN(TRIM($B$12:$B41))&gt;0),--(F$12:F41=TRUE()),--($C$12:$C41&lt;&gt;TRUE())),SUMPRODUCT(--(LEN(TRIM($B$12:$B41))&gt;0),--(F$12:F41=TRUE())))&lt;=MOD(F$46,MAX(1,F$48)),1,0),0)</f>
        <v>0</v>
      </c>
      <c r="H81" s="14" t="n">
        <f aca="false">IF(AND(H$47,H$48&gt;0,LEN(TRIM($B41))&gt;0,H41=TRUE(),IF(H$50,$C41&lt;&gt;TRUE(),TRUE())),QUOTIENT(H$46,MAX(1,H$48))+IF(IF(H$50,SUMPRODUCT(--(LEN(TRIM($B$12:$B41))&gt;0),--(H$12:H41=TRUE()),--($C$12:$C41&lt;&gt;TRUE())),SUMPRODUCT(--(LEN(TRIM($B$12:$B41))&gt;0),--(H$12:H41=TRUE())))&lt;=MOD(H$46,MAX(1,H$48)),1,0),0)</f>
        <v>0</v>
      </c>
      <c r="J81" s="14" t="n">
        <f aca="false">IF(AND(J$47,J$48&gt;0,LEN(TRIM($B41))&gt;0,J41=TRUE(),IF(J$50,$C41&lt;&gt;TRUE(),TRUE())),QUOTIENT(J$46,MAX(1,J$48))+IF(IF(J$50,SUMPRODUCT(--(LEN(TRIM($B$12:$B41))&gt;0),--(J$12:J41=TRUE()),--($C$12:$C41&lt;&gt;TRUE())),SUMPRODUCT(--(LEN(TRIM($B$12:$B41))&gt;0),--(J$12:J41=TRUE())))&lt;=MOD(J$46,MAX(1,J$48)),1,0),0)</f>
        <v>0</v>
      </c>
      <c r="L81" s="14" t="n">
        <f aca="false">IF(AND(L$47,L$48&gt;0,LEN(TRIM($B41))&gt;0,L41=TRUE(),IF(L$50,$C41&lt;&gt;TRUE(),TRUE())),QUOTIENT(L$46,MAX(1,L$48))+IF(IF(L$50,SUMPRODUCT(--(LEN(TRIM($B$12:$B41))&gt;0),--(L$12:L41=TRUE()),--($C$12:$C41&lt;&gt;TRUE())),SUMPRODUCT(--(LEN(TRIM($B$12:$B41))&gt;0),--(L$12:L41=TRUE())))&lt;=MOD(L$46,MAX(1,L$48)),1,0),0)</f>
        <v>0</v>
      </c>
      <c r="N81" s="14" t="n">
        <f aca="false">IF(AND(N$47,N$48&gt;0,LEN(TRIM($B41))&gt;0,N41=TRUE(),IF(N$50,$C41&lt;&gt;TRUE(),TRUE())),QUOTIENT(N$46,MAX(1,N$48))+IF(IF(N$50,SUMPRODUCT(--(LEN(TRIM($B$12:$B41))&gt;0),--(N$12:N41=TRUE()),--($C$12:$C41&lt;&gt;TRUE())),SUMPRODUCT(--(LEN(TRIM($B$12:$B41))&gt;0),--(N$12:N41=TRUE())))&lt;=MOD(N$46,MAX(1,N$48)),1,0),0)</f>
        <v>0</v>
      </c>
      <c r="P81" s="14" t="n">
        <f aca="false">IF(AND(P$47,P$48&gt;0,LEN(TRIM($B41))&gt;0,P41=TRUE(),IF(P$50,$C41&lt;&gt;TRUE(),TRUE())),QUOTIENT(P$46,MAX(1,P$48))+IF(IF(P$50,SUMPRODUCT(--(LEN(TRIM($B$12:$B41))&gt;0),--(P$12:P41=TRUE()),--($C$12:$C41&lt;&gt;TRUE())),SUMPRODUCT(--(LEN(TRIM($B$12:$B41))&gt;0),--(P$12:P41=TRUE())))&lt;=MOD(P$46,MAX(1,P$48)),1,0),0)</f>
        <v>0</v>
      </c>
    </row>
  </sheetData>
  <mergeCells count="28">
    <mergeCell ref="D4:E4"/>
    <mergeCell ref="F4:G4"/>
    <mergeCell ref="H4:I4"/>
    <mergeCell ref="J4:K4"/>
    <mergeCell ref="L4:M4"/>
    <mergeCell ref="N4:O4"/>
    <mergeCell ref="P4:Q4"/>
    <mergeCell ref="D5:E5"/>
    <mergeCell ref="F5:G5"/>
    <mergeCell ref="H5:I5"/>
    <mergeCell ref="J5:K5"/>
    <mergeCell ref="L5:M5"/>
    <mergeCell ref="N5:O5"/>
    <mergeCell ref="P5:Q5"/>
    <mergeCell ref="D9:E9"/>
    <mergeCell ref="F9:G9"/>
    <mergeCell ref="H9:I9"/>
    <mergeCell ref="J9:K9"/>
    <mergeCell ref="L9:M9"/>
    <mergeCell ref="N9:O9"/>
    <mergeCell ref="P9:Q9"/>
    <mergeCell ref="D10:E10"/>
    <mergeCell ref="F10:G10"/>
    <mergeCell ref="H10:I10"/>
    <mergeCell ref="J10:K10"/>
    <mergeCell ref="L10:M10"/>
    <mergeCell ref="N10:O10"/>
    <mergeCell ref="P10:Q10"/>
  </mergeCells>
  <dataValidations count="30"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3" type="custom">
      <formula1>OR(C3=1,C3=0)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12:C41" type="custom">
      <formula1>OR(C12=1,C12=0)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D12:D41" type="custom">
      <formula1>OR(D12=1,D12=0)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F12:F41" type="custom">
      <formula1>OR(F12=1,F12=0)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H12:H41" type="custom">
      <formula1>OR(H12=1,H12=0)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J12:J41" type="custom">
      <formula1>OR(J12=1,J12=0)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L12:L41" type="custom">
      <formula1>OR(L12=1,L12=0)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N12:N41" type="custom">
      <formula1>OR(N12=1,N12=0)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P12:P41" type="custom">
      <formula1>OR(P12=1,P12=0)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D5:E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6" type="custom">
      <formula1>OR(LEN(TRIM(D6&amp;""))=0,IFERROR(AND(ISNUMBER(D6),D6&gt;=0,D6&lt;=100000000,ROUND(D6,1)=D6),0))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F5:G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6" type="custom">
      <formula1>OR(LEN(TRIM(F6&amp;""))=0,IFERROR(AND(ISNUMBER(F6),F6&gt;=0,F6&lt;=100000000,ROUND(F6,1)=F6),0))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H5:I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6" type="custom">
      <formula1>OR(LEN(TRIM(H6&amp;""))=0,IFERROR(AND(ISNUMBER(H6),H6&gt;=0,H6&lt;=100000000,ROUND(H6,1)=H6),0))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J5:K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6" type="custom">
      <formula1>OR(LEN(TRIM(J6&amp;""))=0,IFERROR(AND(ISNUMBER(J6),J6&gt;=0,J6&lt;=100000000,ROUND(J6,1)=J6),0))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L5:M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6" type="custom">
      <formula1>OR(LEN(TRIM(L6&amp;""))=0,IFERROR(AND(ISNUMBER(L6),L6&gt;=0,L6&lt;=100000000,ROUND(L6,1)=L6),0))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N5:O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6" type="custom">
      <formula1>OR(LEN(TRIM(N6&amp;""))=0,IFERROR(AND(ISNUMBER(N6),N6&gt;=0,N6&lt;=100000000,ROUND(N6,1)=N6),0))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P5:Q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6" type="custom">
      <formula1>OR(LEN(TRIM(P6&amp;""))=0,IFERROR(AND(ISNUMBER(P6),P6&gt;=0,P6&lt;=100000000,ROUND(P6,1)=P6),0))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40"/>
    <col collapsed="false" customWidth="true" hidden="false" outlineLevel="0" max="2" min="2" style="0" width="22.86"/>
    <col collapsed="false" customWidth="true" hidden="false" outlineLevel="0" max="3" min="3" style="0" width="13.15"/>
    <col collapsed="false" customWidth="true" hidden="false" outlineLevel="0" max="17" min="4" style="0" width="21.14"/>
  </cols>
  <sheetData>
    <row r="1" customFormat="false" ht="32.8" hidden="true" customHeight="false" outlineLevel="0" collapsed="false">
      <c r="A1" s="1" t="s">
        <v>161</v>
      </c>
      <c r="D1" s="1" t="s">
        <v>162</v>
      </c>
      <c r="F1" s="1" t="s">
        <v>163</v>
      </c>
      <c r="H1" s="1" t="s">
        <v>164</v>
      </c>
      <c r="J1" s="1" t="s">
        <v>165</v>
      </c>
      <c r="L1" s="1" t="s">
        <v>166</v>
      </c>
      <c r="N1" s="1" t="s">
        <v>167</v>
      </c>
      <c r="P1" s="1" t="s">
        <v>168</v>
      </c>
    </row>
    <row r="2" customFormat="false" ht="48.5" hidden="false" customHeight="false" outlineLevel="0" collapsed="false">
      <c r="B2" s="16" t="s">
        <v>169</v>
      </c>
      <c r="D2" s="1" t="s">
        <v>67</v>
      </c>
    </row>
    <row r="3" customFormat="false" ht="48.5" hidden="false" customHeight="false" outlineLevel="0" collapsed="false">
      <c r="B3" s="1" t="s">
        <v>68</v>
      </c>
      <c r="C3" s="18" t="b">
        <f aca="false">FALSE()</f>
        <v>0</v>
      </c>
      <c r="D3" s="1" t="s">
        <v>69</v>
      </c>
    </row>
    <row r="4" customFormat="false" ht="27.75" hidden="false" customHeight="true" outlineLevel="0" collapsed="false">
      <c r="B4" s="1" t="s">
        <v>70</v>
      </c>
      <c r="D4" s="19" t="s">
        <v>71</v>
      </c>
      <c r="E4" s="19"/>
      <c r="F4" s="19" t="s">
        <v>72</v>
      </c>
      <c r="G4" s="19"/>
      <c r="H4" s="19" t="s">
        <v>73</v>
      </c>
      <c r="I4" s="19"/>
      <c r="J4" s="19" t="s">
        <v>74</v>
      </c>
      <c r="K4" s="19"/>
      <c r="L4" s="19" t="s">
        <v>75</v>
      </c>
      <c r="M4" s="19"/>
      <c r="N4" s="19" t="s">
        <v>76</v>
      </c>
      <c r="O4" s="19"/>
      <c r="P4" s="19" t="s">
        <v>77</v>
      </c>
      <c r="Q4" s="19"/>
    </row>
    <row r="5" customFormat="false" ht="27.75" hidden="false" customHeight="true" outlineLevel="0" collapsed="false">
      <c r="B5" s="1" t="s">
        <v>78</v>
      </c>
      <c r="D5" s="19" t="s">
        <v>71</v>
      </c>
      <c r="E5" s="19"/>
      <c r="F5" s="19" t="s">
        <v>72</v>
      </c>
      <c r="G5" s="19"/>
      <c r="H5" s="19" t="s">
        <v>73</v>
      </c>
      <c r="I5" s="19"/>
      <c r="J5" s="19" t="s">
        <v>74</v>
      </c>
      <c r="K5" s="19"/>
      <c r="L5" s="19" t="s">
        <v>75</v>
      </c>
      <c r="M5" s="19"/>
      <c r="N5" s="19" t="s">
        <v>76</v>
      </c>
      <c r="O5" s="19"/>
      <c r="P5" s="19" t="s">
        <v>77</v>
      </c>
      <c r="Q5" s="19"/>
    </row>
    <row r="6" customFormat="false" ht="27.75" hidden="false" customHeight="true" outlineLevel="0" collapsed="false">
      <c r="B6" s="1" t="s">
        <v>79</v>
      </c>
      <c r="D6" s="16"/>
      <c r="E6" s="1" t="s">
        <v>80</v>
      </c>
      <c r="F6" s="16"/>
      <c r="G6" s="1" t="s">
        <v>80</v>
      </c>
      <c r="H6" s="16"/>
      <c r="I6" s="1" t="s">
        <v>80</v>
      </c>
      <c r="J6" s="16"/>
      <c r="K6" s="1" t="s">
        <v>80</v>
      </c>
      <c r="L6" s="16"/>
      <c r="M6" s="1" t="s">
        <v>80</v>
      </c>
      <c r="N6" s="16"/>
      <c r="O6" s="1" t="s">
        <v>80</v>
      </c>
      <c r="P6" s="16"/>
      <c r="Q6" s="1" t="s">
        <v>80</v>
      </c>
    </row>
    <row r="7" customFormat="false" ht="27.75" hidden="false" customHeight="true" outlineLevel="0" collapsed="false">
      <c r="B7" s="1" t="s">
        <v>81</v>
      </c>
      <c r="D7" s="16"/>
      <c r="E7" s="20" t="str">
        <f aca="false">IFERROR(INDEX(成員名單!$B$5:$B$34,MATCH(D7,成員名單!$A$5:$A$34,0))&amp;"","")</f>
        <v/>
      </c>
      <c r="F7" s="16"/>
      <c r="G7" s="20" t="str">
        <f aca="false">IFERROR(INDEX(成員名單!$B$5:$B$34,MATCH(F7,成員名單!$A$5:$A$34,0))&amp;"","")</f>
        <v/>
      </c>
      <c r="H7" s="16"/>
      <c r="I7" s="20" t="str">
        <f aca="false">IFERROR(INDEX(成員名單!$B$5:$B$34,MATCH(H7,成員名單!$A$5:$A$34,0))&amp;"","")</f>
        <v/>
      </c>
      <c r="J7" s="16"/>
      <c r="K7" s="20" t="str">
        <f aca="false">IFERROR(INDEX(成員名單!$B$5:$B$34,MATCH(J7,成員名單!$A$5:$A$34,0))&amp;"","")</f>
        <v/>
      </c>
      <c r="L7" s="16"/>
      <c r="M7" s="20" t="str">
        <f aca="false">IFERROR(INDEX(成員名單!$B$5:$B$34,MATCH(L7,成員名單!$A$5:$A$34,0))&amp;"","")</f>
        <v/>
      </c>
      <c r="N7" s="16"/>
      <c r="O7" s="20" t="str">
        <f aca="false">IFERROR(INDEX(成員名單!$B$5:$B$34,MATCH(N7,成員名單!$A$5:$A$34,0))&amp;"","")</f>
        <v/>
      </c>
      <c r="P7" s="16"/>
      <c r="Q7" s="20" t="str">
        <f aca="false">IFERROR(INDEX(成員名單!$B$5:$B$34,MATCH(P7,成員名單!$A$5:$A$34,0))&amp;"","")</f>
        <v/>
      </c>
    </row>
    <row r="8" customFormat="false" ht="27.75" hidden="false" customHeight="true" outlineLevel="0" collapsed="false">
      <c r="B8" s="1" t="s">
        <v>82</v>
      </c>
      <c r="D8" s="20" t="n">
        <f aca="false">IF(D$47,D$48,0)</f>
        <v>0</v>
      </c>
      <c r="E8" s="1" t="s">
        <v>83</v>
      </c>
      <c r="F8" s="20" t="n">
        <f aca="false">IF(F$47,F$48,0)</f>
        <v>0</v>
      </c>
      <c r="G8" s="1" t="s">
        <v>83</v>
      </c>
      <c r="H8" s="20" t="n">
        <f aca="false">IF(H$47,H$48,0)</f>
        <v>0</v>
      </c>
      <c r="I8" s="1" t="s">
        <v>83</v>
      </c>
      <c r="J8" s="20" t="n">
        <f aca="false">IF(J$47,J$48,0)</f>
        <v>0</v>
      </c>
      <c r="K8" s="1" t="s">
        <v>83</v>
      </c>
      <c r="L8" s="20" t="n">
        <f aca="false">IF(L$47,L$48,0)</f>
        <v>0</v>
      </c>
      <c r="M8" s="1" t="s">
        <v>83</v>
      </c>
      <c r="N8" s="20" t="n">
        <f aca="false">IF(N$47,N$48,0)</f>
        <v>0</v>
      </c>
      <c r="O8" s="1" t="s">
        <v>83</v>
      </c>
      <c r="P8" s="20" t="n">
        <f aca="false">IF(P$47,P$48,0)</f>
        <v>0</v>
      </c>
      <c r="Q8" s="1" t="s">
        <v>83</v>
      </c>
    </row>
    <row r="9" customFormat="false" ht="27.75" hidden="false" customHeight="true" outlineLevel="0" collapsed="false">
      <c r="B9" s="1" t="s">
        <v>84</v>
      </c>
      <c r="D9" s="21" t="str">
        <f aca="false">IF(OR(NOT(D$47),D$48=0),"暫不分攤",TEXT(QUOTIENT(D$46,MAX(1,D$48))/10,"0.0")&amp;IF(MOD(D$46,MAX(1,D$48))&gt;0,"–"&amp;TEXT((QUOTIENT(D$46,MAX(1,D$48))+1)/10,"0.0"),"")&amp;" 元／人")</f>
        <v>暫不分攤</v>
      </c>
      <c r="E9" s="21"/>
      <c r="F9" s="21" t="str">
        <f aca="false">IF(OR(NOT(F$47),F$48=0),"暫不分攤",TEXT(QUOTIENT(F$46,MAX(1,F$48))/10,"0.0")&amp;IF(MOD(F$46,MAX(1,F$48))&gt;0,"–"&amp;TEXT((QUOTIENT(F$46,MAX(1,F$48))+1)/10,"0.0"),"")&amp;" 元／人")</f>
        <v>暫不分攤</v>
      </c>
      <c r="G9" s="21"/>
      <c r="H9" s="21" t="str">
        <f aca="false">IF(OR(NOT(H$47),H$48=0),"暫不分攤",TEXT(QUOTIENT(H$46,MAX(1,H$48))/10,"0.0")&amp;IF(MOD(H$46,MAX(1,H$48))&gt;0,"–"&amp;TEXT((QUOTIENT(H$46,MAX(1,H$48))+1)/10,"0.0"),"")&amp;" 元／人")</f>
        <v>暫不分攤</v>
      </c>
      <c r="I9" s="21"/>
      <c r="J9" s="21" t="str">
        <f aca="false">IF(OR(NOT(J$47),J$48=0),"暫不分攤",TEXT(QUOTIENT(J$46,MAX(1,J$48))/10,"0.0")&amp;IF(MOD(J$46,MAX(1,J$48))&gt;0,"–"&amp;TEXT((QUOTIENT(J$46,MAX(1,J$48))+1)/10,"0.0"),"")&amp;" 元／人")</f>
        <v>暫不分攤</v>
      </c>
      <c r="K9" s="21"/>
      <c r="L9" s="21" t="str">
        <f aca="false">IF(OR(NOT(L$47),L$48=0),"暫不分攤",TEXT(QUOTIENT(L$46,MAX(1,L$48))/10,"0.0")&amp;IF(MOD(L$46,MAX(1,L$48))&gt;0,"–"&amp;TEXT((QUOTIENT(L$46,MAX(1,L$48))+1)/10,"0.0"),"")&amp;" 元／人")</f>
        <v>暫不分攤</v>
      </c>
      <c r="M9" s="21"/>
      <c r="N9" s="21" t="str">
        <f aca="false">IF(OR(NOT(N$47),N$48=0),"暫不分攤",TEXT(QUOTIENT(N$46,MAX(1,N$48))/10,"0.0")&amp;IF(MOD(N$46,MAX(1,N$48))&gt;0,"–"&amp;TEXT((QUOTIENT(N$46,MAX(1,N$48))+1)/10,"0.0"),"")&amp;" 元／人")</f>
        <v>暫不分攤</v>
      </c>
      <c r="O9" s="21"/>
      <c r="P9" s="21" t="str">
        <f aca="false">IF(OR(NOT(P$47),P$48=0),"暫不分攤",TEXT(QUOTIENT(P$46,MAX(1,P$48))/10,"0.0")&amp;IF(MOD(P$46,MAX(1,P$48))&gt;0,"–"&amp;TEXT((QUOTIENT(P$46,MAX(1,P$48))+1)/10,"0.0"),"")&amp;" 元／人")</f>
        <v>暫不分攤</v>
      </c>
      <c r="Q9" s="21"/>
    </row>
    <row r="10" customFormat="false" ht="81.75" hidden="false" customHeight="true" outlineLevel="0" collapsed="false">
      <c r="B10" s="1" t="s">
        <v>53</v>
      </c>
      <c r="D10" s="22" t="str">
        <f aca="false">IF(NOT(D$47),"金額須為非負數且最多一位小數。 ","")&amp;IF(AND(D$46&gt;0,D$50,$C$3&lt;&gt;TRUE()),"未用車但有車資：保留金額，暫不分攤。 ","")&amp;IF(AND(D$46&gt;0,D$50,$C$3=TRUE(),$C$49=0),"請設定具名司機；車資暫不分攤。 ","")&amp;IF(AND(D$46&gt;0,D$48=0,NOT(AND(D$46&gt;0,D$50,$C$3&lt;&gt;TRUE())),NOT(AND(D$46&gt;0,D$50,$C$3=TRUE(),$C$49=0))),"沒有可分攤者。 ","")&amp;IF(AND(D$46&gt;0,LEN(TRIM(E7))=0),"請指定具名代墊者。","")</f>
        <v/>
      </c>
      <c r="E10" s="22"/>
      <c r="F10" s="22" t="str">
        <f aca="false">IF(NOT(F$47),"金額須為非負數且最多一位小數。 ","")&amp;IF(AND(F$46&gt;0,F$50,$C$3&lt;&gt;TRUE()),"未用車但有車資：保留金額，暫不分攤。 ","")&amp;IF(AND(F$46&gt;0,F$50,$C$3=TRUE(),$C$49=0),"請設定具名司機；車資暫不分攤。 ","")&amp;IF(AND(F$46&gt;0,F$48=0,NOT(AND(F$46&gt;0,F$50,$C$3&lt;&gt;TRUE())),NOT(AND(F$46&gt;0,F$50,$C$3=TRUE(),$C$49=0))),"沒有可分攤者。 ","")&amp;IF(AND(F$46&gt;0,LEN(TRIM(G7))=0),"請指定具名代墊者。","")</f>
        <v/>
      </c>
      <c r="G10" s="22"/>
      <c r="H10" s="22" t="str">
        <f aca="false">IF(NOT(H$47),"金額須為非負數且最多一位小數。 ","")&amp;IF(AND(H$46&gt;0,H$50,$C$3&lt;&gt;TRUE()),"未用車但有車資：保留金額，暫不分攤。 ","")&amp;IF(AND(H$46&gt;0,H$50,$C$3=TRUE(),$C$49=0),"請設定具名司機；車資暫不分攤。 ","")&amp;IF(AND(H$46&gt;0,H$48=0,NOT(AND(H$46&gt;0,H$50,$C$3&lt;&gt;TRUE())),NOT(AND(H$46&gt;0,H$50,$C$3=TRUE(),$C$49=0))),"沒有可分攤者。 ","")&amp;IF(AND(H$46&gt;0,LEN(TRIM(I7))=0),"請指定具名代墊者。","")</f>
        <v/>
      </c>
      <c r="I10" s="22"/>
      <c r="J10" s="22" t="str">
        <f aca="false">IF(NOT(J$47),"金額須為非負數且最多一位小數。 ","")&amp;IF(AND(J$46&gt;0,J$50,$C$3&lt;&gt;TRUE()),"未用車但有車資：保留金額，暫不分攤。 ","")&amp;IF(AND(J$46&gt;0,J$50,$C$3=TRUE(),$C$49=0),"請設定具名司機；車資暫不分攤。 ","")&amp;IF(AND(J$46&gt;0,J$48=0,NOT(AND(J$46&gt;0,J$50,$C$3&lt;&gt;TRUE())),NOT(AND(J$46&gt;0,J$50,$C$3=TRUE(),$C$49=0))),"沒有可分攤者。 ","")&amp;IF(AND(J$46&gt;0,LEN(TRIM(K7))=0),"請指定具名代墊者。","")</f>
        <v/>
      </c>
      <c r="K10" s="22"/>
      <c r="L10" s="22" t="str">
        <f aca="false">IF(NOT(L$47),"金額須為非負數且最多一位小數。 ","")&amp;IF(AND(L$46&gt;0,L$50,$C$3&lt;&gt;TRUE()),"未用車但有車資：保留金額，暫不分攤。 ","")&amp;IF(AND(L$46&gt;0,L$50,$C$3=TRUE(),$C$49=0),"請設定具名司機；車資暫不分攤。 ","")&amp;IF(AND(L$46&gt;0,L$48=0,NOT(AND(L$46&gt;0,L$50,$C$3&lt;&gt;TRUE())),NOT(AND(L$46&gt;0,L$50,$C$3=TRUE(),$C$49=0))),"沒有可分攤者。 ","")&amp;IF(AND(L$46&gt;0,LEN(TRIM(M7))=0),"請指定具名代墊者。","")</f>
        <v/>
      </c>
      <c r="M10" s="22"/>
      <c r="N10" s="22" t="str">
        <f aca="false">IF(NOT(N$47),"金額須為非負數且最多一位小數。 ","")&amp;IF(AND(N$46&gt;0,N$50,$C$3&lt;&gt;TRUE()),"未用車但有車資：保留金額，暫不分攤。 ","")&amp;IF(AND(N$46&gt;0,N$50,$C$3=TRUE(),$C$49=0),"請設定具名司機；車資暫不分攤。 ","")&amp;IF(AND(N$46&gt;0,N$48=0,NOT(AND(N$46&gt;0,N$50,$C$3&lt;&gt;TRUE())),NOT(AND(N$46&gt;0,N$50,$C$3=TRUE(),$C$49=0))),"沒有可分攤者。 ","")&amp;IF(AND(N$46&gt;0,LEN(TRIM(O7))=0),"請指定具名代墊者。","")</f>
        <v/>
      </c>
      <c r="O10" s="22"/>
      <c r="P10" s="22" t="str">
        <f aca="false">IF(NOT(P$47),"金額須為非負數且最多一位小數。 ","")&amp;IF(AND(P$46&gt;0,P$50,$C$3&lt;&gt;TRUE()),"未用車但有車資：保留金額，暫不分攤。 ","")&amp;IF(AND(P$46&gt;0,P$50,$C$3=TRUE(),$C$49=0),"請設定具名司機；車資暫不分攤。 ","")&amp;IF(AND(P$46&gt;0,P$48=0,NOT(AND(P$46&gt;0,P$50,$C$3&lt;&gt;TRUE())),NOT(AND(P$46&gt;0,P$50,$C$3=TRUE(),$C$49=0))),"沒有可分攤者。 ","")&amp;IF(AND(P$46&gt;0,LEN(TRIM(Q7))=0),"請指定具名代墊者。","")</f>
        <v/>
      </c>
      <c r="Q10" s="22"/>
    </row>
    <row r="11" customFormat="false" ht="30" hidden="false" customHeight="true" outlineLevel="0" collapsed="false">
      <c r="A11" s="3" t="s">
        <v>8</v>
      </c>
      <c r="B11" s="3" t="s">
        <v>9</v>
      </c>
      <c r="C11" s="3" t="s">
        <v>85</v>
      </c>
      <c r="D11" s="3" t="s">
        <v>86</v>
      </c>
      <c r="E11" s="3" t="s">
        <v>87</v>
      </c>
      <c r="F11" s="3" t="s">
        <v>86</v>
      </c>
      <c r="G11" s="3" t="s">
        <v>87</v>
      </c>
      <c r="H11" s="3" t="s">
        <v>86</v>
      </c>
      <c r="I11" s="3" t="s">
        <v>87</v>
      </c>
      <c r="J11" s="3" t="s">
        <v>86</v>
      </c>
      <c r="K11" s="3" t="s">
        <v>87</v>
      </c>
      <c r="L11" s="3" t="s">
        <v>86</v>
      </c>
      <c r="M11" s="3" t="s">
        <v>87</v>
      </c>
      <c r="N11" s="3" t="s">
        <v>86</v>
      </c>
      <c r="O11" s="3" t="s">
        <v>87</v>
      </c>
      <c r="P11" s="3" t="s">
        <v>86</v>
      </c>
      <c r="Q11" s="3" t="s">
        <v>87</v>
      </c>
    </row>
    <row r="12" customFormat="false" ht="27" hidden="false" customHeight="true" outlineLevel="0" collapsed="false">
      <c r="A12" s="8" t="s">
        <v>18</v>
      </c>
      <c r="B12" s="9" t="str">
        <f aca="false">IFERROR(INDEX(成員名單!$B$5:$B$34,MATCH($A12,成員名單!$A$5:$A$34,0))&amp;"","")</f>
        <v/>
      </c>
      <c r="C12" s="23" t="b">
        <f aca="false">FALSE()</f>
        <v>0</v>
      </c>
      <c r="D12" s="23" t="b">
        <f aca="false">FALSE()</f>
        <v>0</v>
      </c>
      <c r="E12" s="9" t="n">
        <f aca="false">D52/10</f>
        <v>0</v>
      </c>
      <c r="F12" s="23" t="b">
        <f aca="false">FALSE()</f>
        <v>0</v>
      </c>
      <c r="G12" s="9" t="n">
        <f aca="false">F52/10</f>
        <v>0</v>
      </c>
      <c r="H12" s="23" t="b">
        <f aca="false">FALSE()</f>
        <v>0</v>
      </c>
      <c r="I12" s="9" t="n">
        <f aca="false">H52/10</f>
        <v>0</v>
      </c>
      <c r="J12" s="23" t="b">
        <f aca="false">FALSE()</f>
        <v>0</v>
      </c>
      <c r="K12" s="9" t="n">
        <f aca="false">J52/10</f>
        <v>0</v>
      </c>
      <c r="L12" s="23" t="b">
        <f aca="false">FALSE()</f>
        <v>0</v>
      </c>
      <c r="M12" s="9" t="n">
        <f aca="false">L52/10</f>
        <v>0</v>
      </c>
      <c r="N12" s="23" t="b">
        <f aca="false">FALSE()</f>
        <v>0</v>
      </c>
      <c r="O12" s="9" t="n">
        <f aca="false">N52/10</f>
        <v>0</v>
      </c>
      <c r="P12" s="23" t="b">
        <f aca="false">FALSE()</f>
        <v>0</v>
      </c>
      <c r="Q12" s="9" t="n">
        <f aca="false">P52/10</f>
        <v>0</v>
      </c>
    </row>
    <row r="13" customFormat="false" ht="27" hidden="false" customHeight="true" outlineLevel="0" collapsed="false">
      <c r="A13" s="10" t="s">
        <v>19</v>
      </c>
      <c r="B13" s="11" t="str">
        <f aca="false">IFERROR(INDEX(成員名單!$B$5:$B$34,MATCH($A13,成員名單!$A$5:$A$34,0))&amp;"","")</f>
        <v/>
      </c>
      <c r="C13" s="23" t="b">
        <f aca="false">FALSE()</f>
        <v>0</v>
      </c>
      <c r="D13" s="23" t="b">
        <f aca="false">FALSE()</f>
        <v>0</v>
      </c>
      <c r="E13" s="11" t="n">
        <f aca="false">D53/10</f>
        <v>0</v>
      </c>
      <c r="F13" s="23" t="b">
        <f aca="false">FALSE()</f>
        <v>0</v>
      </c>
      <c r="G13" s="11" t="n">
        <f aca="false">F53/10</f>
        <v>0</v>
      </c>
      <c r="H13" s="23" t="b">
        <f aca="false">FALSE()</f>
        <v>0</v>
      </c>
      <c r="I13" s="11" t="n">
        <f aca="false">H53/10</f>
        <v>0</v>
      </c>
      <c r="J13" s="23" t="b">
        <f aca="false">FALSE()</f>
        <v>0</v>
      </c>
      <c r="K13" s="11" t="n">
        <f aca="false">J53/10</f>
        <v>0</v>
      </c>
      <c r="L13" s="23" t="b">
        <f aca="false">FALSE()</f>
        <v>0</v>
      </c>
      <c r="M13" s="11" t="n">
        <f aca="false">L53/10</f>
        <v>0</v>
      </c>
      <c r="N13" s="23" t="b">
        <f aca="false">FALSE()</f>
        <v>0</v>
      </c>
      <c r="O13" s="11" t="n">
        <f aca="false">N53/10</f>
        <v>0</v>
      </c>
      <c r="P13" s="23" t="b">
        <f aca="false">FALSE()</f>
        <v>0</v>
      </c>
      <c r="Q13" s="11" t="n">
        <f aca="false">P53/10</f>
        <v>0</v>
      </c>
    </row>
    <row r="14" customFormat="false" ht="27" hidden="false" customHeight="true" outlineLevel="0" collapsed="false">
      <c r="A14" s="8" t="s">
        <v>20</v>
      </c>
      <c r="B14" s="9" t="str">
        <f aca="false">IFERROR(INDEX(成員名單!$B$5:$B$34,MATCH($A14,成員名單!$A$5:$A$34,0))&amp;"","")</f>
        <v/>
      </c>
      <c r="C14" s="23" t="b">
        <f aca="false">FALSE()</f>
        <v>0</v>
      </c>
      <c r="D14" s="23" t="b">
        <f aca="false">FALSE()</f>
        <v>0</v>
      </c>
      <c r="E14" s="9" t="n">
        <f aca="false">D54/10</f>
        <v>0</v>
      </c>
      <c r="F14" s="23" t="b">
        <f aca="false">FALSE()</f>
        <v>0</v>
      </c>
      <c r="G14" s="9" t="n">
        <f aca="false">F54/10</f>
        <v>0</v>
      </c>
      <c r="H14" s="23" t="b">
        <f aca="false">FALSE()</f>
        <v>0</v>
      </c>
      <c r="I14" s="9" t="n">
        <f aca="false">H54/10</f>
        <v>0</v>
      </c>
      <c r="J14" s="23" t="b">
        <f aca="false">FALSE()</f>
        <v>0</v>
      </c>
      <c r="K14" s="9" t="n">
        <f aca="false">J54/10</f>
        <v>0</v>
      </c>
      <c r="L14" s="23" t="b">
        <f aca="false">FALSE()</f>
        <v>0</v>
      </c>
      <c r="M14" s="9" t="n">
        <f aca="false">L54/10</f>
        <v>0</v>
      </c>
      <c r="N14" s="23" t="b">
        <f aca="false">FALSE()</f>
        <v>0</v>
      </c>
      <c r="O14" s="9" t="n">
        <f aca="false">N54/10</f>
        <v>0</v>
      </c>
      <c r="P14" s="23" t="b">
        <f aca="false">FALSE()</f>
        <v>0</v>
      </c>
      <c r="Q14" s="9" t="n">
        <f aca="false">P54/10</f>
        <v>0</v>
      </c>
    </row>
    <row r="15" customFormat="false" ht="27" hidden="false" customHeight="true" outlineLevel="0" collapsed="false">
      <c r="A15" s="10" t="s">
        <v>21</v>
      </c>
      <c r="B15" s="11" t="str">
        <f aca="false">IFERROR(INDEX(成員名單!$B$5:$B$34,MATCH($A15,成員名單!$A$5:$A$34,0))&amp;"","")</f>
        <v/>
      </c>
      <c r="C15" s="23" t="b">
        <f aca="false">FALSE()</f>
        <v>0</v>
      </c>
      <c r="D15" s="23" t="b">
        <f aca="false">FALSE()</f>
        <v>0</v>
      </c>
      <c r="E15" s="11" t="n">
        <f aca="false">D55/10</f>
        <v>0</v>
      </c>
      <c r="F15" s="23" t="b">
        <f aca="false">FALSE()</f>
        <v>0</v>
      </c>
      <c r="G15" s="11" t="n">
        <f aca="false">F55/10</f>
        <v>0</v>
      </c>
      <c r="H15" s="23" t="b">
        <f aca="false">FALSE()</f>
        <v>0</v>
      </c>
      <c r="I15" s="11" t="n">
        <f aca="false">H55/10</f>
        <v>0</v>
      </c>
      <c r="J15" s="23" t="b">
        <f aca="false">FALSE()</f>
        <v>0</v>
      </c>
      <c r="K15" s="11" t="n">
        <f aca="false">J55/10</f>
        <v>0</v>
      </c>
      <c r="L15" s="23" t="b">
        <f aca="false">FALSE()</f>
        <v>0</v>
      </c>
      <c r="M15" s="11" t="n">
        <f aca="false">L55/10</f>
        <v>0</v>
      </c>
      <c r="N15" s="23" t="b">
        <f aca="false">FALSE()</f>
        <v>0</v>
      </c>
      <c r="O15" s="11" t="n">
        <f aca="false">N55/10</f>
        <v>0</v>
      </c>
      <c r="P15" s="23" t="b">
        <f aca="false">FALSE()</f>
        <v>0</v>
      </c>
      <c r="Q15" s="11" t="n">
        <f aca="false">P55/10</f>
        <v>0</v>
      </c>
    </row>
    <row r="16" customFormat="false" ht="27" hidden="false" customHeight="true" outlineLevel="0" collapsed="false">
      <c r="A16" s="8" t="s">
        <v>22</v>
      </c>
      <c r="B16" s="9" t="str">
        <f aca="false">IFERROR(INDEX(成員名單!$B$5:$B$34,MATCH($A16,成員名單!$A$5:$A$34,0))&amp;"","")</f>
        <v/>
      </c>
      <c r="C16" s="23" t="b">
        <f aca="false">FALSE()</f>
        <v>0</v>
      </c>
      <c r="D16" s="23" t="b">
        <f aca="false">FALSE()</f>
        <v>0</v>
      </c>
      <c r="E16" s="9" t="n">
        <f aca="false">D56/10</f>
        <v>0</v>
      </c>
      <c r="F16" s="23" t="b">
        <f aca="false">FALSE()</f>
        <v>0</v>
      </c>
      <c r="G16" s="9" t="n">
        <f aca="false">F56/10</f>
        <v>0</v>
      </c>
      <c r="H16" s="23" t="b">
        <f aca="false">FALSE()</f>
        <v>0</v>
      </c>
      <c r="I16" s="9" t="n">
        <f aca="false">H56/10</f>
        <v>0</v>
      </c>
      <c r="J16" s="23" t="b">
        <f aca="false">FALSE()</f>
        <v>0</v>
      </c>
      <c r="K16" s="9" t="n">
        <f aca="false">J56/10</f>
        <v>0</v>
      </c>
      <c r="L16" s="23" t="b">
        <f aca="false">FALSE()</f>
        <v>0</v>
      </c>
      <c r="M16" s="9" t="n">
        <f aca="false">L56/10</f>
        <v>0</v>
      </c>
      <c r="N16" s="23" t="b">
        <f aca="false">FALSE()</f>
        <v>0</v>
      </c>
      <c r="O16" s="9" t="n">
        <f aca="false">N56/10</f>
        <v>0</v>
      </c>
      <c r="P16" s="23" t="b">
        <f aca="false">FALSE()</f>
        <v>0</v>
      </c>
      <c r="Q16" s="9" t="n">
        <f aca="false">P56/10</f>
        <v>0</v>
      </c>
    </row>
    <row r="17" customFormat="false" ht="27" hidden="false" customHeight="true" outlineLevel="0" collapsed="false">
      <c r="A17" s="10" t="s">
        <v>23</v>
      </c>
      <c r="B17" s="11" t="str">
        <f aca="false">IFERROR(INDEX(成員名單!$B$5:$B$34,MATCH($A17,成員名單!$A$5:$A$34,0))&amp;"","")</f>
        <v/>
      </c>
      <c r="C17" s="23" t="b">
        <f aca="false">FALSE()</f>
        <v>0</v>
      </c>
      <c r="D17" s="23" t="b">
        <f aca="false">FALSE()</f>
        <v>0</v>
      </c>
      <c r="E17" s="11" t="n">
        <f aca="false">D57/10</f>
        <v>0</v>
      </c>
      <c r="F17" s="23" t="b">
        <f aca="false">FALSE()</f>
        <v>0</v>
      </c>
      <c r="G17" s="11" t="n">
        <f aca="false">F57/10</f>
        <v>0</v>
      </c>
      <c r="H17" s="23" t="b">
        <f aca="false">FALSE()</f>
        <v>0</v>
      </c>
      <c r="I17" s="11" t="n">
        <f aca="false">H57/10</f>
        <v>0</v>
      </c>
      <c r="J17" s="23" t="b">
        <f aca="false">FALSE()</f>
        <v>0</v>
      </c>
      <c r="K17" s="11" t="n">
        <f aca="false">J57/10</f>
        <v>0</v>
      </c>
      <c r="L17" s="23" t="b">
        <f aca="false">FALSE()</f>
        <v>0</v>
      </c>
      <c r="M17" s="11" t="n">
        <f aca="false">L57/10</f>
        <v>0</v>
      </c>
      <c r="N17" s="23" t="b">
        <f aca="false">FALSE()</f>
        <v>0</v>
      </c>
      <c r="O17" s="11" t="n">
        <f aca="false">N57/10</f>
        <v>0</v>
      </c>
      <c r="P17" s="23" t="b">
        <f aca="false">FALSE()</f>
        <v>0</v>
      </c>
      <c r="Q17" s="11" t="n">
        <f aca="false">P57/10</f>
        <v>0</v>
      </c>
    </row>
    <row r="18" customFormat="false" ht="27" hidden="false" customHeight="true" outlineLevel="0" collapsed="false">
      <c r="A18" s="8" t="s">
        <v>24</v>
      </c>
      <c r="B18" s="9" t="str">
        <f aca="false">IFERROR(INDEX(成員名單!$B$5:$B$34,MATCH($A18,成員名單!$A$5:$A$34,0))&amp;"","")</f>
        <v/>
      </c>
      <c r="C18" s="23" t="b">
        <f aca="false">FALSE()</f>
        <v>0</v>
      </c>
      <c r="D18" s="23" t="b">
        <f aca="false">FALSE()</f>
        <v>0</v>
      </c>
      <c r="E18" s="9" t="n">
        <f aca="false">D58/10</f>
        <v>0</v>
      </c>
      <c r="F18" s="23" t="b">
        <f aca="false">FALSE()</f>
        <v>0</v>
      </c>
      <c r="G18" s="9" t="n">
        <f aca="false">F58/10</f>
        <v>0</v>
      </c>
      <c r="H18" s="23" t="b">
        <f aca="false">FALSE()</f>
        <v>0</v>
      </c>
      <c r="I18" s="9" t="n">
        <f aca="false">H58/10</f>
        <v>0</v>
      </c>
      <c r="J18" s="23" t="b">
        <f aca="false">FALSE()</f>
        <v>0</v>
      </c>
      <c r="K18" s="9" t="n">
        <f aca="false">J58/10</f>
        <v>0</v>
      </c>
      <c r="L18" s="23" t="b">
        <f aca="false">FALSE()</f>
        <v>0</v>
      </c>
      <c r="M18" s="9" t="n">
        <f aca="false">L58/10</f>
        <v>0</v>
      </c>
      <c r="N18" s="23" t="b">
        <f aca="false">FALSE()</f>
        <v>0</v>
      </c>
      <c r="O18" s="9" t="n">
        <f aca="false">N58/10</f>
        <v>0</v>
      </c>
      <c r="P18" s="23" t="b">
        <f aca="false">FALSE()</f>
        <v>0</v>
      </c>
      <c r="Q18" s="9" t="n">
        <f aca="false">P58/10</f>
        <v>0</v>
      </c>
    </row>
    <row r="19" customFormat="false" ht="27" hidden="false" customHeight="true" outlineLevel="0" collapsed="false">
      <c r="A19" s="10" t="s">
        <v>25</v>
      </c>
      <c r="B19" s="11" t="str">
        <f aca="false">IFERROR(INDEX(成員名單!$B$5:$B$34,MATCH($A19,成員名單!$A$5:$A$34,0))&amp;"","")</f>
        <v/>
      </c>
      <c r="C19" s="23" t="b">
        <f aca="false">FALSE()</f>
        <v>0</v>
      </c>
      <c r="D19" s="23" t="b">
        <f aca="false">FALSE()</f>
        <v>0</v>
      </c>
      <c r="E19" s="11" t="n">
        <f aca="false">D59/10</f>
        <v>0</v>
      </c>
      <c r="F19" s="23" t="b">
        <f aca="false">FALSE()</f>
        <v>0</v>
      </c>
      <c r="G19" s="11" t="n">
        <f aca="false">F59/10</f>
        <v>0</v>
      </c>
      <c r="H19" s="23" t="b">
        <f aca="false">FALSE()</f>
        <v>0</v>
      </c>
      <c r="I19" s="11" t="n">
        <f aca="false">H59/10</f>
        <v>0</v>
      </c>
      <c r="J19" s="23" t="b">
        <f aca="false">FALSE()</f>
        <v>0</v>
      </c>
      <c r="K19" s="11" t="n">
        <f aca="false">J59/10</f>
        <v>0</v>
      </c>
      <c r="L19" s="23" t="b">
        <f aca="false">FALSE()</f>
        <v>0</v>
      </c>
      <c r="M19" s="11" t="n">
        <f aca="false">L59/10</f>
        <v>0</v>
      </c>
      <c r="N19" s="23" t="b">
        <f aca="false">FALSE()</f>
        <v>0</v>
      </c>
      <c r="O19" s="11" t="n">
        <f aca="false">N59/10</f>
        <v>0</v>
      </c>
      <c r="P19" s="23" t="b">
        <f aca="false">FALSE()</f>
        <v>0</v>
      </c>
      <c r="Q19" s="11" t="n">
        <f aca="false">P59/10</f>
        <v>0</v>
      </c>
    </row>
    <row r="20" customFormat="false" ht="27" hidden="false" customHeight="true" outlineLevel="0" collapsed="false">
      <c r="A20" s="8" t="s">
        <v>26</v>
      </c>
      <c r="B20" s="9" t="str">
        <f aca="false">IFERROR(INDEX(成員名單!$B$5:$B$34,MATCH($A20,成員名單!$A$5:$A$34,0))&amp;"","")</f>
        <v/>
      </c>
      <c r="C20" s="23" t="b">
        <f aca="false">FALSE()</f>
        <v>0</v>
      </c>
      <c r="D20" s="23" t="b">
        <f aca="false">FALSE()</f>
        <v>0</v>
      </c>
      <c r="E20" s="9" t="n">
        <f aca="false">D60/10</f>
        <v>0</v>
      </c>
      <c r="F20" s="23" t="b">
        <f aca="false">FALSE()</f>
        <v>0</v>
      </c>
      <c r="G20" s="9" t="n">
        <f aca="false">F60/10</f>
        <v>0</v>
      </c>
      <c r="H20" s="23" t="b">
        <f aca="false">FALSE()</f>
        <v>0</v>
      </c>
      <c r="I20" s="9" t="n">
        <f aca="false">H60/10</f>
        <v>0</v>
      </c>
      <c r="J20" s="23" t="b">
        <f aca="false">FALSE()</f>
        <v>0</v>
      </c>
      <c r="K20" s="9" t="n">
        <f aca="false">J60/10</f>
        <v>0</v>
      </c>
      <c r="L20" s="23" t="b">
        <f aca="false">FALSE()</f>
        <v>0</v>
      </c>
      <c r="M20" s="9" t="n">
        <f aca="false">L60/10</f>
        <v>0</v>
      </c>
      <c r="N20" s="23" t="b">
        <f aca="false">FALSE()</f>
        <v>0</v>
      </c>
      <c r="O20" s="9" t="n">
        <f aca="false">N60/10</f>
        <v>0</v>
      </c>
      <c r="P20" s="23" t="b">
        <f aca="false">FALSE()</f>
        <v>0</v>
      </c>
      <c r="Q20" s="9" t="n">
        <f aca="false">P60/10</f>
        <v>0</v>
      </c>
    </row>
    <row r="21" customFormat="false" ht="27" hidden="false" customHeight="true" outlineLevel="0" collapsed="false">
      <c r="A21" s="10" t="s">
        <v>27</v>
      </c>
      <c r="B21" s="11" t="str">
        <f aca="false">IFERROR(INDEX(成員名單!$B$5:$B$34,MATCH($A21,成員名單!$A$5:$A$34,0))&amp;"","")</f>
        <v/>
      </c>
      <c r="C21" s="23" t="b">
        <f aca="false">FALSE()</f>
        <v>0</v>
      </c>
      <c r="D21" s="23" t="b">
        <f aca="false">FALSE()</f>
        <v>0</v>
      </c>
      <c r="E21" s="11" t="n">
        <f aca="false">D61/10</f>
        <v>0</v>
      </c>
      <c r="F21" s="23" t="b">
        <f aca="false">FALSE()</f>
        <v>0</v>
      </c>
      <c r="G21" s="11" t="n">
        <f aca="false">F61/10</f>
        <v>0</v>
      </c>
      <c r="H21" s="23" t="b">
        <f aca="false">FALSE()</f>
        <v>0</v>
      </c>
      <c r="I21" s="11" t="n">
        <f aca="false">H61/10</f>
        <v>0</v>
      </c>
      <c r="J21" s="23" t="b">
        <f aca="false">FALSE()</f>
        <v>0</v>
      </c>
      <c r="K21" s="11" t="n">
        <f aca="false">J61/10</f>
        <v>0</v>
      </c>
      <c r="L21" s="23" t="b">
        <f aca="false">FALSE()</f>
        <v>0</v>
      </c>
      <c r="M21" s="11" t="n">
        <f aca="false">L61/10</f>
        <v>0</v>
      </c>
      <c r="N21" s="23" t="b">
        <f aca="false">FALSE()</f>
        <v>0</v>
      </c>
      <c r="O21" s="11" t="n">
        <f aca="false">N61/10</f>
        <v>0</v>
      </c>
      <c r="P21" s="23" t="b">
        <f aca="false">FALSE()</f>
        <v>0</v>
      </c>
      <c r="Q21" s="11" t="n">
        <f aca="false">P61/10</f>
        <v>0</v>
      </c>
    </row>
    <row r="22" customFormat="false" ht="27" hidden="false" customHeight="true" outlineLevel="0" collapsed="false">
      <c r="A22" s="8" t="s">
        <v>28</v>
      </c>
      <c r="B22" s="9" t="str">
        <f aca="false">IFERROR(INDEX(成員名單!$B$5:$B$34,MATCH($A22,成員名單!$A$5:$A$34,0))&amp;"","")</f>
        <v/>
      </c>
      <c r="C22" s="23" t="b">
        <f aca="false">FALSE()</f>
        <v>0</v>
      </c>
      <c r="D22" s="23" t="b">
        <f aca="false">FALSE()</f>
        <v>0</v>
      </c>
      <c r="E22" s="9" t="n">
        <f aca="false">D62/10</f>
        <v>0</v>
      </c>
      <c r="F22" s="23" t="b">
        <f aca="false">FALSE()</f>
        <v>0</v>
      </c>
      <c r="G22" s="9" t="n">
        <f aca="false">F62/10</f>
        <v>0</v>
      </c>
      <c r="H22" s="23" t="b">
        <f aca="false">FALSE()</f>
        <v>0</v>
      </c>
      <c r="I22" s="9" t="n">
        <f aca="false">H62/10</f>
        <v>0</v>
      </c>
      <c r="J22" s="23" t="b">
        <f aca="false">FALSE()</f>
        <v>0</v>
      </c>
      <c r="K22" s="9" t="n">
        <f aca="false">J62/10</f>
        <v>0</v>
      </c>
      <c r="L22" s="23" t="b">
        <f aca="false">FALSE()</f>
        <v>0</v>
      </c>
      <c r="M22" s="9" t="n">
        <f aca="false">L62/10</f>
        <v>0</v>
      </c>
      <c r="N22" s="23" t="b">
        <f aca="false">FALSE()</f>
        <v>0</v>
      </c>
      <c r="O22" s="9" t="n">
        <f aca="false">N62/10</f>
        <v>0</v>
      </c>
      <c r="P22" s="23" t="b">
        <f aca="false">FALSE()</f>
        <v>0</v>
      </c>
      <c r="Q22" s="9" t="n">
        <f aca="false">P62/10</f>
        <v>0</v>
      </c>
    </row>
    <row r="23" customFormat="false" ht="27" hidden="false" customHeight="true" outlineLevel="0" collapsed="false">
      <c r="A23" s="10" t="s">
        <v>29</v>
      </c>
      <c r="B23" s="11" t="str">
        <f aca="false">IFERROR(INDEX(成員名單!$B$5:$B$34,MATCH($A23,成員名單!$A$5:$A$34,0))&amp;"","")</f>
        <v/>
      </c>
      <c r="C23" s="23" t="b">
        <f aca="false">FALSE()</f>
        <v>0</v>
      </c>
      <c r="D23" s="23" t="b">
        <f aca="false">FALSE()</f>
        <v>0</v>
      </c>
      <c r="E23" s="11" t="n">
        <f aca="false">D63/10</f>
        <v>0</v>
      </c>
      <c r="F23" s="23" t="b">
        <f aca="false">FALSE()</f>
        <v>0</v>
      </c>
      <c r="G23" s="11" t="n">
        <f aca="false">F63/10</f>
        <v>0</v>
      </c>
      <c r="H23" s="23" t="b">
        <f aca="false">FALSE()</f>
        <v>0</v>
      </c>
      <c r="I23" s="11" t="n">
        <f aca="false">H63/10</f>
        <v>0</v>
      </c>
      <c r="J23" s="23" t="b">
        <f aca="false">FALSE()</f>
        <v>0</v>
      </c>
      <c r="K23" s="11" t="n">
        <f aca="false">J63/10</f>
        <v>0</v>
      </c>
      <c r="L23" s="23" t="b">
        <f aca="false">FALSE()</f>
        <v>0</v>
      </c>
      <c r="M23" s="11" t="n">
        <f aca="false">L63/10</f>
        <v>0</v>
      </c>
      <c r="N23" s="23" t="b">
        <f aca="false">FALSE()</f>
        <v>0</v>
      </c>
      <c r="O23" s="11" t="n">
        <f aca="false">N63/10</f>
        <v>0</v>
      </c>
      <c r="P23" s="23" t="b">
        <f aca="false">FALSE()</f>
        <v>0</v>
      </c>
      <c r="Q23" s="11" t="n">
        <f aca="false">P63/10</f>
        <v>0</v>
      </c>
    </row>
    <row r="24" customFormat="false" ht="27" hidden="false" customHeight="true" outlineLevel="0" collapsed="false">
      <c r="A24" s="8" t="s">
        <v>30</v>
      </c>
      <c r="B24" s="9" t="str">
        <f aca="false">IFERROR(INDEX(成員名單!$B$5:$B$34,MATCH($A24,成員名單!$A$5:$A$34,0))&amp;"","")</f>
        <v/>
      </c>
      <c r="C24" s="23" t="b">
        <f aca="false">FALSE()</f>
        <v>0</v>
      </c>
      <c r="D24" s="23" t="b">
        <f aca="false">FALSE()</f>
        <v>0</v>
      </c>
      <c r="E24" s="9" t="n">
        <f aca="false">D64/10</f>
        <v>0</v>
      </c>
      <c r="F24" s="23" t="b">
        <f aca="false">FALSE()</f>
        <v>0</v>
      </c>
      <c r="G24" s="9" t="n">
        <f aca="false">F64/10</f>
        <v>0</v>
      </c>
      <c r="H24" s="23" t="b">
        <f aca="false">FALSE()</f>
        <v>0</v>
      </c>
      <c r="I24" s="9" t="n">
        <f aca="false">H64/10</f>
        <v>0</v>
      </c>
      <c r="J24" s="23" t="b">
        <f aca="false">FALSE()</f>
        <v>0</v>
      </c>
      <c r="K24" s="9" t="n">
        <f aca="false">J64/10</f>
        <v>0</v>
      </c>
      <c r="L24" s="23" t="b">
        <f aca="false">FALSE()</f>
        <v>0</v>
      </c>
      <c r="M24" s="9" t="n">
        <f aca="false">L64/10</f>
        <v>0</v>
      </c>
      <c r="N24" s="23" t="b">
        <f aca="false">FALSE()</f>
        <v>0</v>
      </c>
      <c r="O24" s="9" t="n">
        <f aca="false">N64/10</f>
        <v>0</v>
      </c>
      <c r="P24" s="23" t="b">
        <f aca="false">FALSE()</f>
        <v>0</v>
      </c>
      <c r="Q24" s="9" t="n">
        <f aca="false">P64/10</f>
        <v>0</v>
      </c>
    </row>
    <row r="25" customFormat="false" ht="27" hidden="false" customHeight="true" outlineLevel="0" collapsed="false">
      <c r="A25" s="10" t="s">
        <v>31</v>
      </c>
      <c r="B25" s="11" t="str">
        <f aca="false">IFERROR(INDEX(成員名單!$B$5:$B$34,MATCH($A25,成員名單!$A$5:$A$34,0))&amp;"","")</f>
        <v/>
      </c>
      <c r="C25" s="23" t="b">
        <f aca="false">FALSE()</f>
        <v>0</v>
      </c>
      <c r="D25" s="23" t="b">
        <f aca="false">FALSE()</f>
        <v>0</v>
      </c>
      <c r="E25" s="11" t="n">
        <f aca="false">D65/10</f>
        <v>0</v>
      </c>
      <c r="F25" s="23" t="b">
        <f aca="false">FALSE()</f>
        <v>0</v>
      </c>
      <c r="G25" s="11" t="n">
        <f aca="false">F65/10</f>
        <v>0</v>
      </c>
      <c r="H25" s="23" t="b">
        <f aca="false">FALSE()</f>
        <v>0</v>
      </c>
      <c r="I25" s="11" t="n">
        <f aca="false">H65/10</f>
        <v>0</v>
      </c>
      <c r="J25" s="23" t="b">
        <f aca="false">FALSE()</f>
        <v>0</v>
      </c>
      <c r="K25" s="11" t="n">
        <f aca="false">J65/10</f>
        <v>0</v>
      </c>
      <c r="L25" s="23" t="b">
        <f aca="false">FALSE()</f>
        <v>0</v>
      </c>
      <c r="M25" s="11" t="n">
        <f aca="false">L65/10</f>
        <v>0</v>
      </c>
      <c r="N25" s="23" t="b">
        <f aca="false">FALSE()</f>
        <v>0</v>
      </c>
      <c r="O25" s="11" t="n">
        <f aca="false">N65/10</f>
        <v>0</v>
      </c>
      <c r="P25" s="23" t="b">
        <f aca="false">FALSE()</f>
        <v>0</v>
      </c>
      <c r="Q25" s="11" t="n">
        <f aca="false">P65/10</f>
        <v>0</v>
      </c>
    </row>
    <row r="26" customFormat="false" ht="27" hidden="false" customHeight="true" outlineLevel="0" collapsed="false">
      <c r="A26" s="8" t="s">
        <v>32</v>
      </c>
      <c r="B26" s="9" t="str">
        <f aca="false">IFERROR(INDEX(成員名單!$B$5:$B$34,MATCH($A26,成員名單!$A$5:$A$34,0))&amp;"","")</f>
        <v/>
      </c>
      <c r="C26" s="23" t="b">
        <f aca="false">FALSE()</f>
        <v>0</v>
      </c>
      <c r="D26" s="23" t="b">
        <f aca="false">FALSE()</f>
        <v>0</v>
      </c>
      <c r="E26" s="9" t="n">
        <f aca="false">D66/10</f>
        <v>0</v>
      </c>
      <c r="F26" s="23" t="b">
        <f aca="false">FALSE()</f>
        <v>0</v>
      </c>
      <c r="G26" s="9" t="n">
        <f aca="false">F66/10</f>
        <v>0</v>
      </c>
      <c r="H26" s="23" t="b">
        <f aca="false">FALSE()</f>
        <v>0</v>
      </c>
      <c r="I26" s="9" t="n">
        <f aca="false">H66/10</f>
        <v>0</v>
      </c>
      <c r="J26" s="23" t="b">
        <f aca="false">FALSE()</f>
        <v>0</v>
      </c>
      <c r="K26" s="9" t="n">
        <f aca="false">J66/10</f>
        <v>0</v>
      </c>
      <c r="L26" s="23" t="b">
        <f aca="false">FALSE()</f>
        <v>0</v>
      </c>
      <c r="M26" s="9" t="n">
        <f aca="false">L66/10</f>
        <v>0</v>
      </c>
      <c r="N26" s="23" t="b">
        <f aca="false">FALSE()</f>
        <v>0</v>
      </c>
      <c r="O26" s="9" t="n">
        <f aca="false">N66/10</f>
        <v>0</v>
      </c>
      <c r="P26" s="23" t="b">
        <f aca="false">FALSE()</f>
        <v>0</v>
      </c>
      <c r="Q26" s="9" t="n">
        <f aca="false">P66/10</f>
        <v>0</v>
      </c>
    </row>
    <row r="27" customFormat="false" ht="27" hidden="false" customHeight="true" outlineLevel="0" collapsed="false">
      <c r="A27" s="10" t="s">
        <v>33</v>
      </c>
      <c r="B27" s="11" t="str">
        <f aca="false">IFERROR(INDEX(成員名單!$B$5:$B$34,MATCH($A27,成員名單!$A$5:$A$34,0))&amp;"","")</f>
        <v/>
      </c>
      <c r="C27" s="23" t="b">
        <f aca="false">FALSE()</f>
        <v>0</v>
      </c>
      <c r="D27" s="23" t="b">
        <f aca="false">FALSE()</f>
        <v>0</v>
      </c>
      <c r="E27" s="11" t="n">
        <f aca="false">D67/10</f>
        <v>0</v>
      </c>
      <c r="F27" s="23" t="b">
        <f aca="false">FALSE()</f>
        <v>0</v>
      </c>
      <c r="G27" s="11" t="n">
        <f aca="false">F67/10</f>
        <v>0</v>
      </c>
      <c r="H27" s="23" t="b">
        <f aca="false">FALSE()</f>
        <v>0</v>
      </c>
      <c r="I27" s="11" t="n">
        <f aca="false">H67/10</f>
        <v>0</v>
      </c>
      <c r="J27" s="23" t="b">
        <f aca="false">FALSE()</f>
        <v>0</v>
      </c>
      <c r="K27" s="11" t="n">
        <f aca="false">J67/10</f>
        <v>0</v>
      </c>
      <c r="L27" s="23" t="b">
        <f aca="false">FALSE()</f>
        <v>0</v>
      </c>
      <c r="M27" s="11" t="n">
        <f aca="false">L67/10</f>
        <v>0</v>
      </c>
      <c r="N27" s="23" t="b">
        <f aca="false">FALSE()</f>
        <v>0</v>
      </c>
      <c r="O27" s="11" t="n">
        <f aca="false">N67/10</f>
        <v>0</v>
      </c>
      <c r="P27" s="23" t="b">
        <f aca="false">FALSE()</f>
        <v>0</v>
      </c>
      <c r="Q27" s="11" t="n">
        <f aca="false">P67/10</f>
        <v>0</v>
      </c>
    </row>
    <row r="28" customFormat="false" ht="27" hidden="false" customHeight="true" outlineLevel="0" collapsed="false">
      <c r="A28" s="8" t="s">
        <v>34</v>
      </c>
      <c r="B28" s="9" t="str">
        <f aca="false">IFERROR(INDEX(成員名單!$B$5:$B$34,MATCH($A28,成員名單!$A$5:$A$34,0))&amp;"","")</f>
        <v/>
      </c>
      <c r="C28" s="23" t="b">
        <f aca="false">FALSE()</f>
        <v>0</v>
      </c>
      <c r="D28" s="23" t="b">
        <f aca="false">FALSE()</f>
        <v>0</v>
      </c>
      <c r="E28" s="9" t="n">
        <f aca="false">D68/10</f>
        <v>0</v>
      </c>
      <c r="F28" s="23" t="b">
        <f aca="false">FALSE()</f>
        <v>0</v>
      </c>
      <c r="G28" s="9" t="n">
        <f aca="false">F68/10</f>
        <v>0</v>
      </c>
      <c r="H28" s="23" t="b">
        <f aca="false">FALSE()</f>
        <v>0</v>
      </c>
      <c r="I28" s="9" t="n">
        <f aca="false">H68/10</f>
        <v>0</v>
      </c>
      <c r="J28" s="23" t="b">
        <f aca="false">FALSE()</f>
        <v>0</v>
      </c>
      <c r="K28" s="9" t="n">
        <f aca="false">J68/10</f>
        <v>0</v>
      </c>
      <c r="L28" s="23" t="b">
        <f aca="false">FALSE()</f>
        <v>0</v>
      </c>
      <c r="M28" s="9" t="n">
        <f aca="false">L68/10</f>
        <v>0</v>
      </c>
      <c r="N28" s="23" t="b">
        <f aca="false">FALSE()</f>
        <v>0</v>
      </c>
      <c r="O28" s="9" t="n">
        <f aca="false">N68/10</f>
        <v>0</v>
      </c>
      <c r="P28" s="23" t="b">
        <f aca="false">FALSE()</f>
        <v>0</v>
      </c>
      <c r="Q28" s="9" t="n">
        <f aca="false">P68/10</f>
        <v>0</v>
      </c>
    </row>
    <row r="29" customFormat="false" ht="27" hidden="false" customHeight="true" outlineLevel="0" collapsed="false">
      <c r="A29" s="10" t="s">
        <v>35</v>
      </c>
      <c r="B29" s="11" t="str">
        <f aca="false">IFERROR(INDEX(成員名單!$B$5:$B$34,MATCH($A29,成員名單!$A$5:$A$34,0))&amp;"","")</f>
        <v/>
      </c>
      <c r="C29" s="23" t="b">
        <f aca="false">FALSE()</f>
        <v>0</v>
      </c>
      <c r="D29" s="23" t="b">
        <f aca="false">FALSE()</f>
        <v>0</v>
      </c>
      <c r="E29" s="11" t="n">
        <f aca="false">D69/10</f>
        <v>0</v>
      </c>
      <c r="F29" s="23" t="b">
        <f aca="false">FALSE()</f>
        <v>0</v>
      </c>
      <c r="G29" s="11" t="n">
        <f aca="false">F69/10</f>
        <v>0</v>
      </c>
      <c r="H29" s="23" t="b">
        <f aca="false">FALSE()</f>
        <v>0</v>
      </c>
      <c r="I29" s="11" t="n">
        <f aca="false">H69/10</f>
        <v>0</v>
      </c>
      <c r="J29" s="23" t="b">
        <f aca="false">FALSE()</f>
        <v>0</v>
      </c>
      <c r="K29" s="11" t="n">
        <f aca="false">J69/10</f>
        <v>0</v>
      </c>
      <c r="L29" s="23" t="b">
        <f aca="false">FALSE()</f>
        <v>0</v>
      </c>
      <c r="M29" s="11" t="n">
        <f aca="false">L69/10</f>
        <v>0</v>
      </c>
      <c r="N29" s="23" t="b">
        <f aca="false">FALSE()</f>
        <v>0</v>
      </c>
      <c r="O29" s="11" t="n">
        <f aca="false">N69/10</f>
        <v>0</v>
      </c>
      <c r="P29" s="23" t="b">
        <f aca="false">FALSE()</f>
        <v>0</v>
      </c>
      <c r="Q29" s="11" t="n">
        <f aca="false">P69/10</f>
        <v>0</v>
      </c>
    </row>
    <row r="30" customFormat="false" ht="27" hidden="false" customHeight="true" outlineLevel="0" collapsed="false">
      <c r="A30" s="8" t="s">
        <v>36</v>
      </c>
      <c r="B30" s="9" t="str">
        <f aca="false">IFERROR(INDEX(成員名單!$B$5:$B$34,MATCH($A30,成員名單!$A$5:$A$34,0))&amp;"","")</f>
        <v/>
      </c>
      <c r="C30" s="23" t="b">
        <f aca="false">FALSE()</f>
        <v>0</v>
      </c>
      <c r="D30" s="23" t="b">
        <f aca="false">FALSE()</f>
        <v>0</v>
      </c>
      <c r="E30" s="9" t="n">
        <f aca="false">D70/10</f>
        <v>0</v>
      </c>
      <c r="F30" s="23" t="b">
        <f aca="false">FALSE()</f>
        <v>0</v>
      </c>
      <c r="G30" s="9" t="n">
        <f aca="false">F70/10</f>
        <v>0</v>
      </c>
      <c r="H30" s="23" t="b">
        <f aca="false">FALSE()</f>
        <v>0</v>
      </c>
      <c r="I30" s="9" t="n">
        <f aca="false">H70/10</f>
        <v>0</v>
      </c>
      <c r="J30" s="23" t="b">
        <f aca="false">FALSE()</f>
        <v>0</v>
      </c>
      <c r="K30" s="9" t="n">
        <f aca="false">J70/10</f>
        <v>0</v>
      </c>
      <c r="L30" s="23" t="b">
        <f aca="false">FALSE()</f>
        <v>0</v>
      </c>
      <c r="M30" s="9" t="n">
        <f aca="false">L70/10</f>
        <v>0</v>
      </c>
      <c r="N30" s="23" t="b">
        <f aca="false">FALSE()</f>
        <v>0</v>
      </c>
      <c r="O30" s="9" t="n">
        <f aca="false">N70/10</f>
        <v>0</v>
      </c>
      <c r="P30" s="23" t="b">
        <f aca="false">FALSE()</f>
        <v>0</v>
      </c>
      <c r="Q30" s="9" t="n">
        <f aca="false">P70/10</f>
        <v>0</v>
      </c>
    </row>
    <row r="31" customFormat="false" ht="27" hidden="false" customHeight="true" outlineLevel="0" collapsed="false">
      <c r="A31" s="10" t="s">
        <v>37</v>
      </c>
      <c r="B31" s="11" t="str">
        <f aca="false">IFERROR(INDEX(成員名單!$B$5:$B$34,MATCH($A31,成員名單!$A$5:$A$34,0))&amp;"","")</f>
        <v/>
      </c>
      <c r="C31" s="23" t="b">
        <f aca="false">FALSE()</f>
        <v>0</v>
      </c>
      <c r="D31" s="23" t="b">
        <f aca="false">FALSE()</f>
        <v>0</v>
      </c>
      <c r="E31" s="11" t="n">
        <f aca="false">D71/10</f>
        <v>0</v>
      </c>
      <c r="F31" s="23" t="b">
        <f aca="false">FALSE()</f>
        <v>0</v>
      </c>
      <c r="G31" s="11" t="n">
        <f aca="false">F71/10</f>
        <v>0</v>
      </c>
      <c r="H31" s="23" t="b">
        <f aca="false">FALSE()</f>
        <v>0</v>
      </c>
      <c r="I31" s="11" t="n">
        <f aca="false">H71/10</f>
        <v>0</v>
      </c>
      <c r="J31" s="23" t="b">
        <f aca="false">FALSE()</f>
        <v>0</v>
      </c>
      <c r="K31" s="11" t="n">
        <f aca="false">J71/10</f>
        <v>0</v>
      </c>
      <c r="L31" s="23" t="b">
        <f aca="false">FALSE()</f>
        <v>0</v>
      </c>
      <c r="M31" s="11" t="n">
        <f aca="false">L71/10</f>
        <v>0</v>
      </c>
      <c r="N31" s="23" t="b">
        <f aca="false">FALSE()</f>
        <v>0</v>
      </c>
      <c r="O31" s="11" t="n">
        <f aca="false">N71/10</f>
        <v>0</v>
      </c>
      <c r="P31" s="23" t="b">
        <f aca="false">FALSE()</f>
        <v>0</v>
      </c>
      <c r="Q31" s="11" t="n">
        <f aca="false">P71/10</f>
        <v>0</v>
      </c>
    </row>
    <row r="32" customFormat="false" ht="27" hidden="false" customHeight="true" outlineLevel="0" collapsed="false">
      <c r="A32" s="8" t="s">
        <v>38</v>
      </c>
      <c r="B32" s="9" t="str">
        <f aca="false">IFERROR(INDEX(成員名單!$B$5:$B$34,MATCH($A32,成員名單!$A$5:$A$34,0))&amp;"","")</f>
        <v/>
      </c>
      <c r="C32" s="23" t="b">
        <f aca="false">FALSE()</f>
        <v>0</v>
      </c>
      <c r="D32" s="23" t="b">
        <f aca="false">FALSE()</f>
        <v>0</v>
      </c>
      <c r="E32" s="9" t="n">
        <f aca="false">D72/10</f>
        <v>0</v>
      </c>
      <c r="F32" s="23" t="b">
        <f aca="false">FALSE()</f>
        <v>0</v>
      </c>
      <c r="G32" s="9" t="n">
        <f aca="false">F72/10</f>
        <v>0</v>
      </c>
      <c r="H32" s="23" t="b">
        <f aca="false">FALSE()</f>
        <v>0</v>
      </c>
      <c r="I32" s="9" t="n">
        <f aca="false">H72/10</f>
        <v>0</v>
      </c>
      <c r="J32" s="23" t="b">
        <f aca="false">FALSE()</f>
        <v>0</v>
      </c>
      <c r="K32" s="9" t="n">
        <f aca="false">J72/10</f>
        <v>0</v>
      </c>
      <c r="L32" s="23" t="b">
        <f aca="false">FALSE()</f>
        <v>0</v>
      </c>
      <c r="M32" s="9" t="n">
        <f aca="false">L72/10</f>
        <v>0</v>
      </c>
      <c r="N32" s="23" t="b">
        <f aca="false">FALSE()</f>
        <v>0</v>
      </c>
      <c r="O32" s="9" t="n">
        <f aca="false">N72/10</f>
        <v>0</v>
      </c>
      <c r="P32" s="23" t="b">
        <f aca="false">FALSE()</f>
        <v>0</v>
      </c>
      <c r="Q32" s="9" t="n">
        <f aca="false">P72/10</f>
        <v>0</v>
      </c>
    </row>
    <row r="33" customFormat="false" ht="27" hidden="false" customHeight="true" outlineLevel="0" collapsed="false">
      <c r="A33" s="10" t="s">
        <v>39</v>
      </c>
      <c r="B33" s="11" t="str">
        <f aca="false">IFERROR(INDEX(成員名單!$B$5:$B$34,MATCH($A33,成員名單!$A$5:$A$34,0))&amp;"","")</f>
        <v/>
      </c>
      <c r="C33" s="23" t="b">
        <f aca="false">FALSE()</f>
        <v>0</v>
      </c>
      <c r="D33" s="23" t="b">
        <f aca="false">FALSE()</f>
        <v>0</v>
      </c>
      <c r="E33" s="11" t="n">
        <f aca="false">D73/10</f>
        <v>0</v>
      </c>
      <c r="F33" s="23" t="b">
        <f aca="false">FALSE()</f>
        <v>0</v>
      </c>
      <c r="G33" s="11" t="n">
        <f aca="false">F73/10</f>
        <v>0</v>
      </c>
      <c r="H33" s="23" t="b">
        <f aca="false">FALSE()</f>
        <v>0</v>
      </c>
      <c r="I33" s="11" t="n">
        <f aca="false">H73/10</f>
        <v>0</v>
      </c>
      <c r="J33" s="23" t="b">
        <f aca="false">FALSE()</f>
        <v>0</v>
      </c>
      <c r="K33" s="11" t="n">
        <f aca="false">J73/10</f>
        <v>0</v>
      </c>
      <c r="L33" s="23" t="b">
        <f aca="false">FALSE()</f>
        <v>0</v>
      </c>
      <c r="M33" s="11" t="n">
        <f aca="false">L73/10</f>
        <v>0</v>
      </c>
      <c r="N33" s="23" t="b">
        <f aca="false">FALSE()</f>
        <v>0</v>
      </c>
      <c r="O33" s="11" t="n">
        <f aca="false">N73/10</f>
        <v>0</v>
      </c>
      <c r="P33" s="23" t="b">
        <f aca="false">FALSE()</f>
        <v>0</v>
      </c>
      <c r="Q33" s="11" t="n">
        <f aca="false">P73/10</f>
        <v>0</v>
      </c>
    </row>
    <row r="34" customFormat="false" ht="27" hidden="false" customHeight="true" outlineLevel="0" collapsed="false">
      <c r="A34" s="8" t="s">
        <v>40</v>
      </c>
      <c r="B34" s="9" t="str">
        <f aca="false">IFERROR(INDEX(成員名單!$B$5:$B$34,MATCH($A34,成員名單!$A$5:$A$34,0))&amp;"","")</f>
        <v/>
      </c>
      <c r="C34" s="23" t="b">
        <f aca="false">FALSE()</f>
        <v>0</v>
      </c>
      <c r="D34" s="23" t="b">
        <f aca="false">FALSE()</f>
        <v>0</v>
      </c>
      <c r="E34" s="9" t="n">
        <f aca="false">D74/10</f>
        <v>0</v>
      </c>
      <c r="F34" s="23" t="b">
        <f aca="false">FALSE()</f>
        <v>0</v>
      </c>
      <c r="G34" s="9" t="n">
        <f aca="false">F74/10</f>
        <v>0</v>
      </c>
      <c r="H34" s="23" t="b">
        <f aca="false">FALSE()</f>
        <v>0</v>
      </c>
      <c r="I34" s="9" t="n">
        <f aca="false">H74/10</f>
        <v>0</v>
      </c>
      <c r="J34" s="23" t="b">
        <f aca="false">FALSE()</f>
        <v>0</v>
      </c>
      <c r="K34" s="9" t="n">
        <f aca="false">J74/10</f>
        <v>0</v>
      </c>
      <c r="L34" s="23" t="b">
        <f aca="false">FALSE()</f>
        <v>0</v>
      </c>
      <c r="M34" s="9" t="n">
        <f aca="false">L74/10</f>
        <v>0</v>
      </c>
      <c r="N34" s="23" t="b">
        <f aca="false">FALSE()</f>
        <v>0</v>
      </c>
      <c r="O34" s="9" t="n">
        <f aca="false">N74/10</f>
        <v>0</v>
      </c>
      <c r="P34" s="23" t="b">
        <f aca="false">FALSE()</f>
        <v>0</v>
      </c>
      <c r="Q34" s="9" t="n">
        <f aca="false">P74/10</f>
        <v>0</v>
      </c>
    </row>
    <row r="35" customFormat="false" ht="27" hidden="false" customHeight="true" outlineLevel="0" collapsed="false">
      <c r="A35" s="10" t="s">
        <v>41</v>
      </c>
      <c r="B35" s="11" t="str">
        <f aca="false">IFERROR(INDEX(成員名單!$B$5:$B$34,MATCH($A35,成員名單!$A$5:$A$34,0))&amp;"","")</f>
        <v/>
      </c>
      <c r="C35" s="23" t="b">
        <f aca="false">FALSE()</f>
        <v>0</v>
      </c>
      <c r="D35" s="23" t="b">
        <f aca="false">FALSE()</f>
        <v>0</v>
      </c>
      <c r="E35" s="11" t="n">
        <f aca="false">D75/10</f>
        <v>0</v>
      </c>
      <c r="F35" s="23" t="b">
        <f aca="false">FALSE()</f>
        <v>0</v>
      </c>
      <c r="G35" s="11" t="n">
        <f aca="false">F75/10</f>
        <v>0</v>
      </c>
      <c r="H35" s="23" t="b">
        <f aca="false">FALSE()</f>
        <v>0</v>
      </c>
      <c r="I35" s="11" t="n">
        <f aca="false">H75/10</f>
        <v>0</v>
      </c>
      <c r="J35" s="23" t="b">
        <f aca="false">FALSE()</f>
        <v>0</v>
      </c>
      <c r="K35" s="11" t="n">
        <f aca="false">J75/10</f>
        <v>0</v>
      </c>
      <c r="L35" s="23" t="b">
        <f aca="false">FALSE()</f>
        <v>0</v>
      </c>
      <c r="M35" s="11" t="n">
        <f aca="false">L75/10</f>
        <v>0</v>
      </c>
      <c r="N35" s="23" t="b">
        <f aca="false">FALSE()</f>
        <v>0</v>
      </c>
      <c r="O35" s="11" t="n">
        <f aca="false">N75/10</f>
        <v>0</v>
      </c>
      <c r="P35" s="23" t="b">
        <f aca="false">FALSE()</f>
        <v>0</v>
      </c>
      <c r="Q35" s="11" t="n">
        <f aca="false">P75/10</f>
        <v>0</v>
      </c>
    </row>
    <row r="36" customFormat="false" ht="27" hidden="false" customHeight="true" outlineLevel="0" collapsed="false">
      <c r="A36" s="8" t="s">
        <v>42</v>
      </c>
      <c r="B36" s="9" t="str">
        <f aca="false">IFERROR(INDEX(成員名單!$B$5:$B$34,MATCH($A36,成員名單!$A$5:$A$34,0))&amp;"","")</f>
        <v/>
      </c>
      <c r="C36" s="23" t="b">
        <f aca="false">FALSE()</f>
        <v>0</v>
      </c>
      <c r="D36" s="23" t="b">
        <f aca="false">FALSE()</f>
        <v>0</v>
      </c>
      <c r="E36" s="9" t="n">
        <f aca="false">D76/10</f>
        <v>0</v>
      </c>
      <c r="F36" s="23" t="b">
        <f aca="false">FALSE()</f>
        <v>0</v>
      </c>
      <c r="G36" s="9" t="n">
        <f aca="false">F76/10</f>
        <v>0</v>
      </c>
      <c r="H36" s="23" t="b">
        <f aca="false">FALSE()</f>
        <v>0</v>
      </c>
      <c r="I36" s="9" t="n">
        <f aca="false">H76/10</f>
        <v>0</v>
      </c>
      <c r="J36" s="23" t="b">
        <f aca="false">FALSE()</f>
        <v>0</v>
      </c>
      <c r="K36" s="9" t="n">
        <f aca="false">J76/10</f>
        <v>0</v>
      </c>
      <c r="L36" s="23" t="b">
        <f aca="false">FALSE()</f>
        <v>0</v>
      </c>
      <c r="M36" s="9" t="n">
        <f aca="false">L76/10</f>
        <v>0</v>
      </c>
      <c r="N36" s="23" t="b">
        <f aca="false">FALSE()</f>
        <v>0</v>
      </c>
      <c r="O36" s="9" t="n">
        <f aca="false">N76/10</f>
        <v>0</v>
      </c>
      <c r="P36" s="23" t="b">
        <f aca="false">FALSE()</f>
        <v>0</v>
      </c>
      <c r="Q36" s="9" t="n">
        <f aca="false">P76/10</f>
        <v>0</v>
      </c>
    </row>
    <row r="37" customFormat="false" ht="27" hidden="false" customHeight="true" outlineLevel="0" collapsed="false">
      <c r="A37" s="10" t="s">
        <v>43</v>
      </c>
      <c r="B37" s="11" t="str">
        <f aca="false">IFERROR(INDEX(成員名單!$B$5:$B$34,MATCH($A37,成員名單!$A$5:$A$34,0))&amp;"","")</f>
        <v/>
      </c>
      <c r="C37" s="23" t="b">
        <f aca="false">FALSE()</f>
        <v>0</v>
      </c>
      <c r="D37" s="23" t="b">
        <f aca="false">FALSE()</f>
        <v>0</v>
      </c>
      <c r="E37" s="11" t="n">
        <f aca="false">D77/10</f>
        <v>0</v>
      </c>
      <c r="F37" s="23" t="b">
        <f aca="false">FALSE()</f>
        <v>0</v>
      </c>
      <c r="G37" s="11" t="n">
        <f aca="false">F77/10</f>
        <v>0</v>
      </c>
      <c r="H37" s="23" t="b">
        <f aca="false">FALSE()</f>
        <v>0</v>
      </c>
      <c r="I37" s="11" t="n">
        <f aca="false">H77/10</f>
        <v>0</v>
      </c>
      <c r="J37" s="23" t="b">
        <f aca="false">FALSE()</f>
        <v>0</v>
      </c>
      <c r="K37" s="11" t="n">
        <f aca="false">J77/10</f>
        <v>0</v>
      </c>
      <c r="L37" s="23" t="b">
        <f aca="false">FALSE()</f>
        <v>0</v>
      </c>
      <c r="M37" s="11" t="n">
        <f aca="false">L77/10</f>
        <v>0</v>
      </c>
      <c r="N37" s="23" t="b">
        <f aca="false">FALSE()</f>
        <v>0</v>
      </c>
      <c r="O37" s="11" t="n">
        <f aca="false">N77/10</f>
        <v>0</v>
      </c>
      <c r="P37" s="23" t="b">
        <f aca="false">FALSE()</f>
        <v>0</v>
      </c>
      <c r="Q37" s="11" t="n">
        <f aca="false">P77/10</f>
        <v>0</v>
      </c>
    </row>
    <row r="38" customFormat="false" ht="27" hidden="false" customHeight="true" outlineLevel="0" collapsed="false">
      <c r="A38" s="8" t="s">
        <v>44</v>
      </c>
      <c r="B38" s="9" t="str">
        <f aca="false">IFERROR(INDEX(成員名單!$B$5:$B$34,MATCH($A38,成員名單!$A$5:$A$34,0))&amp;"","")</f>
        <v/>
      </c>
      <c r="C38" s="23" t="b">
        <f aca="false">FALSE()</f>
        <v>0</v>
      </c>
      <c r="D38" s="23" t="b">
        <f aca="false">FALSE()</f>
        <v>0</v>
      </c>
      <c r="E38" s="9" t="n">
        <f aca="false">D78/10</f>
        <v>0</v>
      </c>
      <c r="F38" s="23" t="b">
        <f aca="false">FALSE()</f>
        <v>0</v>
      </c>
      <c r="G38" s="9" t="n">
        <f aca="false">F78/10</f>
        <v>0</v>
      </c>
      <c r="H38" s="23" t="b">
        <f aca="false">FALSE()</f>
        <v>0</v>
      </c>
      <c r="I38" s="9" t="n">
        <f aca="false">H78/10</f>
        <v>0</v>
      </c>
      <c r="J38" s="23" t="b">
        <f aca="false">FALSE()</f>
        <v>0</v>
      </c>
      <c r="K38" s="9" t="n">
        <f aca="false">J78/10</f>
        <v>0</v>
      </c>
      <c r="L38" s="23" t="b">
        <f aca="false">FALSE()</f>
        <v>0</v>
      </c>
      <c r="M38" s="9" t="n">
        <f aca="false">L78/10</f>
        <v>0</v>
      </c>
      <c r="N38" s="23" t="b">
        <f aca="false">FALSE()</f>
        <v>0</v>
      </c>
      <c r="O38" s="9" t="n">
        <f aca="false">N78/10</f>
        <v>0</v>
      </c>
      <c r="P38" s="23" t="b">
        <f aca="false">FALSE()</f>
        <v>0</v>
      </c>
      <c r="Q38" s="9" t="n">
        <f aca="false">P78/10</f>
        <v>0</v>
      </c>
    </row>
    <row r="39" customFormat="false" ht="27" hidden="false" customHeight="true" outlineLevel="0" collapsed="false">
      <c r="A39" s="10" t="s">
        <v>45</v>
      </c>
      <c r="B39" s="11" t="str">
        <f aca="false">IFERROR(INDEX(成員名單!$B$5:$B$34,MATCH($A39,成員名單!$A$5:$A$34,0))&amp;"","")</f>
        <v/>
      </c>
      <c r="C39" s="23" t="b">
        <f aca="false">FALSE()</f>
        <v>0</v>
      </c>
      <c r="D39" s="23" t="b">
        <f aca="false">FALSE()</f>
        <v>0</v>
      </c>
      <c r="E39" s="11" t="n">
        <f aca="false">D79/10</f>
        <v>0</v>
      </c>
      <c r="F39" s="23" t="b">
        <f aca="false">FALSE()</f>
        <v>0</v>
      </c>
      <c r="G39" s="11" t="n">
        <f aca="false">F79/10</f>
        <v>0</v>
      </c>
      <c r="H39" s="23" t="b">
        <f aca="false">FALSE()</f>
        <v>0</v>
      </c>
      <c r="I39" s="11" t="n">
        <f aca="false">H79/10</f>
        <v>0</v>
      </c>
      <c r="J39" s="23" t="b">
        <f aca="false">FALSE()</f>
        <v>0</v>
      </c>
      <c r="K39" s="11" t="n">
        <f aca="false">J79/10</f>
        <v>0</v>
      </c>
      <c r="L39" s="23" t="b">
        <f aca="false">FALSE()</f>
        <v>0</v>
      </c>
      <c r="M39" s="11" t="n">
        <f aca="false">L79/10</f>
        <v>0</v>
      </c>
      <c r="N39" s="23" t="b">
        <f aca="false">FALSE()</f>
        <v>0</v>
      </c>
      <c r="O39" s="11" t="n">
        <f aca="false">N79/10</f>
        <v>0</v>
      </c>
      <c r="P39" s="23" t="b">
        <f aca="false">FALSE()</f>
        <v>0</v>
      </c>
      <c r="Q39" s="11" t="n">
        <f aca="false">P79/10</f>
        <v>0</v>
      </c>
    </row>
    <row r="40" customFormat="false" ht="27" hidden="false" customHeight="true" outlineLevel="0" collapsed="false">
      <c r="A40" s="8" t="s">
        <v>46</v>
      </c>
      <c r="B40" s="9" t="str">
        <f aca="false">IFERROR(INDEX(成員名單!$B$5:$B$34,MATCH($A40,成員名單!$A$5:$A$34,0))&amp;"","")</f>
        <v/>
      </c>
      <c r="C40" s="23" t="b">
        <f aca="false">FALSE()</f>
        <v>0</v>
      </c>
      <c r="D40" s="23" t="b">
        <f aca="false">FALSE()</f>
        <v>0</v>
      </c>
      <c r="E40" s="9" t="n">
        <f aca="false">D80/10</f>
        <v>0</v>
      </c>
      <c r="F40" s="23" t="b">
        <f aca="false">FALSE()</f>
        <v>0</v>
      </c>
      <c r="G40" s="9" t="n">
        <f aca="false">F80/10</f>
        <v>0</v>
      </c>
      <c r="H40" s="23" t="b">
        <f aca="false">FALSE()</f>
        <v>0</v>
      </c>
      <c r="I40" s="9" t="n">
        <f aca="false">H80/10</f>
        <v>0</v>
      </c>
      <c r="J40" s="23" t="b">
        <f aca="false">FALSE()</f>
        <v>0</v>
      </c>
      <c r="K40" s="9" t="n">
        <f aca="false">J80/10</f>
        <v>0</v>
      </c>
      <c r="L40" s="23" t="b">
        <f aca="false">FALSE()</f>
        <v>0</v>
      </c>
      <c r="M40" s="9" t="n">
        <f aca="false">L80/10</f>
        <v>0</v>
      </c>
      <c r="N40" s="23" t="b">
        <f aca="false">FALSE()</f>
        <v>0</v>
      </c>
      <c r="O40" s="9" t="n">
        <f aca="false">N80/10</f>
        <v>0</v>
      </c>
      <c r="P40" s="23" t="b">
        <f aca="false">FALSE()</f>
        <v>0</v>
      </c>
      <c r="Q40" s="9" t="n">
        <f aca="false">P80/10</f>
        <v>0</v>
      </c>
    </row>
    <row r="41" customFormat="false" ht="27" hidden="false" customHeight="true" outlineLevel="0" collapsed="false">
      <c r="A41" s="10" t="s">
        <v>47</v>
      </c>
      <c r="B41" s="11" t="str">
        <f aca="false">IFERROR(INDEX(成員名單!$B$5:$B$34,MATCH($A41,成員名單!$A$5:$A$34,0))&amp;"","")</f>
        <v/>
      </c>
      <c r="C41" s="23" t="b">
        <f aca="false">FALSE()</f>
        <v>0</v>
      </c>
      <c r="D41" s="23" t="b">
        <f aca="false">FALSE()</f>
        <v>0</v>
      </c>
      <c r="E41" s="11" t="n">
        <f aca="false">D81/10</f>
        <v>0</v>
      </c>
      <c r="F41" s="23" t="b">
        <f aca="false">FALSE()</f>
        <v>0</v>
      </c>
      <c r="G41" s="11" t="n">
        <f aca="false">F81/10</f>
        <v>0</v>
      </c>
      <c r="H41" s="23" t="b">
        <f aca="false">FALSE()</f>
        <v>0</v>
      </c>
      <c r="I41" s="11" t="n">
        <f aca="false">H81/10</f>
        <v>0</v>
      </c>
      <c r="J41" s="23" t="b">
        <f aca="false">FALSE()</f>
        <v>0</v>
      </c>
      <c r="K41" s="11" t="n">
        <f aca="false">J81/10</f>
        <v>0</v>
      </c>
      <c r="L41" s="23" t="b">
        <f aca="false">FALSE()</f>
        <v>0</v>
      </c>
      <c r="M41" s="11" t="n">
        <f aca="false">L81/10</f>
        <v>0</v>
      </c>
      <c r="N41" s="23" t="b">
        <f aca="false">FALSE()</f>
        <v>0</v>
      </c>
      <c r="O41" s="11" t="n">
        <f aca="false">N81/10</f>
        <v>0</v>
      </c>
      <c r="P41" s="23" t="b">
        <f aca="false">FALSE()</f>
        <v>0</v>
      </c>
      <c r="Q41" s="11" t="n">
        <f aca="false">P81/10</f>
        <v>0</v>
      </c>
    </row>
    <row r="42" customFormat="false" ht="27" hidden="false" customHeight="true" outlineLevel="0" collapsed="false">
      <c r="A42" s="12"/>
      <c r="B42" s="8" t="s">
        <v>88</v>
      </c>
      <c r="C42" s="12"/>
      <c r="D42" s="12"/>
      <c r="E42" s="9" t="n">
        <f aca="false">D51/10</f>
        <v>0</v>
      </c>
      <c r="F42" s="12"/>
      <c r="G42" s="9" t="n">
        <f aca="false">F51/10</f>
        <v>0</v>
      </c>
      <c r="H42" s="12"/>
      <c r="I42" s="9" t="n">
        <f aca="false">H51/10</f>
        <v>0</v>
      </c>
      <c r="J42" s="12"/>
      <c r="K42" s="9" t="n">
        <f aca="false">J51/10</f>
        <v>0</v>
      </c>
      <c r="L42" s="12"/>
      <c r="M42" s="9" t="n">
        <f aca="false">L51/10</f>
        <v>0</v>
      </c>
      <c r="N42" s="12"/>
      <c r="O42" s="9" t="n">
        <f aca="false">N51/10</f>
        <v>0</v>
      </c>
      <c r="P42" s="12"/>
      <c r="Q42" s="9" t="n">
        <f aca="false">P51/10</f>
        <v>0</v>
      </c>
    </row>
    <row r="46" customFormat="false" ht="15" hidden="true" customHeight="false" outlineLevel="0" collapsed="false">
      <c r="D46" s="14" t="n">
        <f aca="false">IFERROR(IF(D$47,ROUND(D$6*10,0),0),0)</f>
        <v>0</v>
      </c>
      <c r="F46" s="14" t="n">
        <f aca="false">IFERROR(IF(F$47,ROUND(F$6*10,0),0),0)</f>
        <v>0</v>
      </c>
      <c r="H46" s="14" t="n">
        <f aca="false">IFERROR(IF(H$47,ROUND(H$6*10,0),0),0)</f>
        <v>0</v>
      </c>
      <c r="J46" s="14" t="n">
        <f aca="false">IFERROR(IF(J$47,ROUND(J$6*10,0),0),0)</f>
        <v>0</v>
      </c>
      <c r="L46" s="14" t="n">
        <f aca="false">IFERROR(IF(L$47,ROUND(L$6*10,0),0),0)</f>
        <v>0</v>
      </c>
      <c r="N46" s="14" t="n">
        <f aca="false">IFERROR(IF(N$47,ROUND(N$6*10,0),0),0)</f>
        <v>0</v>
      </c>
      <c r="P46" s="14" t="n">
        <f aca="false">IFERROR(IF(P$47,ROUND(P$6*10,0),0),0)</f>
        <v>0</v>
      </c>
    </row>
    <row r="47" customFormat="false" ht="15" hidden="true" customHeight="false" outlineLevel="0" collapsed="false">
      <c r="D47" s="14" t="n">
        <f aca="false">IF(LEN(TRIM(D$6&amp;""))=0,TRUE(),IFERROR(AND(ISNUMBER(D$6),D$6&gt;=0,D$6&lt;=100000000,ROUND(D$6,1)=D$6),FALSE()))</f>
        <v>1</v>
      </c>
      <c r="F47" s="14" t="n">
        <f aca="false">IF(LEN(TRIM(F$6&amp;""))=0,TRUE(),IFERROR(AND(ISNUMBER(F$6),F$6&gt;=0,F$6&lt;=100000000,ROUND(F$6,1)=F$6),FALSE()))</f>
        <v>1</v>
      </c>
      <c r="H47" s="14" t="n">
        <f aca="false">IF(LEN(TRIM(H$6&amp;""))=0,TRUE(),IFERROR(AND(ISNUMBER(H$6),H$6&gt;=0,H$6&lt;=100000000,ROUND(H$6,1)=H$6),FALSE()))</f>
        <v>1</v>
      </c>
      <c r="J47" s="14" t="n">
        <f aca="false">IF(LEN(TRIM(J$6&amp;""))=0,TRUE(),IFERROR(AND(ISNUMBER(J$6),J$6&gt;=0,J$6&lt;=100000000,ROUND(J$6,1)=J$6),FALSE()))</f>
        <v>1</v>
      </c>
      <c r="L47" s="14" t="n">
        <f aca="false">IF(LEN(TRIM(L$6&amp;""))=0,TRUE(),IFERROR(AND(ISNUMBER(L$6),L$6&gt;=0,L$6&lt;=100000000,ROUND(L$6,1)=L$6),FALSE()))</f>
        <v>1</v>
      </c>
      <c r="N47" s="14" t="n">
        <f aca="false">IF(LEN(TRIM(N$6&amp;""))=0,TRUE(),IFERROR(AND(ISNUMBER(N$6),N$6&gt;=0,N$6&lt;=100000000,ROUND(N$6,1)=N$6),FALSE()))</f>
        <v>1</v>
      </c>
      <c r="P47" s="14" t="n">
        <f aca="false">IF(LEN(TRIM(P$6&amp;""))=0,TRUE(),IFERROR(AND(ISNUMBER(P$6),P$6&gt;=0,P$6&lt;=100000000,ROUND(P$6,1)=P$6),FALSE()))</f>
        <v>1</v>
      </c>
    </row>
    <row r="48" customFormat="false" ht="15" hidden="true" customHeight="false" outlineLevel="0" collapsed="false">
      <c r="D48" s="14" t="n">
        <f aca="false">IF(D$50,IF(AND($C$3=TRUE(),$C$49&gt;0),SUMPRODUCT(--(LEN(TRIM($B$12:$B$41))&gt;0),--(D$12:D$41=TRUE()),--($C$12:$C$41&lt;&gt;TRUE())),0),SUMPRODUCT(--(LEN(TRIM($B$12:$B$41))&gt;0),--(D$12:D$41=TRUE())))</f>
        <v>0</v>
      </c>
      <c r="F48" s="14" t="n">
        <f aca="false">IF(F$50,IF(AND($C$3=TRUE(),$C$49&gt;0),SUMPRODUCT(--(LEN(TRIM($B$12:$B$41))&gt;0),--(F$12:F$41=TRUE()),--($C$12:$C$41&lt;&gt;TRUE())),0),SUMPRODUCT(--(LEN(TRIM($B$12:$B$41))&gt;0),--(F$12:F$41=TRUE())))</f>
        <v>0</v>
      </c>
      <c r="H48" s="14" t="n">
        <f aca="false">IF(H$50,IF(AND($C$3=TRUE(),$C$49&gt;0),SUMPRODUCT(--(LEN(TRIM($B$12:$B$41))&gt;0),--(H$12:H$41=TRUE()),--($C$12:$C$41&lt;&gt;TRUE())),0),SUMPRODUCT(--(LEN(TRIM($B$12:$B$41))&gt;0),--(H$12:H$41=TRUE())))</f>
        <v>0</v>
      </c>
      <c r="J48" s="14" t="n">
        <f aca="false">IF(J$50,IF(AND($C$3=TRUE(),$C$49&gt;0),SUMPRODUCT(--(LEN(TRIM($B$12:$B$41))&gt;0),--(J$12:J$41=TRUE()),--($C$12:$C$41&lt;&gt;TRUE())),0),SUMPRODUCT(--(LEN(TRIM($B$12:$B$41))&gt;0),--(J$12:J$41=TRUE())))</f>
        <v>0</v>
      </c>
      <c r="L48" s="14" t="n">
        <f aca="false">IF(L$50,IF(AND($C$3=TRUE(),$C$49&gt;0),SUMPRODUCT(--(LEN(TRIM($B$12:$B$41))&gt;0),--(L$12:L$41=TRUE()),--($C$12:$C$41&lt;&gt;TRUE())),0),SUMPRODUCT(--(LEN(TRIM($B$12:$B$41))&gt;0),--(L$12:L$41=TRUE())))</f>
        <v>0</v>
      </c>
      <c r="N48" s="14" t="n">
        <f aca="false">IF(N$50,IF(AND($C$3=TRUE(),$C$49&gt;0),SUMPRODUCT(--(LEN(TRIM($B$12:$B$41))&gt;0),--(N$12:N$41=TRUE()),--($C$12:$C$41&lt;&gt;TRUE())),0),SUMPRODUCT(--(LEN(TRIM($B$12:$B$41))&gt;0),--(N$12:N$41=TRUE())))</f>
        <v>0</v>
      </c>
      <c r="P48" s="14" t="n">
        <f aca="false">IF(P$50,IF(AND($C$3=TRUE(),$C$49&gt;0),SUMPRODUCT(--(LEN(TRIM($B$12:$B$41))&gt;0),--(P$12:P$41=TRUE()),--($C$12:$C$41&lt;&gt;TRUE())),0),SUMPRODUCT(--(LEN(TRIM($B$12:$B$41))&gt;0),--(P$12:P$41=TRUE())))</f>
        <v>0</v>
      </c>
    </row>
    <row r="49" customFormat="false" ht="15" hidden="true" customHeight="false" outlineLevel="0" collapsed="false">
      <c r="C49" s="14" t="n">
        <f aca="false">SUMPRODUCT(--(LEN(TRIM($B$12:$B$41))&gt;0),--($C$12:$C$41=TRUE()))</f>
        <v>0</v>
      </c>
    </row>
    <row r="50" customFormat="false" ht="15" hidden="true" customHeight="false" outlineLevel="0" collapsed="false">
      <c r="D50" s="14" t="n">
        <f aca="false">OR(D$5="油錢",D$5="租車費")</f>
        <v>0</v>
      </c>
      <c r="F50" s="14" t="n">
        <f aca="false">OR(F$5="油錢",F$5="租車費")</f>
        <v>0</v>
      </c>
      <c r="H50" s="14" t="n">
        <f aca="false">OR(H$5="油錢",H$5="租車費")</f>
        <v>0</v>
      </c>
      <c r="J50" s="14" t="n">
        <f aca="false">OR(J$5="油錢",J$5="租車費")</f>
        <v>1</v>
      </c>
      <c r="L50" s="14" t="n">
        <f aca="false">OR(L$5="油錢",L$5="租車費")</f>
        <v>1</v>
      </c>
      <c r="N50" s="14" t="n">
        <f aca="false">OR(N$5="油錢",N$5="租車費")</f>
        <v>0</v>
      </c>
      <c r="P50" s="14" t="n">
        <f aca="false">OR(P$5="油錢",P$5="租車費")</f>
        <v>0</v>
      </c>
    </row>
    <row r="51" customFormat="false" ht="15" hidden="true" customHeight="false" outlineLevel="0" collapsed="false">
      <c r="D51" s="14" t="n">
        <f aca="false">SUM(D52:D81)</f>
        <v>0</v>
      </c>
      <c r="F51" s="14" t="n">
        <f aca="false">SUM(F52:F81)</f>
        <v>0</v>
      </c>
      <c r="H51" s="14" t="n">
        <f aca="false">SUM(H52:H81)</f>
        <v>0</v>
      </c>
      <c r="J51" s="14" t="n">
        <f aca="false">SUM(J52:J81)</f>
        <v>0</v>
      </c>
      <c r="L51" s="14" t="n">
        <f aca="false">SUM(L52:L81)</f>
        <v>0</v>
      </c>
      <c r="N51" s="14" t="n">
        <f aca="false">SUM(N52:N81)</f>
        <v>0</v>
      </c>
      <c r="P51" s="14" t="n">
        <f aca="false">SUM(P52:P81)</f>
        <v>0</v>
      </c>
    </row>
    <row r="52" customFormat="false" ht="15" hidden="true" customHeight="false" outlineLevel="0" collapsed="false">
      <c r="A52" s="13" t="s">
        <v>18</v>
      </c>
      <c r="D52" s="14" t="n">
        <f aca="false">IF(AND(D$47,D$48&gt;0,LEN(TRIM($B12))&gt;0,D12=TRUE(),IF(D$50,$C12&lt;&gt;TRUE(),TRUE())),QUOTIENT(D$46,MAX(1,D$48))+IF(IF(D$50,SUMPRODUCT(--(LEN(TRIM($B$12:$B12))&gt;0),--(D$12:D12=TRUE()),--($C$12:$C12&lt;&gt;TRUE())),SUMPRODUCT(--(LEN(TRIM($B$12:$B12))&gt;0),--(D$12:D12=TRUE())))&lt;=MOD(D$46,MAX(1,D$48)),1,0),0)</f>
        <v>0</v>
      </c>
      <c r="F52" s="14" t="n">
        <f aca="false">IF(AND(F$47,F$48&gt;0,LEN(TRIM($B12))&gt;0,F12=TRUE(),IF(F$50,$C12&lt;&gt;TRUE(),TRUE())),QUOTIENT(F$46,MAX(1,F$48))+IF(IF(F$50,SUMPRODUCT(--(LEN(TRIM($B$12:$B12))&gt;0),--(F$12:F12=TRUE()),--($C$12:$C12&lt;&gt;TRUE())),SUMPRODUCT(--(LEN(TRIM($B$12:$B12))&gt;0),--(F$12:F12=TRUE())))&lt;=MOD(F$46,MAX(1,F$48)),1,0),0)</f>
        <v>0</v>
      </c>
      <c r="H52" s="14" t="n">
        <f aca="false">IF(AND(H$47,H$48&gt;0,LEN(TRIM($B12))&gt;0,H12=TRUE(),IF(H$50,$C12&lt;&gt;TRUE(),TRUE())),QUOTIENT(H$46,MAX(1,H$48))+IF(IF(H$50,SUMPRODUCT(--(LEN(TRIM($B$12:$B12))&gt;0),--(H$12:H12=TRUE()),--($C$12:$C12&lt;&gt;TRUE())),SUMPRODUCT(--(LEN(TRIM($B$12:$B12))&gt;0),--(H$12:H12=TRUE())))&lt;=MOD(H$46,MAX(1,H$48)),1,0),0)</f>
        <v>0</v>
      </c>
      <c r="J52" s="14" t="n">
        <f aca="false">IF(AND(J$47,J$48&gt;0,LEN(TRIM($B12))&gt;0,J12=TRUE(),IF(J$50,$C12&lt;&gt;TRUE(),TRUE())),QUOTIENT(J$46,MAX(1,J$48))+IF(IF(J$50,SUMPRODUCT(--(LEN(TRIM($B$12:$B12))&gt;0),--(J$12:J12=TRUE()),--($C$12:$C12&lt;&gt;TRUE())),SUMPRODUCT(--(LEN(TRIM($B$12:$B12))&gt;0),--(J$12:J12=TRUE())))&lt;=MOD(J$46,MAX(1,J$48)),1,0),0)</f>
        <v>0</v>
      </c>
      <c r="L52" s="14" t="n">
        <f aca="false">IF(AND(L$47,L$48&gt;0,LEN(TRIM($B12))&gt;0,L12=TRUE(),IF(L$50,$C12&lt;&gt;TRUE(),TRUE())),QUOTIENT(L$46,MAX(1,L$48))+IF(IF(L$50,SUMPRODUCT(--(LEN(TRIM($B$12:$B12))&gt;0),--(L$12:L12=TRUE()),--($C$12:$C12&lt;&gt;TRUE())),SUMPRODUCT(--(LEN(TRIM($B$12:$B12))&gt;0),--(L$12:L12=TRUE())))&lt;=MOD(L$46,MAX(1,L$48)),1,0),0)</f>
        <v>0</v>
      </c>
      <c r="N52" s="14" t="n">
        <f aca="false">IF(AND(N$47,N$48&gt;0,LEN(TRIM($B12))&gt;0,N12=TRUE(),IF(N$50,$C12&lt;&gt;TRUE(),TRUE())),QUOTIENT(N$46,MAX(1,N$48))+IF(IF(N$50,SUMPRODUCT(--(LEN(TRIM($B$12:$B12))&gt;0),--(N$12:N12=TRUE()),--($C$12:$C12&lt;&gt;TRUE())),SUMPRODUCT(--(LEN(TRIM($B$12:$B12))&gt;0),--(N$12:N12=TRUE())))&lt;=MOD(N$46,MAX(1,N$48)),1,0),0)</f>
        <v>0</v>
      </c>
      <c r="P52" s="14" t="n">
        <f aca="false">IF(AND(P$47,P$48&gt;0,LEN(TRIM($B12))&gt;0,P12=TRUE(),IF(P$50,$C12&lt;&gt;TRUE(),TRUE())),QUOTIENT(P$46,MAX(1,P$48))+IF(IF(P$50,SUMPRODUCT(--(LEN(TRIM($B$12:$B12))&gt;0),--(P$12:P12=TRUE()),--($C$12:$C12&lt;&gt;TRUE())),SUMPRODUCT(--(LEN(TRIM($B$12:$B12))&gt;0),--(P$12:P12=TRUE())))&lt;=MOD(P$46,MAX(1,P$48)),1,0),0)</f>
        <v>0</v>
      </c>
    </row>
    <row r="53" customFormat="false" ht="15" hidden="true" customHeight="false" outlineLevel="0" collapsed="false">
      <c r="A53" s="13" t="s">
        <v>19</v>
      </c>
      <c r="D53" s="14" t="n">
        <f aca="false">IF(AND(D$47,D$48&gt;0,LEN(TRIM($B13))&gt;0,D13=TRUE(),IF(D$50,$C13&lt;&gt;TRUE(),TRUE())),QUOTIENT(D$46,MAX(1,D$48))+IF(IF(D$50,SUMPRODUCT(--(LEN(TRIM($B$12:$B13))&gt;0),--(D$12:D13=TRUE()),--($C$12:$C13&lt;&gt;TRUE())),SUMPRODUCT(--(LEN(TRIM($B$12:$B13))&gt;0),--(D$12:D13=TRUE())))&lt;=MOD(D$46,MAX(1,D$48)),1,0),0)</f>
        <v>0</v>
      </c>
      <c r="F53" s="14" t="n">
        <f aca="false">IF(AND(F$47,F$48&gt;0,LEN(TRIM($B13))&gt;0,F13=TRUE(),IF(F$50,$C13&lt;&gt;TRUE(),TRUE())),QUOTIENT(F$46,MAX(1,F$48))+IF(IF(F$50,SUMPRODUCT(--(LEN(TRIM($B$12:$B13))&gt;0),--(F$12:F13=TRUE()),--($C$12:$C13&lt;&gt;TRUE())),SUMPRODUCT(--(LEN(TRIM($B$12:$B13))&gt;0),--(F$12:F13=TRUE())))&lt;=MOD(F$46,MAX(1,F$48)),1,0),0)</f>
        <v>0</v>
      </c>
      <c r="H53" s="14" t="n">
        <f aca="false">IF(AND(H$47,H$48&gt;0,LEN(TRIM($B13))&gt;0,H13=TRUE(),IF(H$50,$C13&lt;&gt;TRUE(),TRUE())),QUOTIENT(H$46,MAX(1,H$48))+IF(IF(H$50,SUMPRODUCT(--(LEN(TRIM($B$12:$B13))&gt;0),--(H$12:H13=TRUE()),--($C$12:$C13&lt;&gt;TRUE())),SUMPRODUCT(--(LEN(TRIM($B$12:$B13))&gt;0),--(H$12:H13=TRUE())))&lt;=MOD(H$46,MAX(1,H$48)),1,0),0)</f>
        <v>0</v>
      </c>
      <c r="J53" s="14" t="n">
        <f aca="false">IF(AND(J$47,J$48&gt;0,LEN(TRIM($B13))&gt;0,J13=TRUE(),IF(J$50,$C13&lt;&gt;TRUE(),TRUE())),QUOTIENT(J$46,MAX(1,J$48))+IF(IF(J$50,SUMPRODUCT(--(LEN(TRIM($B$12:$B13))&gt;0),--(J$12:J13=TRUE()),--($C$12:$C13&lt;&gt;TRUE())),SUMPRODUCT(--(LEN(TRIM($B$12:$B13))&gt;0),--(J$12:J13=TRUE())))&lt;=MOD(J$46,MAX(1,J$48)),1,0),0)</f>
        <v>0</v>
      </c>
      <c r="L53" s="14" t="n">
        <f aca="false">IF(AND(L$47,L$48&gt;0,LEN(TRIM($B13))&gt;0,L13=TRUE(),IF(L$50,$C13&lt;&gt;TRUE(),TRUE())),QUOTIENT(L$46,MAX(1,L$48))+IF(IF(L$50,SUMPRODUCT(--(LEN(TRIM($B$12:$B13))&gt;0),--(L$12:L13=TRUE()),--($C$12:$C13&lt;&gt;TRUE())),SUMPRODUCT(--(LEN(TRIM($B$12:$B13))&gt;0),--(L$12:L13=TRUE())))&lt;=MOD(L$46,MAX(1,L$48)),1,0),0)</f>
        <v>0</v>
      </c>
      <c r="N53" s="14" t="n">
        <f aca="false">IF(AND(N$47,N$48&gt;0,LEN(TRIM($B13))&gt;0,N13=TRUE(),IF(N$50,$C13&lt;&gt;TRUE(),TRUE())),QUOTIENT(N$46,MAX(1,N$48))+IF(IF(N$50,SUMPRODUCT(--(LEN(TRIM($B$12:$B13))&gt;0),--(N$12:N13=TRUE()),--($C$12:$C13&lt;&gt;TRUE())),SUMPRODUCT(--(LEN(TRIM($B$12:$B13))&gt;0),--(N$12:N13=TRUE())))&lt;=MOD(N$46,MAX(1,N$48)),1,0),0)</f>
        <v>0</v>
      </c>
      <c r="P53" s="14" t="n">
        <f aca="false">IF(AND(P$47,P$48&gt;0,LEN(TRIM($B13))&gt;0,P13=TRUE(),IF(P$50,$C13&lt;&gt;TRUE(),TRUE())),QUOTIENT(P$46,MAX(1,P$48))+IF(IF(P$50,SUMPRODUCT(--(LEN(TRIM($B$12:$B13))&gt;0),--(P$12:P13=TRUE()),--($C$12:$C13&lt;&gt;TRUE())),SUMPRODUCT(--(LEN(TRIM($B$12:$B13))&gt;0),--(P$12:P13=TRUE())))&lt;=MOD(P$46,MAX(1,P$48)),1,0),0)</f>
        <v>0</v>
      </c>
    </row>
    <row r="54" customFormat="false" ht="15" hidden="true" customHeight="false" outlineLevel="0" collapsed="false">
      <c r="A54" s="13" t="s">
        <v>20</v>
      </c>
      <c r="D54" s="14" t="n">
        <f aca="false">IF(AND(D$47,D$48&gt;0,LEN(TRIM($B14))&gt;0,D14=TRUE(),IF(D$50,$C14&lt;&gt;TRUE(),TRUE())),QUOTIENT(D$46,MAX(1,D$48))+IF(IF(D$50,SUMPRODUCT(--(LEN(TRIM($B$12:$B14))&gt;0),--(D$12:D14=TRUE()),--($C$12:$C14&lt;&gt;TRUE())),SUMPRODUCT(--(LEN(TRIM($B$12:$B14))&gt;0),--(D$12:D14=TRUE())))&lt;=MOD(D$46,MAX(1,D$48)),1,0),0)</f>
        <v>0</v>
      </c>
      <c r="F54" s="14" t="n">
        <f aca="false">IF(AND(F$47,F$48&gt;0,LEN(TRIM($B14))&gt;0,F14=TRUE(),IF(F$50,$C14&lt;&gt;TRUE(),TRUE())),QUOTIENT(F$46,MAX(1,F$48))+IF(IF(F$50,SUMPRODUCT(--(LEN(TRIM($B$12:$B14))&gt;0),--(F$12:F14=TRUE()),--($C$12:$C14&lt;&gt;TRUE())),SUMPRODUCT(--(LEN(TRIM($B$12:$B14))&gt;0),--(F$12:F14=TRUE())))&lt;=MOD(F$46,MAX(1,F$48)),1,0),0)</f>
        <v>0</v>
      </c>
      <c r="H54" s="14" t="n">
        <f aca="false">IF(AND(H$47,H$48&gt;0,LEN(TRIM($B14))&gt;0,H14=TRUE(),IF(H$50,$C14&lt;&gt;TRUE(),TRUE())),QUOTIENT(H$46,MAX(1,H$48))+IF(IF(H$50,SUMPRODUCT(--(LEN(TRIM($B$12:$B14))&gt;0),--(H$12:H14=TRUE()),--($C$12:$C14&lt;&gt;TRUE())),SUMPRODUCT(--(LEN(TRIM($B$12:$B14))&gt;0),--(H$12:H14=TRUE())))&lt;=MOD(H$46,MAX(1,H$48)),1,0),0)</f>
        <v>0</v>
      </c>
      <c r="J54" s="14" t="n">
        <f aca="false">IF(AND(J$47,J$48&gt;0,LEN(TRIM($B14))&gt;0,J14=TRUE(),IF(J$50,$C14&lt;&gt;TRUE(),TRUE())),QUOTIENT(J$46,MAX(1,J$48))+IF(IF(J$50,SUMPRODUCT(--(LEN(TRIM($B$12:$B14))&gt;0),--(J$12:J14=TRUE()),--($C$12:$C14&lt;&gt;TRUE())),SUMPRODUCT(--(LEN(TRIM($B$12:$B14))&gt;0),--(J$12:J14=TRUE())))&lt;=MOD(J$46,MAX(1,J$48)),1,0),0)</f>
        <v>0</v>
      </c>
      <c r="L54" s="14" t="n">
        <f aca="false">IF(AND(L$47,L$48&gt;0,LEN(TRIM($B14))&gt;0,L14=TRUE(),IF(L$50,$C14&lt;&gt;TRUE(),TRUE())),QUOTIENT(L$46,MAX(1,L$48))+IF(IF(L$50,SUMPRODUCT(--(LEN(TRIM($B$12:$B14))&gt;0),--(L$12:L14=TRUE()),--($C$12:$C14&lt;&gt;TRUE())),SUMPRODUCT(--(LEN(TRIM($B$12:$B14))&gt;0),--(L$12:L14=TRUE())))&lt;=MOD(L$46,MAX(1,L$48)),1,0),0)</f>
        <v>0</v>
      </c>
      <c r="N54" s="14" t="n">
        <f aca="false">IF(AND(N$47,N$48&gt;0,LEN(TRIM($B14))&gt;0,N14=TRUE(),IF(N$50,$C14&lt;&gt;TRUE(),TRUE())),QUOTIENT(N$46,MAX(1,N$48))+IF(IF(N$50,SUMPRODUCT(--(LEN(TRIM($B$12:$B14))&gt;0),--(N$12:N14=TRUE()),--($C$12:$C14&lt;&gt;TRUE())),SUMPRODUCT(--(LEN(TRIM($B$12:$B14))&gt;0),--(N$12:N14=TRUE())))&lt;=MOD(N$46,MAX(1,N$48)),1,0),0)</f>
        <v>0</v>
      </c>
      <c r="P54" s="14" t="n">
        <f aca="false">IF(AND(P$47,P$48&gt;0,LEN(TRIM($B14))&gt;0,P14=TRUE(),IF(P$50,$C14&lt;&gt;TRUE(),TRUE())),QUOTIENT(P$46,MAX(1,P$48))+IF(IF(P$50,SUMPRODUCT(--(LEN(TRIM($B$12:$B14))&gt;0),--(P$12:P14=TRUE()),--($C$12:$C14&lt;&gt;TRUE())),SUMPRODUCT(--(LEN(TRIM($B$12:$B14))&gt;0),--(P$12:P14=TRUE())))&lt;=MOD(P$46,MAX(1,P$48)),1,0),0)</f>
        <v>0</v>
      </c>
    </row>
    <row r="55" customFormat="false" ht="15" hidden="true" customHeight="false" outlineLevel="0" collapsed="false">
      <c r="A55" s="13" t="s">
        <v>21</v>
      </c>
      <c r="D55" s="14" t="n">
        <f aca="false">IF(AND(D$47,D$48&gt;0,LEN(TRIM($B15))&gt;0,D15=TRUE(),IF(D$50,$C15&lt;&gt;TRUE(),TRUE())),QUOTIENT(D$46,MAX(1,D$48))+IF(IF(D$50,SUMPRODUCT(--(LEN(TRIM($B$12:$B15))&gt;0),--(D$12:D15=TRUE()),--($C$12:$C15&lt;&gt;TRUE())),SUMPRODUCT(--(LEN(TRIM($B$12:$B15))&gt;0),--(D$12:D15=TRUE())))&lt;=MOD(D$46,MAX(1,D$48)),1,0),0)</f>
        <v>0</v>
      </c>
      <c r="F55" s="14" t="n">
        <f aca="false">IF(AND(F$47,F$48&gt;0,LEN(TRIM($B15))&gt;0,F15=TRUE(),IF(F$50,$C15&lt;&gt;TRUE(),TRUE())),QUOTIENT(F$46,MAX(1,F$48))+IF(IF(F$50,SUMPRODUCT(--(LEN(TRIM($B$12:$B15))&gt;0),--(F$12:F15=TRUE()),--($C$12:$C15&lt;&gt;TRUE())),SUMPRODUCT(--(LEN(TRIM($B$12:$B15))&gt;0),--(F$12:F15=TRUE())))&lt;=MOD(F$46,MAX(1,F$48)),1,0),0)</f>
        <v>0</v>
      </c>
      <c r="H55" s="14" t="n">
        <f aca="false">IF(AND(H$47,H$48&gt;0,LEN(TRIM($B15))&gt;0,H15=TRUE(),IF(H$50,$C15&lt;&gt;TRUE(),TRUE())),QUOTIENT(H$46,MAX(1,H$48))+IF(IF(H$50,SUMPRODUCT(--(LEN(TRIM($B$12:$B15))&gt;0),--(H$12:H15=TRUE()),--($C$12:$C15&lt;&gt;TRUE())),SUMPRODUCT(--(LEN(TRIM($B$12:$B15))&gt;0),--(H$12:H15=TRUE())))&lt;=MOD(H$46,MAX(1,H$48)),1,0),0)</f>
        <v>0</v>
      </c>
      <c r="J55" s="14" t="n">
        <f aca="false">IF(AND(J$47,J$48&gt;0,LEN(TRIM($B15))&gt;0,J15=TRUE(),IF(J$50,$C15&lt;&gt;TRUE(),TRUE())),QUOTIENT(J$46,MAX(1,J$48))+IF(IF(J$50,SUMPRODUCT(--(LEN(TRIM($B$12:$B15))&gt;0),--(J$12:J15=TRUE()),--($C$12:$C15&lt;&gt;TRUE())),SUMPRODUCT(--(LEN(TRIM($B$12:$B15))&gt;0),--(J$12:J15=TRUE())))&lt;=MOD(J$46,MAX(1,J$48)),1,0),0)</f>
        <v>0</v>
      </c>
      <c r="L55" s="14" t="n">
        <f aca="false">IF(AND(L$47,L$48&gt;0,LEN(TRIM($B15))&gt;0,L15=TRUE(),IF(L$50,$C15&lt;&gt;TRUE(),TRUE())),QUOTIENT(L$46,MAX(1,L$48))+IF(IF(L$50,SUMPRODUCT(--(LEN(TRIM($B$12:$B15))&gt;0),--(L$12:L15=TRUE()),--($C$12:$C15&lt;&gt;TRUE())),SUMPRODUCT(--(LEN(TRIM($B$12:$B15))&gt;0),--(L$12:L15=TRUE())))&lt;=MOD(L$46,MAX(1,L$48)),1,0),0)</f>
        <v>0</v>
      </c>
      <c r="N55" s="14" t="n">
        <f aca="false">IF(AND(N$47,N$48&gt;0,LEN(TRIM($B15))&gt;0,N15=TRUE(),IF(N$50,$C15&lt;&gt;TRUE(),TRUE())),QUOTIENT(N$46,MAX(1,N$48))+IF(IF(N$50,SUMPRODUCT(--(LEN(TRIM($B$12:$B15))&gt;0),--(N$12:N15=TRUE()),--($C$12:$C15&lt;&gt;TRUE())),SUMPRODUCT(--(LEN(TRIM($B$12:$B15))&gt;0),--(N$12:N15=TRUE())))&lt;=MOD(N$46,MAX(1,N$48)),1,0),0)</f>
        <v>0</v>
      </c>
      <c r="P55" s="14" t="n">
        <f aca="false">IF(AND(P$47,P$48&gt;0,LEN(TRIM($B15))&gt;0,P15=TRUE(),IF(P$50,$C15&lt;&gt;TRUE(),TRUE())),QUOTIENT(P$46,MAX(1,P$48))+IF(IF(P$50,SUMPRODUCT(--(LEN(TRIM($B$12:$B15))&gt;0),--(P$12:P15=TRUE()),--($C$12:$C15&lt;&gt;TRUE())),SUMPRODUCT(--(LEN(TRIM($B$12:$B15))&gt;0),--(P$12:P15=TRUE())))&lt;=MOD(P$46,MAX(1,P$48)),1,0),0)</f>
        <v>0</v>
      </c>
    </row>
    <row r="56" customFormat="false" ht="15" hidden="true" customHeight="false" outlineLevel="0" collapsed="false">
      <c r="A56" s="13" t="s">
        <v>22</v>
      </c>
      <c r="D56" s="14" t="n">
        <f aca="false">IF(AND(D$47,D$48&gt;0,LEN(TRIM($B16))&gt;0,D16=TRUE(),IF(D$50,$C16&lt;&gt;TRUE(),TRUE())),QUOTIENT(D$46,MAX(1,D$48))+IF(IF(D$50,SUMPRODUCT(--(LEN(TRIM($B$12:$B16))&gt;0),--(D$12:D16=TRUE()),--($C$12:$C16&lt;&gt;TRUE())),SUMPRODUCT(--(LEN(TRIM($B$12:$B16))&gt;0),--(D$12:D16=TRUE())))&lt;=MOD(D$46,MAX(1,D$48)),1,0),0)</f>
        <v>0</v>
      </c>
      <c r="F56" s="14" t="n">
        <f aca="false">IF(AND(F$47,F$48&gt;0,LEN(TRIM($B16))&gt;0,F16=TRUE(),IF(F$50,$C16&lt;&gt;TRUE(),TRUE())),QUOTIENT(F$46,MAX(1,F$48))+IF(IF(F$50,SUMPRODUCT(--(LEN(TRIM($B$12:$B16))&gt;0),--(F$12:F16=TRUE()),--($C$12:$C16&lt;&gt;TRUE())),SUMPRODUCT(--(LEN(TRIM($B$12:$B16))&gt;0),--(F$12:F16=TRUE())))&lt;=MOD(F$46,MAX(1,F$48)),1,0),0)</f>
        <v>0</v>
      </c>
      <c r="H56" s="14" t="n">
        <f aca="false">IF(AND(H$47,H$48&gt;0,LEN(TRIM($B16))&gt;0,H16=TRUE(),IF(H$50,$C16&lt;&gt;TRUE(),TRUE())),QUOTIENT(H$46,MAX(1,H$48))+IF(IF(H$50,SUMPRODUCT(--(LEN(TRIM($B$12:$B16))&gt;0),--(H$12:H16=TRUE()),--($C$12:$C16&lt;&gt;TRUE())),SUMPRODUCT(--(LEN(TRIM($B$12:$B16))&gt;0),--(H$12:H16=TRUE())))&lt;=MOD(H$46,MAX(1,H$48)),1,0),0)</f>
        <v>0</v>
      </c>
      <c r="J56" s="14" t="n">
        <f aca="false">IF(AND(J$47,J$48&gt;0,LEN(TRIM($B16))&gt;0,J16=TRUE(),IF(J$50,$C16&lt;&gt;TRUE(),TRUE())),QUOTIENT(J$46,MAX(1,J$48))+IF(IF(J$50,SUMPRODUCT(--(LEN(TRIM($B$12:$B16))&gt;0),--(J$12:J16=TRUE()),--($C$12:$C16&lt;&gt;TRUE())),SUMPRODUCT(--(LEN(TRIM($B$12:$B16))&gt;0),--(J$12:J16=TRUE())))&lt;=MOD(J$46,MAX(1,J$48)),1,0),0)</f>
        <v>0</v>
      </c>
      <c r="L56" s="14" t="n">
        <f aca="false">IF(AND(L$47,L$48&gt;0,LEN(TRIM($B16))&gt;0,L16=TRUE(),IF(L$50,$C16&lt;&gt;TRUE(),TRUE())),QUOTIENT(L$46,MAX(1,L$48))+IF(IF(L$50,SUMPRODUCT(--(LEN(TRIM($B$12:$B16))&gt;0),--(L$12:L16=TRUE()),--($C$12:$C16&lt;&gt;TRUE())),SUMPRODUCT(--(LEN(TRIM($B$12:$B16))&gt;0),--(L$12:L16=TRUE())))&lt;=MOD(L$46,MAX(1,L$48)),1,0),0)</f>
        <v>0</v>
      </c>
      <c r="N56" s="14" t="n">
        <f aca="false">IF(AND(N$47,N$48&gt;0,LEN(TRIM($B16))&gt;0,N16=TRUE(),IF(N$50,$C16&lt;&gt;TRUE(),TRUE())),QUOTIENT(N$46,MAX(1,N$48))+IF(IF(N$50,SUMPRODUCT(--(LEN(TRIM($B$12:$B16))&gt;0),--(N$12:N16=TRUE()),--($C$12:$C16&lt;&gt;TRUE())),SUMPRODUCT(--(LEN(TRIM($B$12:$B16))&gt;0),--(N$12:N16=TRUE())))&lt;=MOD(N$46,MAX(1,N$48)),1,0),0)</f>
        <v>0</v>
      </c>
      <c r="P56" s="14" t="n">
        <f aca="false">IF(AND(P$47,P$48&gt;0,LEN(TRIM($B16))&gt;0,P16=TRUE(),IF(P$50,$C16&lt;&gt;TRUE(),TRUE())),QUOTIENT(P$46,MAX(1,P$48))+IF(IF(P$50,SUMPRODUCT(--(LEN(TRIM($B$12:$B16))&gt;0),--(P$12:P16=TRUE()),--($C$12:$C16&lt;&gt;TRUE())),SUMPRODUCT(--(LEN(TRIM($B$12:$B16))&gt;0),--(P$12:P16=TRUE())))&lt;=MOD(P$46,MAX(1,P$48)),1,0),0)</f>
        <v>0</v>
      </c>
    </row>
    <row r="57" customFormat="false" ht="15" hidden="true" customHeight="false" outlineLevel="0" collapsed="false">
      <c r="A57" s="13" t="s">
        <v>23</v>
      </c>
      <c r="D57" s="14" t="n">
        <f aca="false">IF(AND(D$47,D$48&gt;0,LEN(TRIM($B17))&gt;0,D17=TRUE(),IF(D$50,$C17&lt;&gt;TRUE(),TRUE())),QUOTIENT(D$46,MAX(1,D$48))+IF(IF(D$50,SUMPRODUCT(--(LEN(TRIM($B$12:$B17))&gt;0),--(D$12:D17=TRUE()),--($C$12:$C17&lt;&gt;TRUE())),SUMPRODUCT(--(LEN(TRIM($B$12:$B17))&gt;0),--(D$12:D17=TRUE())))&lt;=MOD(D$46,MAX(1,D$48)),1,0),0)</f>
        <v>0</v>
      </c>
      <c r="F57" s="14" t="n">
        <f aca="false">IF(AND(F$47,F$48&gt;0,LEN(TRIM($B17))&gt;0,F17=TRUE(),IF(F$50,$C17&lt;&gt;TRUE(),TRUE())),QUOTIENT(F$46,MAX(1,F$48))+IF(IF(F$50,SUMPRODUCT(--(LEN(TRIM($B$12:$B17))&gt;0),--(F$12:F17=TRUE()),--($C$12:$C17&lt;&gt;TRUE())),SUMPRODUCT(--(LEN(TRIM($B$12:$B17))&gt;0),--(F$12:F17=TRUE())))&lt;=MOD(F$46,MAX(1,F$48)),1,0),0)</f>
        <v>0</v>
      </c>
      <c r="H57" s="14" t="n">
        <f aca="false">IF(AND(H$47,H$48&gt;0,LEN(TRIM($B17))&gt;0,H17=TRUE(),IF(H$50,$C17&lt;&gt;TRUE(),TRUE())),QUOTIENT(H$46,MAX(1,H$48))+IF(IF(H$50,SUMPRODUCT(--(LEN(TRIM($B$12:$B17))&gt;0),--(H$12:H17=TRUE()),--($C$12:$C17&lt;&gt;TRUE())),SUMPRODUCT(--(LEN(TRIM($B$12:$B17))&gt;0),--(H$12:H17=TRUE())))&lt;=MOD(H$46,MAX(1,H$48)),1,0),0)</f>
        <v>0</v>
      </c>
      <c r="J57" s="14" t="n">
        <f aca="false">IF(AND(J$47,J$48&gt;0,LEN(TRIM($B17))&gt;0,J17=TRUE(),IF(J$50,$C17&lt;&gt;TRUE(),TRUE())),QUOTIENT(J$46,MAX(1,J$48))+IF(IF(J$50,SUMPRODUCT(--(LEN(TRIM($B$12:$B17))&gt;0),--(J$12:J17=TRUE()),--($C$12:$C17&lt;&gt;TRUE())),SUMPRODUCT(--(LEN(TRIM($B$12:$B17))&gt;0),--(J$12:J17=TRUE())))&lt;=MOD(J$46,MAX(1,J$48)),1,0),0)</f>
        <v>0</v>
      </c>
      <c r="L57" s="14" t="n">
        <f aca="false">IF(AND(L$47,L$48&gt;0,LEN(TRIM($B17))&gt;0,L17=TRUE(),IF(L$50,$C17&lt;&gt;TRUE(),TRUE())),QUOTIENT(L$46,MAX(1,L$48))+IF(IF(L$50,SUMPRODUCT(--(LEN(TRIM($B$12:$B17))&gt;0),--(L$12:L17=TRUE()),--($C$12:$C17&lt;&gt;TRUE())),SUMPRODUCT(--(LEN(TRIM($B$12:$B17))&gt;0),--(L$12:L17=TRUE())))&lt;=MOD(L$46,MAX(1,L$48)),1,0),0)</f>
        <v>0</v>
      </c>
      <c r="N57" s="14" t="n">
        <f aca="false">IF(AND(N$47,N$48&gt;0,LEN(TRIM($B17))&gt;0,N17=TRUE(),IF(N$50,$C17&lt;&gt;TRUE(),TRUE())),QUOTIENT(N$46,MAX(1,N$48))+IF(IF(N$50,SUMPRODUCT(--(LEN(TRIM($B$12:$B17))&gt;0),--(N$12:N17=TRUE()),--($C$12:$C17&lt;&gt;TRUE())),SUMPRODUCT(--(LEN(TRIM($B$12:$B17))&gt;0),--(N$12:N17=TRUE())))&lt;=MOD(N$46,MAX(1,N$48)),1,0),0)</f>
        <v>0</v>
      </c>
      <c r="P57" s="14" t="n">
        <f aca="false">IF(AND(P$47,P$48&gt;0,LEN(TRIM($B17))&gt;0,P17=TRUE(),IF(P$50,$C17&lt;&gt;TRUE(),TRUE())),QUOTIENT(P$46,MAX(1,P$48))+IF(IF(P$50,SUMPRODUCT(--(LEN(TRIM($B$12:$B17))&gt;0),--(P$12:P17=TRUE()),--($C$12:$C17&lt;&gt;TRUE())),SUMPRODUCT(--(LEN(TRIM($B$12:$B17))&gt;0),--(P$12:P17=TRUE())))&lt;=MOD(P$46,MAX(1,P$48)),1,0),0)</f>
        <v>0</v>
      </c>
    </row>
    <row r="58" customFormat="false" ht="15" hidden="true" customHeight="false" outlineLevel="0" collapsed="false">
      <c r="A58" s="13" t="s">
        <v>24</v>
      </c>
      <c r="D58" s="14" t="n">
        <f aca="false">IF(AND(D$47,D$48&gt;0,LEN(TRIM($B18))&gt;0,D18=TRUE(),IF(D$50,$C18&lt;&gt;TRUE(),TRUE())),QUOTIENT(D$46,MAX(1,D$48))+IF(IF(D$50,SUMPRODUCT(--(LEN(TRIM($B$12:$B18))&gt;0),--(D$12:D18=TRUE()),--($C$12:$C18&lt;&gt;TRUE())),SUMPRODUCT(--(LEN(TRIM($B$12:$B18))&gt;0),--(D$12:D18=TRUE())))&lt;=MOD(D$46,MAX(1,D$48)),1,0),0)</f>
        <v>0</v>
      </c>
      <c r="F58" s="14" t="n">
        <f aca="false">IF(AND(F$47,F$48&gt;0,LEN(TRIM($B18))&gt;0,F18=TRUE(),IF(F$50,$C18&lt;&gt;TRUE(),TRUE())),QUOTIENT(F$46,MAX(1,F$48))+IF(IF(F$50,SUMPRODUCT(--(LEN(TRIM($B$12:$B18))&gt;0),--(F$12:F18=TRUE()),--($C$12:$C18&lt;&gt;TRUE())),SUMPRODUCT(--(LEN(TRIM($B$12:$B18))&gt;0),--(F$12:F18=TRUE())))&lt;=MOD(F$46,MAX(1,F$48)),1,0),0)</f>
        <v>0</v>
      </c>
      <c r="H58" s="14" t="n">
        <f aca="false">IF(AND(H$47,H$48&gt;0,LEN(TRIM($B18))&gt;0,H18=TRUE(),IF(H$50,$C18&lt;&gt;TRUE(),TRUE())),QUOTIENT(H$46,MAX(1,H$48))+IF(IF(H$50,SUMPRODUCT(--(LEN(TRIM($B$12:$B18))&gt;0),--(H$12:H18=TRUE()),--($C$12:$C18&lt;&gt;TRUE())),SUMPRODUCT(--(LEN(TRIM($B$12:$B18))&gt;0),--(H$12:H18=TRUE())))&lt;=MOD(H$46,MAX(1,H$48)),1,0),0)</f>
        <v>0</v>
      </c>
      <c r="J58" s="14" t="n">
        <f aca="false">IF(AND(J$47,J$48&gt;0,LEN(TRIM($B18))&gt;0,J18=TRUE(),IF(J$50,$C18&lt;&gt;TRUE(),TRUE())),QUOTIENT(J$46,MAX(1,J$48))+IF(IF(J$50,SUMPRODUCT(--(LEN(TRIM($B$12:$B18))&gt;0),--(J$12:J18=TRUE()),--($C$12:$C18&lt;&gt;TRUE())),SUMPRODUCT(--(LEN(TRIM($B$12:$B18))&gt;0),--(J$12:J18=TRUE())))&lt;=MOD(J$46,MAX(1,J$48)),1,0),0)</f>
        <v>0</v>
      </c>
      <c r="L58" s="14" t="n">
        <f aca="false">IF(AND(L$47,L$48&gt;0,LEN(TRIM($B18))&gt;0,L18=TRUE(),IF(L$50,$C18&lt;&gt;TRUE(),TRUE())),QUOTIENT(L$46,MAX(1,L$48))+IF(IF(L$50,SUMPRODUCT(--(LEN(TRIM($B$12:$B18))&gt;0),--(L$12:L18=TRUE()),--($C$12:$C18&lt;&gt;TRUE())),SUMPRODUCT(--(LEN(TRIM($B$12:$B18))&gt;0),--(L$12:L18=TRUE())))&lt;=MOD(L$46,MAX(1,L$48)),1,0),0)</f>
        <v>0</v>
      </c>
      <c r="N58" s="14" t="n">
        <f aca="false">IF(AND(N$47,N$48&gt;0,LEN(TRIM($B18))&gt;0,N18=TRUE(),IF(N$50,$C18&lt;&gt;TRUE(),TRUE())),QUOTIENT(N$46,MAX(1,N$48))+IF(IF(N$50,SUMPRODUCT(--(LEN(TRIM($B$12:$B18))&gt;0),--(N$12:N18=TRUE()),--($C$12:$C18&lt;&gt;TRUE())),SUMPRODUCT(--(LEN(TRIM($B$12:$B18))&gt;0),--(N$12:N18=TRUE())))&lt;=MOD(N$46,MAX(1,N$48)),1,0),0)</f>
        <v>0</v>
      </c>
      <c r="P58" s="14" t="n">
        <f aca="false">IF(AND(P$47,P$48&gt;0,LEN(TRIM($B18))&gt;0,P18=TRUE(),IF(P$50,$C18&lt;&gt;TRUE(),TRUE())),QUOTIENT(P$46,MAX(1,P$48))+IF(IF(P$50,SUMPRODUCT(--(LEN(TRIM($B$12:$B18))&gt;0),--(P$12:P18=TRUE()),--($C$12:$C18&lt;&gt;TRUE())),SUMPRODUCT(--(LEN(TRIM($B$12:$B18))&gt;0),--(P$12:P18=TRUE())))&lt;=MOD(P$46,MAX(1,P$48)),1,0),0)</f>
        <v>0</v>
      </c>
    </row>
    <row r="59" customFormat="false" ht="15" hidden="true" customHeight="false" outlineLevel="0" collapsed="false">
      <c r="A59" s="13" t="s">
        <v>25</v>
      </c>
      <c r="D59" s="14" t="n">
        <f aca="false">IF(AND(D$47,D$48&gt;0,LEN(TRIM($B19))&gt;0,D19=TRUE(),IF(D$50,$C19&lt;&gt;TRUE(),TRUE())),QUOTIENT(D$46,MAX(1,D$48))+IF(IF(D$50,SUMPRODUCT(--(LEN(TRIM($B$12:$B19))&gt;0),--(D$12:D19=TRUE()),--($C$12:$C19&lt;&gt;TRUE())),SUMPRODUCT(--(LEN(TRIM($B$12:$B19))&gt;0),--(D$12:D19=TRUE())))&lt;=MOD(D$46,MAX(1,D$48)),1,0),0)</f>
        <v>0</v>
      </c>
      <c r="F59" s="14" t="n">
        <f aca="false">IF(AND(F$47,F$48&gt;0,LEN(TRIM($B19))&gt;0,F19=TRUE(),IF(F$50,$C19&lt;&gt;TRUE(),TRUE())),QUOTIENT(F$46,MAX(1,F$48))+IF(IF(F$50,SUMPRODUCT(--(LEN(TRIM($B$12:$B19))&gt;0),--(F$12:F19=TRUE()),--($C$12:$C19&lt;&gt;TRUE())),SUMPRODUCT(--(LEN(TRIM($B$12:$B19))&gt;0),--(F$12:F19=TRUE())))&lt;=MOD(F$46,MAX(1,F$48)),1,0),0)</f>
        <v>0</v>
      </c>
      <c r="H59" s="14" t="n">
        <f aca="false">IF(AND(H$47,H$48&gt;0,LEN(TRIM($B19))&gt;0,H19=TRUE(),IF(H$50,$C19&lt;&gt;TRUE(),TRUE())),QUOTIENT(H$46,MAX(1,H$48))+IF(IF(H$50,SUMPRODUCT(--(LEN(TRIM($B$12:$B19))&gt;0),--(H$12:H19=TRUE()),--($C$12:$C19&lt;&gt;TRUE())),SUMPRODUCT(--(LEN(TRIM($B$12:$B19))&gt;0),--(H$12:H19=TRUE())))&lt;=MOD(H$46,MAX(1,H$48)),1,0),0)</f>
        <v>0</v>
      </c>
      <c r="J59" s="14" t="n">
        <f aca="false">IF(AND(J$47,J$48&gt;0,LEN(TRIM($B19))&gt;0,J19=TRUE(),IF(J$50,$C19&lt;&gt;TRUE(),TRUE())),QUOTIENT(J$46,MAX(1,J$48))+IF(IF(J$50,SUMPRODUCT(--(LEN(TRIM($B$12:$B19))&gt;0),--(J$12:J19=TRUE()),--($C$12:$C19&lt;&gt;TRUE())),SUMPRODUCT(--(LEN(TRIM($B$12:$B19))&gt;0),--(J$12:J19=TRUE())))&lt;=MOD(J$46,MAX(1,J$48)),1,0),0)</f>
        <v>0</v>
      </c>
      <c r="L59" s="14" t="n">
        <f aca="false">IF(AND(L$47,L$48&gt;0,LEN(TRIM($B19))&gt;0,L19=TRUE(),IF(L$50,$C19&lt;&gt;TRUE(),TRUE())),QUOTIENT(L$46,MAX(1,L$48))+IF(IF(L$50,SUMPRODUCT(--(LEN(TRIM($B$12:$B19))&gt;0),--(L$12:L19=TRUE()),--($C$12:$C19&lt;&gt;TRUE())),SUMPRODUCT(--(LEN(TRIM($B$12:$B19))&gt;0),--(L$12:L19=TRUE())))&lt;=MOD(L$46,MAX(1,L$48)),1,0),0)</f>
        <v>0</v>
      </c>
      <c r="N59" s="14" t="n">
        <f aca="false">IF(AND(N$47,N$48&gt;0,LEN(TRIM($B19))&gt;0,N19=TRUE(),IF(N$50,$C19&lt;&gt;TRUE(),TRUE())),QUOTIENT(N$46,MAX(1,N$48))+IF(IF(N$50,SUMPRODUCT(--(LEN(TRIM($B$12:$B19))&gt;0),--(N$12:N19=TRUE()),--($C$12:$C19&lt;&gt;TRUE())),SUMPRODUCT(--(LEN(TRIM($B$12:$B19))&gt;0),--(N$12:N19=TRUE())))&lt;=MOD(N$46,MAX(1,N$48)),1,0),0)</f>
        <v>0</v>
      </c>
      <c r="P59" s="14" t="n">
        <f aca="false">IF(AND(P$47,P$48&gt;0,LEN(TRIM($B19))&gt;0,P19=TRUE(),IF(P$50,$C19&lt;&gt;TRUE(),TRUE())),QUOTIENT(P$46,MAX(1,P$48))+IF(IF(P$50,SUMPRODUCT(--(LEN(TRIM($B$12:$B19))&gt;0),--(P$12:P19=TRUE()),--($C$12:$C19&lt;&gt;TRUE())),SUMPRODUCT(--(LEN(TRIM($B$12:$B19))&gt;0),--(P$12:P19=TRUE())))&lt;=MOD(P$46,MAX(1,P$48)),1,0),0)</f>
        <v>0</v>
      </c>
    </row>
    <row r="60" customFormat="false" ht="15" hidden="true" customHeight="false" outlineLevel="0" collapsed="false">
      <c r="A60" s="13" t="s">
        <v>26</v>
      </c>
      <c r="D60" s="14" t="n">
        <f aca="false">IF(AND(D$47,D$48&gt;0,LEN(TRIM($B20))&gt;0,D20=TRUE(),IF(D$50,$C20&lt;&gt;TRUE(),TRUE())),QUOTIENT(D$46,MAX(1,D$48))+IF(IF(D$50,SUMPRODUCT(--(LEN(TRIM($B$12:$B20))&gt;0),--(D$12:D20=TRUE()),--($C$12:$C20&lt;&gt;TRUE())),SUMPRODUCT(--(LEN(TRIM($B$12:$B20))&gt;0),--(D$12:D20=TRUE())))&lt;=MOD(D$46,MAX(1,D$48)),1,0),0)</f>
        <v>0</v>
      </c>
      <c r="F60" s="14" t="n">
        <f aca="false">IF(AND(F$47,F$48&gt;0,LEN(TRIM($B20))&gt;0,F20=TRUE(),IF(F$50,$C20&lt;&gt;TRUE(),TRUE())),QUOTIENT(F$46,MAX(1,F$48))+IF(IF(F$50,SUMPRODUCT(--(LEN(TRIM($B$12:$B20))&gt;0),--(F$12:F20=TRUE()),--($C$12:$C20&lt;&gt;TRUE())),SUMPRODUCT(--(LEN(TRIM($B$12:$B20))&gt;0),--(F$12:F20=TRUE())))&lt;=MOD(F$46,MAX(1,F$48)),1,0),0)</f>
        <v>0</v>
      </c>
      <c r="H60" s="14" t="n">
        <f aca="false">IF(AND(H$47,H$48&gt;0,LEN(TRIM($B20))&gt;0,H20=TRUE(),IF(H$50,$C20&lt;&gt;TRUE(),TRUE())),QUOTIENT(H$46,MAX(1,H$48))+IF(IF(H$50,SUMPRODUCT(--(LEN(TRIM($B$12:$B20))&gt;0),--(H$12:H20=TRUE()),--($C$12:$C20&lt;&gt;TRUE())),SUMPRODUCT(--(LEN(TRIM($B$12:$B20))&gt;0),--(H$12:H20=TRUE())))&lt;=MOD(H$46,MAX(1,H$48)),1,0),0)</f>
        <v>0</v>
      </c>
      <c r="J60" s="14" t="n">
        <f aca="false">IF(AND(J$47,J$48&gt;0,LEN(TRIM($B20))&gt;0,J20=TRUE(),IF(J$50,$C20&lt;&gt;TRUE(),TRUE())),QUOTIENT(J$46,MAX(1,J$48))+IF(IF(J$50,SUMPRODUCT(--(LEN(TRIM($B$12:$B20))&gt;0),--(J$12:J20=TRUE()),--($C$12:$C20&lt;&gt;TRUE())),SUMPRODUCT(--(LEN(TRIM($B$12:$B20))&gt;0),--(J$12:J20=TRUE())))&lt;=MOD(J$46,MAX(1,J$48)),1,0),0)</f>
        <v>0</v>
      </c>
      <c r="L60" s="14" t="n">
        <f aca="false">IF(AND(L$47,L$48&gt;0,LEN(TRIM($B20))&gt;0,L20=TRUE(),IF(L$50,$C20&lt;&gt;TRUE(),TRUE())),QUOTIENT(L$46,MAX(1,L$48))+IF(IF(L$50,SUMPRODUCT(--(LEN(TRIM($B$12:$B20))&gt;0),--(L$12:L20=TRUE()),--($C$12:$C20&lt;&gt;TRUE())),SUMPRODUCT(--(LEN(TRIM($B$12:$B20))&gt;0),--(L$12:L20=TRUE())))&lt;=MOD(L$46,MAX(1,L$48)),1,0),0)</f>
        <v>0</v>
      </c>
      <c r="N60" s="14" t="n">
        <f aca="false">IF(AND(N$47,N$48&gt;0,LEN(TRIM($B20))&gt;0,N20=TRUE(),IF(N$50,$C20&lt;&gt;TRUE(),TRUE())),QUOTIENT(N$46,MAX(1,N$48))+IF(IF(N$50,SUMPRODUCT(--(LEN(TRIM($B$12:$B20))&gt;0),--(N$12:N20=TRUE()),--($C$12:$C20&lt;&gt;TRUE())),SUMPRODUCT(--(LEN(TRIM($B$12:$B20))&gt;0),--(N$12:N20=TRUE())))&lt;=MOD(N$46,MAX(1,N$48)),1,0),0)</f>
        <v>0</v>
      </c>
      <c r="P60" s="14" t="n">
        <f aca="false">IF(AND(P$47,P$48&gt;0,LEN(TRIM($B20))&gt;0,P20=TRUE(),IF(P$50,$C20&lt;&gt;TRUE(),TRUE())),QUOTIENT(P$46,MAX(1,P$48))+IF(IF(P$50,SUMPRODUCT(--(LEN(TRIM($B$12:$B20))&gt;0),--(P$12:P20=TRUE()),--($C$12:$C20&lt;&gt;TRUE())),SUMPRODUCT(--(LEN(TRIM($B$12:$B20))&gt;0),--(P$12:P20=TRUE())))&lt;=MOD(P$46,MAX(1,P$48)),1,0),0)</f>
        <v>0</v>
      </c>
    </row>
    <row r="61" customFormat="false" ht="15" hidden="true" customHeight="false" outlineLevel="0" collapsed="false">
      <c r="A61" s="13" t="s">
        <v>27</v>
      </c>
      <c r="D61" s="14" t="n">
        <f aca="false">IF(AND(D$47,D$48&gt;0,LEN(TRIM($B21))&gt;0,D21=TRUE(),IF(D$50,$C21&lt;&gt;TRUE(),TRUE())),QUOTIENT(D$46,MAX(1,D$48))+IF(IF(D$50,SUMPRODUCT(--(LEN(TRIM($B$12:$B21))&gt;0),--(D$12:D21=TRUE()),--($C$12:$C21&lt;&gt;TRUE())),SUMPRODUCT(--(LEN(TRIM($B$12:$B21))&gt;0),--(D$12:D21=TRUE())))&lt;=MOD(D$46,MAX(1,D$48)),1,0),0)</f>
        <v>0</v>
      </c>
      <c r="F61" s="14" t="n">
        <f aca="false">IF(AND(F$47,F$48&gt;0,LEN(TRIM($B21))&gt;0,F21=TRUE(),IF(F$50,$C21&lt;&gt;TRUE(),TRUE())),QUOTIENT(F$46,MAX(1,F$48))+IF(IF(F$50,SUMPRODUCT(--(LEN(TRIM($B$12:$B21))&gt;0),--(F$12:F21=TRUE()),--($C$12:$C21&lt;&gt;TRUE())),SUMPRODUCT(--(LEN(TRIM($B$12:$B21))&gt;0),--(F$12:F21=TRUE())))&lt;=MOD(F$46,MAX(1,F$48)),1,0),0)</f>
        <v>0</v>
      </c>
      <c r="H61" s="14" t="n">
        <f aca="false">IF(AND(H$47,H$48&gt;0,LEN(TRIM($B21))&gt;0,H21=TRUE(),IF(H$50,$C21&lt;&gt;TRUE(),TRUE())),QUOTIENT(H$46,MAX(1,H$48))+IF(IF(H$50,SUMPRODUCT(--(LEN(TRIM($B$12:$B21))&gt;0),--(H$12:H21=TRUE()),--($C$12:$C21&lt;&gt;TRUE())),SUMPRODUCT(--(LEN(TRIM($B$12:$B21))&gt;0),--(H$12:H21=TRUE())))&lt;=MOD(H$46,MAX(1,H$48)),1,0),0)</f>
        <v>0</v>
      </c>
      <c r="J61" s="14" t="n">
        <f aca="false">IF(AND(J$47,J$48&gt;0,LEN(TRIM($B21))&gt;0,J21=TRUE(),IF(J$50,$C21&lt;&gt;TRUE(),TRUE())),QUOTIENT(J$46,MAX(1,J$48))+IF(IF(J$50,SUMPRODUCT(--(LEN(TRIM($B$12:$B21))&gt;0),--(J$12:J21=TRUE()),--($C$12:$C21&lt;&gt;TRUE())),SUMPRODUCT(--(LEN(TRIM($B$12:$B21))&gt;0),--(J$12:J21=TRUE())))&lt;=MOD(J$46,MAX(1,J$48)),1,0),0)</f>
        <v>0</v>
      </c>
      <c r="L61" s="14" t="n">
        <f aca="false">IF(AND(L$47,L$48&gt;0,LEN(TRIM($B21))&gt;0,L21=TRUE(),IF(L$50,$C21&lt;&gt;TRUE(),TRUE())),QUOTIENT(L$46,MAX(1,L$48))+IF(IF(L$50,SUMPRODUCT(--(LEN(TRIM($B$12:$B21))&gt;0),--(L$12:L21=TRUE()),--($C$12:$C21&lt;&gt;TRUE())),SUMPRODUCT(--(LEN(TRIM($B$12:$B21))&gt;0),--(L$12:L21=TRUE())))&lt;=MOD(L$46,MAX(1,L$48)),1,0),0)</f>
        <v>0</v>
      </c>
      <c r="N61" s="14" t="n">
        <f aca="false">IF(AND(N$47,N$48&gt;0,LEN(TRIM($B21))&gt;0,N21=TRUE(),IF(N$50,$C21&lt;&gt;TRUE(),TRUE())),QUOTIENT(N$46,MAX(1,N$48))+IF(IF(N$50,SUMPRODUCT(--(LEN(TRIM($B$12:$B21))&gt;0),--(N$12:N21=TRUE()),--($C$12:$C21&lt;&gt;TRUE())),SUMPRODUCT(--(LEN(TRIM($B$12:$B21))&gt;0),--(N$12:N21=TRUE())))&lt;=MOD(N$46,MAX(1,N$48)),1,0),0)</f>
        <v>0</v>
      </c>
      <c r="P61" s="14" t="n">
        <f aca="false">IF(AND(P$47,P$48&gt;0,LEN(TRIM($B21))&gt;0,P21=TRUE(),IF(P$50,$C21&lt;&gt;TRUE(),TRUE())),QUOTIENT(P$46,MAX(1,P$48))+IF(IF(P$50,SUMPRODUCT(--(LEN(TRIM($B$12:$B21))&gt;0),--(P$12:P21=TRUE()),--($C$12:$C21&lt;&gt;TRUE())),SUMPRODUCT(--(LEN(TRIM($B$12:$B21))&gt;0),--(P$12:P21=TRUE())))&lt;=MOD(P$46,MAX(1,P$48)),1,0),0)</f>
        <v>0</v>
      </c>
    </row>
    <row r="62" customFormat="false" ht="15" hidden="true" customHeight="false" outlineLevel="0" collapsed="false">
      <c r="A62" s="13" t="s">
        <v>28</v>
      </c>
      <c r="D62" s="14" t="n">
        <f aca="false">IF(AND(D$47,D$48&gt;0,LEN(TRIM($B22))&gt;0,D22=TRUE(),IF(D$50,$C22&lt;&gt;TRUE(),TRUE())),QUOTIENT(D$46,MAX(1,D$48))+IF(IF(D$50,SUMPRODUCT(--(LEN(TRIM($B$12:$B22))&gt;0),--(D$12:D22=TRUE()),--($C$12:$C22&lt;&gt;TRUE())),SUMPRODUCT(--(LEN(TRIM($B$12:$B22))&gt;0),--(D$12:D22=TRUE())))&lt;=MOD(D$46,MAX(1,D$48)),1,0),0)</f>
        <v>0</v>
      </c>
      <c r="F62" s="14" t="n">
        <f aca="false">IF(AND(F$47,F$48&gt;0,LEN(TRIM($B22))&gt;0,F22=TRUE(),IF(F$50,$C22&lt;&gt;TRUE(),TRUE())),QUOTIENT(F$46,MAX(1,F$48))+IF(IF(F$50,SUMPRODUCT(--(LEN(TRIM($B$12:$B22))&gt;0),--(F$12:F22=TRUE()),--($C$12:$C22&lt;&gt;TRUE())),SUMPRODUCT(--(LEN(TRIM($B$12:$B22))&gt;0),--(F$12:F22=TRUE())))&lt;=MOD(F$46,MAX(1,F$48)),1,0),0)</f>
        <v>0</v>
      </c>
      <c r="H62" s="14" t="n">
        <f aca="false">IF(AND(H$47,H$48&gt;0,LEN(TRIM($B22))&gt;0,H22=TRUE(),IF(H$50,$C22&lt;&gt;TRUE(),TRUE())),QUOTIENT(H$46,MAX(1,H$48))+IF(IF(H$50,SUMPRODUCT(--(LEN(TRIM($B$12:$B22))&gt;0),--(H$12:H22=TRUE()),--($C$12:$C22&lt;&gt;TRUE())),SUMPRODUCT(--(LEN(TRIM($B$12:$B22))&gt;0),--(H$12:H22=TRUE())))&lt;=MOD(H$46,MAX(1,H$48)),1,0),0)</f>
        <v>0</v>
      </c>
      <c r="J62" s="14" t="n">
        <f aca="false">IF(AND(J$47,J$48&gt;0,LEN(TRIM($B22))&gt;0,J22=TRUE(),IF(J$50,$C22&lt;&gt;TRUE(),TRUE())),QUOTIENT(J$46,MAX(1,J$48))+IF(IF(J$50,SUMPRODUCT(--(LEN(TRIM($B$12:$B22))&gt;0),--(J$12:J22=TRUE()),--($C$12:$C22&lt;&gt;TRUE())),SUMPRODUCT(--(LEN(TRIM($B$12:$B22))&gt;0),--(J$12:J22=TRUE())))&lt;=MOD(J$46,MAX(1,J$48)),1,0),0)</f>
        <v>0</v>
      </c>
      <c r="L62" s="14" t="n">
        <f aca="false">IF(AND(L$47,L$48&gt;0,LEN(TRIM($B22))&gt;0,L22=TRUE(),IF(L$50,$C22&lt;&gt;TRUE(),TRUE())),QUOTIENT(L$46,MAX(1,L$48))+IF(IF(L$50,SUMPRODUCT(--(LEN(TRIM($B$12:$B22))&gt;0),--(L$12:L22=TRUE()),--($C$12:$C22&lt;&gt;TRUE())),SUMPRODUCT(--(LEN(TRIM($B$12:$B22))&gt;0),--(L$12:L22=TRUE())))&lt;=MOD(L$46,MAX(1,L$48)),1,0),0)</f>
        <v>0</v>
      </c>
      <c r="N62" s="14" t="n">
        <f aca="false">IF(AND(N$47,N$48&gt;0,LEN(TRIM($B22))&gt;0,N22=TRUE(),IF(N$50,$C22&lt;&gt;TRUE(),TRUE())),QUOTIENT(N$46,MAX(1,N$48))+IF(IF(N$50,SUMPRODUCT(--(LEN(TRIM($B$12:$B22))&gt;0),--(N$12:N22=TRUE()),--($C$12:$C22&lt;&gt;TRUE())),SUMPRODUCT(--(LEN(TRIM($B$12:$B22))&gt;0),--(N$12:N22=TRUE())))&lt;=MOD(N$46,MAX(1,N$48)),1,0),0)</f>
        <v>0</v>
      </c>
      <c r="P62" s="14" t="n">
        <f aca="false">IF(AND(P$47,P$48&gt;0,LEN(TRIM($B22))&gt;0,P22=TRUE(),IF(P$50,$C22&lt;&gt;TRUE(),TRUE())),QUOTIENT(P$46,MAX(1,P$48))+IF(IF(P$50,SUMPRODUCT(--(LEN(TRIM($B$12:$B22))&gt;0),--(P$12:P22=TRUE()),--($C$12:$C22&lt;&gt;TRUE())),SUMPRODUCT(--(LEN(TRIM($B$12:$B22))&gt;0),--(P$12:P22=TRUE())))&lt;=MOD(P$46,MAX(1,P$48)),1,0),0)</f>
        <v>0</v>
      </c>
    </row>
    <row r="63" customFormat="false" ht="15" hidden="true" customHeight="false" outlineLevel="0" collapsed="false">
      <c r="A63" s="13" t="s">
        <v>29</v>
      </c>
      <c r="D63" s="14" t="n">
        <f aca="false">IF(AND(D$47,D$48&gt;0,LEN(TRIM($B23))&gt;0,D23=TRUE(),IF(D$50,$C23&lt;&gt;TRUE(),TRUE())),QUOTIENT(D$46,MAX(1,D$48))+IF(IF(D$50,SUMPRODUCT(--(LEN(TRIM($B$12:$B23))&gt;0),--(D$12:D23=TRUE()),--($C$12:$C23&lt;&gt;TRUE())),SUMPRODUCT(--(LEN(TRIM($B$12:$B23))&gt;0),--(D$12:D23=TRUE())))&lt;=MOD(D$46,MAX(1,D$48)),1,0),0)</f>
        <v>0</v>
      </c>
      <c r="F63" s="14" t="n">
        <f aca="false">IF(AND(F$47,F$48&gt;0,LEN(TRIM($B23))&gt;0,F23=TRUE(),IF(F$50,$C23&lt;&gt;TRUE(),TRUE())),QUOTIENT(F$46,MAX(1,F$48))+IF(IF(F$50,SUMPRODUCT(--(LEN(TRIM($B$12:$B23))&gt;0),--(F$12:F23=TRUE()),--($C$12:$C23&lt;&gt;TRUE())),SUMPRODUCT(--(LEN(TRIM($B$12:$B23))&gt;0),--(F$12:F23=TRUE())))&lt;=MOD(F$46,MAX(1,F$48)),1,0),0)</f>
        <v>0</v>
      </c>
      <c r="H63" s="14" t="n">
        <f aca="false">IF(AND(H$47,H$48&gt;0,LEN(TRIM($B23))&gt;0,H23=TRUE(),IF(H$50,$C23&lt;&gt;TRUE(),TRUE())),QUOTIENT(H$46,MAX(1,H$48))+IF(IF(H$50,SUMPRODUCT(--(LEN(TRIM($B$12:$B23))&gt;0),--(H$12:H23=TRUE()),--($C$12:$C23&lt;&gt;TRUE())),SUMPRODUCT(--(LEN(TRIM($B$12:$B23))&gt;0),--(H$12:H23=TRUE())))&lt;=MOD(H$46,MAX(1,H$48)),1,0),0)</f>
        <v>0</v>
      </c>
      <c r="J63" s="14" t="n">
        <f aca="false">IF(AND(J$47,J$48&gt;0,LEN(TRIM($B23))&gt;0,J23=TRUE(),IF(J$50,$C23&lt;&gt;TRUE(),TRUE())),QUOTIENT(J$46,MAX(1,J$48))+IF(IF(J$50,SUMPRODUCT(--(LEN(TRIM($B$12:$B23))&gt;0),--(J$12:J23=TRUE()),--($C$12:$C23&lt;&gt;TRUE())),SUMPRODUCT(--(LEN(TRIM($B$12:$B23))&gt;0),--(J$12:J23=TRUE())))&lt;=MOD(J$46,MAX(1,J$48)),1,0),0)</f>
        <v>0</v>
      </c>
      <c r="L63" s="14" t="n">
        <f aca="false">IF(AND(L$47,L$48&gt;0,LEN(TRIM($B23))&gt;0,L23=TRUE(),IF(L$50,$C23&lt;&gt;TRUE(),TRUE())),QUOTIENT(L$46,MAX(1,L$48))+IF(IF(L$50,SUMPRODUCT(--(LEN(TRIM($B$12:$B23))&gt;0),--(L$12:L23=TRUE()),--($C$12:$C23&lt;&gt;TRUE())),SUMPRODUCT(--(LEN(TRIM($B$12:$B23))&gt;0),--(L$12:L23=TRUE())))&lt;=MOD(L$46,MAX(1,L$48)),1,0),0)</f>
        <v>0</v>
      </c>
      <c r="N63" s="14" t="n">
        <f aca="false">IF(AND(N$47,N$48&gt;0,LEN(TRIM($B23))&gt;0,N23=TRUE(),IF(N$50,$C23&lt;&gt;TRUE(),TRUE())),QUOTIENT(N$46,MAX(1,N$48))+IF(IF(N$50,SUMPRODUCT(--(LEN(TRIM($B$12:$B23))&gt;0),--(N$12:N23=TRUE()),--($C$12:$C23&lt;&gt;TRUE())),SUMPRODUCT(--(LEN(TRIM($B$12:$B23))&gt;0),--(N$12:N23=TRUE())))&lt;=MOD(N$46,MAX(1,N$48)),1,0),0)</f>
        <v>0</v>
      </c>
      <c r="P63" s="14" t="n">
        <f aca="false">IF(AND(P$47,P$48&gt;0,LEN(TRIM($B23))&gt;0,P23=TRUE(),IF(P$50,$C23&lt;&gt;TRUE(),TRUE())),QUOTIENT(P$46,MAX(1,P$48))+IF(IF(P$50,SUMPRODUCT(--(LEN(TRIM($B$12:$B23))&gt;0),--(P$12:P23=TRUE()),--($C$12:$C23&lt;&gt;TRUE())),SUMPRODUCT(--(LEN(TRIM($B$12:$B23))&gt;0),--(P$12:P23=TRUE())))&lt;=MOD(P$46,MAX(1,P$48)),1,0),0)</f>
        <v>0</v>
      </c>
    </row>
    <row r="64" customFormat="false" ht="15" hidden="true" customHeight="false" outlineLevel="0" collapsed="false">
      <c r="A64" s="13" t="s">
        <v>30</v>
      </c>
      <c r="D64" s="14" t="n">
        <f aca="false">IF(AND(D$47,D$48&gt;0,LEN(TRIM($B24))&gt;0,D24=TRUE(),IF(D$50,$C24&lt;&gt;TRUE(),TRUE())),QUOTIENT(D$46,MAX(1,D$48))+IF(IF(D$50,SUMPRODUCT(--(LEN(TRIM($B$12:$B24))&gt;0),--(D$12:D24=TRUE()),--($C$12:$C24&lt;&gt;TRUE())),SUMPRODUCT(--(LEN(TRIM($B$12:$B24))&gt;0),--(D$12:D24=TRUE())))&lt;=MOD(D$46,MAX(1,D$48)),1,0),0)</f>
        <v>0</v>
      </c>
      <c r="F64" s="14" t="n">
        <f aca="false">IF(AND(F$47,F$48&gt;0,LEN(TRIM($B24))&gt;0,F24=TRUE(),IF(F$50,$C24&lt;&gt;TRUE(),TRUE())),QUOTIENT(F$46,MAX(1,F$48))+IF(IF(F$50,SUMPRODUCT(--(LEN(TRIM($B$12:$B24))&gt;0),--(F$12:F24=TRUE()),--($C$12:$C24&lt;&gt;TRUE())),SUMPRODUCT(--(LEN(TRIM($B$12:$B24))&gt;0),--(F$12:F24=TRUE())))&lt;=MOD(F$46,MAX(1,F$48)),1,0),0)</f>
        <v>0</v>
      </c>
      <c r="H64" s="14" t="n">
        <f aca="false">IF(AND(H$47,H$48&gt;0,LEN(TRIM($B24))&gt;0,H24=TRUE(),IF(H$50,$C24&lt;&gt;TRUE(),TRUE())),QUOTIENT(H$46,MAX(1,H$48))+IF(IF(H$50,SUMPRODUCT(--(LEN(TRIM($B$12:$B24))&gt;0),--(H$12:H24=TRUE()),--($C$12:$C24&lt;&gt;TRUE())),SUMPRODUCT(--(LEN(TRIM($B$12:$B24))&gt;0),--(H$12:H24=TRUE())))&lt;=MOD(H$46,MAX(1,H$48)),1,0),0)</f>
        <v>0</v>
      </c>
      <c r="J64" s="14" t="n">
        <f aca="false">IF(AND(J$47,J$48&gt;0,LEN(TRIM($B24))&gt;0,J24=TRUE(),IF(J$50,$C24&lt;&gt;TRUE(),TRUE())),QUOTIENT(J$46,MAX(1,J$48))+IF(IF(J$50,SUMPRODUCT(--(LEN(TRIM($B$12:$B24))&gt;0),--(J$12:J24=TRUE()),--($C$12:$C24&lt;&gt;TRUE())),SUMPRODUCT(--(LEN(TRIM($B$12:$B24))&gt;0),--(J$12:J24=TRUE())))&lt;=MOD(J$46,MAX(1,J$48)),1,0),0)</f>
        <v>0</v>
      </c>
      <c r="L64" s="14" t="n">
        <f aca="false">IF(AND(L$47,L$48&gt;0,LEN(TRIM($B24))&gt;0,L24=TRUE(),IF(L$50,$C24&lt;&gt;TRUE(),TRUE())),QUOTIENT(L$46,MAX(1,L$48))+IF(IF(L$50,SUMPRODUCT(--(LEN(TRIM($B$12:$B24))&gt;0),--(L$12:L24=TRUE()),--($C$12:$C24&lt;&gt;TRUE())),SUMPRODUCT(--(LEN(TRIM($B$12:$B24))&gt;0),--(L$12:L24=TRUE())))&lt;=MOD(L$46,MAX(1,L$48)),1,0),0)</f>
        <v>0</v>
      </c>
      <c r="N64" s="14" t="n">
        <f aca="false">IF(AND(N$47,N$48&gt;0,LEN(TRIM($B24))&gt;0,N24=TRUE(),IF(N$50,$C24&lt;&gt;TRUE(),TRUE())),QUOTIENT(N$46,MAX(1,N$48))+IF(IF(N$50,SUMPRODUCT(--(LEN(TRIM($B$12:$B24))&gt;0),--(N$12:N24=TRUE()),--($C$12:$C24&lt;&gt;TRUE())),SUMPRODUCT(--(LEN(TRIM($B$12:$B24))&gt;0),--(N$12:N24=TRUE())))&lt;=MOD(N$46,MAX(1,N$48)),1,0),0)</f>
        <v>0</v>
      </c>
      <c r="P64" s="14" t="n">
        <f aca="false">IF(AND(P$47,P$48&gt;0,LEN(TRIM($B24))&gt;0,P24=TRUE(),IF(P$50,$C24&lt;&gt;TRUE(),TRUE())),QUOTIENT(P$46,MAX(1,P$48))+IF(IF(P$50,SUMPRODUCT(--(LEN(TRIM($B$12:$B24))&gt;0),--(P$12:P24=TRUE()),--($C$12:$C24&lt;&gt;TRUE())),SUMPRODUCT(--(LEN(TRIM($B$12:$B24))&gt;0),--(P$12:P24=TRUE())))&lt;=MOD(P$46,MAX(1,P$48)),1,0),0)</f>
        <v>0</v>
      </c>
    </row>
    <row r="65" customFormat="false" ht="15" hidden="true" customHeight="false" outlineLevel="0" collapsed="false">
      <c r="A65" s="13" t="s">
        <v>31</v>
      </c>
      <c r="D65" s="14" t="n">
        <f aca="false">IF(AND(D$47,D$48&gt;0,LEN(TRIM($B25))&gt;0,D25=TRUE(),IF(D$50,$C25&lt;&gt;TRUE(),TRUE())),QUOTIENT(D$46,MAX(1,D$48))+IF(IF(D$50,SUMPRODUCT(--(LEN(TRIM($B$12:$B25))&gt;0),--(D$12:D25=TRUE()),--($C$12:$C25&lt;&gt;TRUE())),SUMPRODUCT(--(LEN(TRIM($B$12:$B25))&gt;0),--(D$12:D25=TRUE())))&lt;=MOD(D$46,MAX(1,D$48)),1,0),0)</f>
        <v>0</v>
      </c>
      <c r="F65" s="14" t="n">
        <f aca="false">IF(AND(F$47,F$48&gt;0,LEN(TRIM($B25))&gt;0,F25=TRUE(),IF(F$50,$C25&lt;&gt;TRUE(),TRUE())),QUOTIENT(F$46,MAX(1,F$48))+IF(IF(F$50,SUMPRODUCT(--(LEN(TRIM($B$12:$B25))&gt;0),--(F$12:F25=TRUE()),--($C$12:$C25&lt;&gt;TRUE())),SUMPRODUCT(--(LEN(TRIM($B$12:$B25))&gt;0),--(F$12:F25=TRUE())))&lt;=MOD(F$46,MAX(1,F$48)),1,0),0)</f>
        <v>0</v>
      </c>
      <c r="H65" s="14" t="n">
        <f aca="false">IF(AND(H$47,H$48&gt;0,LEN(TRIM($B25))&gt;0,H25=TRUE(),IF(H$50,$C25&lt;&gt;TRUE(),TRUE())),QUOTIENT(H$46,MAX(1,H$48))+IF(IF(H$50,SUMPRODUCT(--(LEN(TRIM($B$12:$B25))&gt;0),--(H$12:H25=TRUE()),--($C$12:$C25&lt;&gt;TRUE())),SUMPRODUCT(--(LEN(TRIM($B$12:$B25))&gt;0),--(H$12:H25=TRUE())))&lt;=MOD(H$46,MAX(1,H$48)),1,0),0)</f>
        <v>0</v>
      </c>
      <c r="J65" s="14" t="n">
        <f aca="false">IF(AND(J$47,J$48&gt;0,LEN(TRIM($B25))&gt;0,J25=TRUE(),IF(J$50,$C25&lt;&gt;TRUE(),TRUE())),QUOTIENT(J$46,MAX(1,J$48))+IF(IF(J$50,SUMPRODUCT(--(LEN(TRIM($B$12:$B25))&gt;0),--(J$12:J25=TRUE()),--($C$12:$C25&lt;&gt;TRUE())),SUMPRODUCT(--(LEN(TRIM($B$12:$B25))&gt;0),--(J$12:J25=TRUE())))&lt;=MOD(J$46,MAX(1,J$48)),1,0),0)</f>
        <v>0</v>
      </c>
      <c r="L65" s="14" t="n">
        <f aca="false">IF(AND(L$47,L$48&gt;0,LEN(TRIM($B25))&gt;0,L25=TRUE(),IF(L$50,$C25&lt;&gt;TRUE(),TRUE())),QUOTIENT(L$46,MAX(1,L$48))+IF(IF(L$50,SUMPRODUCT(--(LEN(TRIM($B$12:$B25))&gt;0),--(L$12:L25=TRUE()),--($C$12:$C25&lt;&gt;TRUE())),SUMPRODUCT(--(LEN(TRIM($B$12:$B25))&gt;0),--(L$12:L25=TRUE())))&lt;=MOD(L$46,MAX(1,L$48)),1,0),0)</f>
        <v>0</v>
      </c>
      <c r="N65" s="14" t="n">
        <f aca="false">IF(AND(N$47,N$48&gt;0,LEN(TRIM($B25))&gt;0,N25=TRUE(),IF(N$50,$C25&lt;&gt;TRUE(),TRUE())),QUOTIENT(N$46,MAX(1,N$48))+IF(IF(N$50,SUMPRODUCT(--(LEN(TRIM($B$12:$B25))&gt;0),--(N$12:N25=TRUE()),--($C$12:$C25&lt;&gt;TRUE())),SUMPRODUCT(--(LEN(TRIM($B$12:$B25))&gt;0),--(N$12:N25=TRUE())))&lt;=MOD(N$46,MAX(1,N$48)),1,0),0)</f>
        <v>0</v>
      </c>
      <c r="P65" s="14" t="n">
        <f aca="false">IF(AND(P$47,P$48&gt;0,LEN(TRIM($B25))&gt;0,P25=TRUE(),IF(P$50,$C25&lt;&gt;TRUE(),TRUE())),QUOTIENT(P$46,MAX(1,P$48))+IF(IF(P$50,SUMPRODUCT(--(LEN(TRIM($B$12:$B25))&gt;0),--(P$12:P25=TRUE()),--($C$12:$C25&lt;&gt;TRUE())),SUMPRODUCT(--(LEN(TRIM($B$12:$B25))&gt;0),--(P$12:P25=TRUE())))&lt;=MOD(P$46,MAX(1,P$48)),1,0),0)</f>
        <v>0</v>
      </c>
    </row>
    <row r="66" customFormat="false" ht="15" hidden="true" customHeight="false" outlineLevel="0" collapsed="false">
      <c r="A66" s="13" t="s">
        <v>32</v>
      </c>
      <c r="D66" s="14" t="n">
        <f aca="false">IF(AND(D$47,D$48&gt;0,LEN(TRIM($B26))&gt;0,D26=TRUE(),IF(D$50,$C26&lt;&gt;TRUE(),TRUE())),QUOTIENT(D$46,MAX(1,D$48))+IF(IF(D$50,SUMPRODUCT(--(LEN(TRIM($B$12:$B26))&gt;0),--(D$12:D26=TRUE()),--($C$12:$C26&lt;&gt;TRUE())),SUMPRODUCT(--(LEN(TRIM($B$12:$B26))&gt;0),--(D$12:D26=TRUE())))&lt;=MOD(D$46,MAX(1,D$48)),1,0),0)</f>
        <v>0</v>
      </c>
      <c r="F66" s="14" t="n">
        <f aca="false">IF(AND(F$47,F$48&gt;0,LEN(TRIM($B26))&gt;0,F26=TRUE(),IF(F$50,$C26&lt;&gt;TRUE(),TRUE())),QUOTIENT(F$46,MAX(1,F$48))+IF(IF(F$50,SUMPRODUCT(--(LEN(TRIM($B$12:$B26))&gt;0),--(F$12:F26=TRUE()),--($C$12:$C26&lt;&gt;TRUE())),SUMPRODUCT(--(LEN(TRIM($B$12:$B26))&gt;0),--(F$12:F26=TRUE())))&lt;=MOD(F$46,MAX(1,F$48)),1,0),0)</f>
        <v>0</v>
      </c>
      <c r="H66" s="14" t="n">
        <f aca="false">IF(AND(H$47,H$48&gt;0,LEN(TRIM($B26))&gt;0,H26=TRUE(),IF(H$50,$C26&lt;&gt;TRUE(),TRUE())),QUOTIENT(H$46,MAX(1,H$48))+IF(IF(H$50,SUMPRODUCT(--(LEN(TRIM($B$12:$B26))&gt;0),--(H$12:H26=TRUE()),--($C$12:$C26&lt;&gt;TRUE())),SUMPRODUCT(--(LEN(TRIM($B$12:$B26))&gt;0),--(H$12:H26=TRUE())))&lt;=MOD(H$46,MAX(1,H$48)),1,0),0)</f>
        <v>0</v>
      </c>
      <c r="J66" s="14" t="n">
        <f aca="false">IF(AND(J$47,J$48&gt;0,LEN(TRIM($B26))&gt;0,J26=TRUE(),IF(J$50,$C26&lt;&gt;TRUE(),TRUE())),QUOTIENT(J$46,MAX(1,J$48))+IF(IF(J$50,SUMPRODUCT(--(LEN(TRIM($B$12:$B26))&gt;0),--(J$12:J26=TRUE()),--($C$12:$C26&lt;&gt;TRUE())),SUMPRODUCT(--(LEN(TRIM($B$12:$B26))&gt;0),--(J$12:J26=TRUE())))&lt;=MOD(J$46,MAX(1,J$48)),1,0),0)</f>
        <v>0</v>
      </c>
      <c r="L66" s="14" t="n">
        <f aca="false">IF(AND(L$47,L$48&gt;0,LEN(TRIM($B26))&gt;0,L26=TRUE(),IF(L$50,$C26&lt;&gt;TRUE(),TRUE())),QUOTIENT(L$46,MAX(1,L$48))+IF(IF(L$50,SUMPRODUCT(--(LEN(TRIM($B$12:$B26))&gt;0),--(L$12:L26=TRUE()),--($C$12:$C26&lt;&gt;TRUE())),SUMPRODUCT(--(LEN(TRIM($B$12:$B26))&gt;0),--(L$12:L26=TRUE())))&lt;=MOD(L$46,MAX(1,L$48)),1,0),0)</f>
        <v>0</v>
      </c>
      <c r="N66" s="14" t="n">
        <f aca="false">IF(AND(N$47,N$48&gt;0,LEN(TRIM($B26))&gt;0,N26=TRUE(),IF(N$50,$C26&lt;&gt;TRUE(),TRUE())),QUOTIENT(N$46,MAX(1,N$48))+IF(IF(N$50,SUMPRODUCT(--(LEN(TRIM($B$12:$B26))&gt;0),--(N$12:N26=TRUE()),--($C$12:$C26&lt;&gt;TRUE())),SUMPRODUCT(--(LEN(TRIM($B$12:$B26))&gt;0),--(N$12:N26=TRUE())))&lt;=MOD(N$46,MAX(1,N$48)),1,0),0)</f>
        <v>0</v>
      </c>
      <c r="P66" s="14" t="n">
        <f aca="false">IF(AND(P$47,P$48&gt;0,LEN(TRIM($B26))&gt;0,P26=TRUE(),IF(P$50,$C26&lt;&gt;TRUE(),TRUE())),QUOTIENT(P$46,MAX(1,P$48))+IF(IF(P$50,SUMPRODUCT(--(LEN(TRIM($B$12:$B26))&gt;0),--(P$12:P26=TRUE()),--($C$12:$C26&lt;&gt;TRUE())),SUMPRODUCT(--(LEN(TRIM($B$12:$B26))&gt;0),--(P$12:P26=TRUE())))&lt;=MOD(P$46,MAX(1,P$48)),1,0),0)</f>
        <v>0</v>
      </c>
    </row>
    <row r="67" customFormat="false" ht="15" hidden="true" customHeight="false" outlineLevel="0" collapsed="false">
      <c r="A67" s="13" t="s">
        <v>33</v>
      </c>
      <c r="D67" s="14" t="n">
        <f aca="false">IF(AND(D$47,D$48&gt;0,LEN(TRIM($B27))&gt;0,D27=TRUE(),IF(D$50,$C27&lt;&gt;TRUE(),TRUE())),QUOTIENT(D$46,MAX(1,D$48))+IF(IF(D$50,SUMPRODUCT(--(LEN(TRIM($B$12:$B27))&gt;0),--(D$12:D27=TRUE()),--($C$12:$C27&lt;&gt;TRUE())),SUMPRODUCT(--(LEN(TRIM($B$12:$B27))&gt;0),--(D$12:D27=TRUE())))&lt;=MOD(D$46,MAX(1,D$48)),1,0),0)</f>
        <v>0</v>
      </c>
      <c r="F67" s="14" t="n">
        <f aca="false">IF(AND(F$47,F$48&gt;0,LEN(TRIM($B27))&gt;0,F27=TRUE(),IF(F$50,$C27&lt;&gt;TRUE(),TRUE())),QUOTIENT(F$46,MAX(1,F$48))+IF(IF(F$50,SUMPRODUCT(--(LEN(TRIM($B$12:$B27))&gt;0),--(F$12:F27=TRUE()),--($C$12:$C27&lt;&gt;TRUE())),SUMPRODUCT(--(LEN(TRIM($B$12:$B27))&gt;0),--(F$12:F27=TRUE())))&lt;=MOD(F$46,MAX(1,F$48)),1,0),0)</f>
        <v>0</v>
      </c>
      <c r="H67" s="14" t="n">
        <f aca="false">IF(AND(H$47,H$48&gt;0,LEN(TRIM($B27))&gt;0,H27=TRUE(),IF(H$50,$C27&lt;&gt;TRUE(),TRUE())),QUOTIENT(H$46,MAX(1,H$48))+IF(IF(H$50,SUMPRODUCT(--(LEN(TRIM($B$12:$B27))&gt;0),--(H$12:H27=TRUE()),--($C$12:$C27&lt;&gt;TRUE())),SUMPRODUCT(--(LEN(TRIM($B$12:$B27))&gt;0),--(H$12:H27=TRUE())))&lt;=MOD(H$46,MAX(1,H$48)),1,0),0)</f>
        <v>0</v>
      </c>
      <c r="J67" s="14" t="n">
        <f aca="false">IF(AND(J$47,J$48&gt;0,LEN(TRIM($B27))&gt;0,J27=TRUE(),IF(J$50,$C27&lt;&gt;TRUE(),TRUE())),QUOTIENT(J$46,MAX(1,J$48))+IF(IF(J$50,SUMPRODUCT(--(LEN(TRIM($B$12:$B27))&gt;0),--(J$12:J27=TRUE()),--($C$12:$C27&lt;&gt;TRUE())),SUMPRODUCT(--(LEN(TRIM($B$12:$B27))&gt;0),--(J$12:J27=TRUE())))&lt;=MOD(J$46,MAX(1,J$48)),1,0),0)</f>
        <v>0</v>
      </c>
      <c r="L67" s="14" t="n">
        <f aca="false">IF(AND(L$47,L$48&gt;0,LEN(TRIM($B27))&gt;0,L27=TRUE(),IF(L$50,$C27&lt;&gt;TRUE(),TRUE())),QUOTIENT(L$46,MAX(1,L$48))+IF(IF(L$50,SUMPRODUCT(--(LEN(TRIM($B$12:$B27))&gt;0),--(L$12:L27=TRUE()),--($C$12:$C27&lt;&gt;TRUE())),SUMPRODUCT(--(LEN(TRIM($B$12:$B27))&gt;0),--(L$12:L27=TRUE())))&lt;=MOD(L$46,MAX(1,L$48)),1,0),0)</f>
        <v>0</v>
      </c>
      <c r="N67" s="14" t="n">
        <f aca="false">IF(AND(N$47,N$48&gt;0,LEN(TRIM($B27))&gt;0,N27=TRUE(),IF(N$50,$C27&lt;&gt;TRUE(),TRUE())),QUOTIENT(N$46,MAX(1,N$48))+IF(IF(N$50,SUMPRODUCT(--(LEN(TRIM($B$12:$B27))&gt;0),--(N$12:N27=TRUE()),--($C$12:$C27&lt;&gt;TRUE())),SUMPRODUCT(--(LEN(TRIM($B$12:$B27))&gt;0),--(N$12:N27=TRUE())))&lt;=MOD(N$46,MAX(1,N$48)),1,0),0)</f>
        <v>0</v>
      </c>
      <c r="P67" s="14" t="n">
        <f aca="false">IF(AND(P$47,P$48&gt;0,LEN(TRIM($B27))&gt;0,P27=TRUE(),IF(P$50,$C27&lt;&gt;TRUE(),TRUE())),QUOTIENT(P$46,MAX(1,P$48))+IF(IF(P$50,SUMPRODUCT(--(LEN(TRIM($B$12:$B27))&gt;0),--(P$12:P27=TRUE()),--($C$12:$C27&lt;&gt;TRUE())),SUMPRODUCT(--(LEN(TRIM($B$12:$B27))&gt;0),--(P$12:P27=TRUE())))&lt;=MOD(P$46,MAX(1,P$48)),1,0),0)</f>
        <v>0</v>
      </c>
    </row>
    <row r="68" customFormat="false" ht="15" hidden="true" customHeight="false" outlineLevel="0" collapsed="false">
      <c r="A68" s="13" t="s">
        <v>34</v>
      </c>
      <c r="D68" s="14" t="n">
        <f aca="false">IF(AND(D$47,D$48&gt;0,LEN(TRIM($B28))&gt;0,D28=TRUE(),IF(D$50,$C28&lt;&gt;TRUE(),TRUE())),QUOTIENT(D$46,MAX(1,D$48))+IF(IF(D$50,SUMPRODUCT(--(LEN(TRIM($B$12:$B28))&gt;0),--(D$12:D28=TRUE()),--($C$12:$C28&lt;&gt;TRUE())),SUMPRODUCT(--(LEN(TRIM($B$12:$B28))&gt;0),--(D$12:D28=TRUE())))&lt;=MOD(D$46,MAX(1,D$48)),1,0),0)</f>
        <v>0</v>
      </c>
      <c r="F68" s="14" t="n">
        <f aca="false">IF(AND(F$47,F$48&gt;0,LEN(TRIM($B28))&gt;0,F28=TRUE(),IF(F$50,$C28&lt;&gt;TRUE(),TRUE())),QUOTIENT(F$46,MAX(1,F$48))+IF(IF(F$50,SUMPRODUCT(--(LEN(TRIM($B$12:$B28))&gt;0),--(F$12:F28=TRUE()),--($C$12:$C28&lt;&gt;TRUE())),SUMPRODUCT(--(LEN(TRIM($B$12:$B28))&gt;0),--(F$12:F28=TRUE())))&lt;=MOD(F$46,MAX(1,F$48)),1,0),0)</f>
        <v>0</v>
      </c>
      <c r="H68" s="14" t="n">
        <f aca="false">IF(AND(H$47,H$48&gt;0,LEN(TRIM($B28))&gt;0,H28=TRUE(),IF(H$50,$C28&lt;&gt;TRUE(),TRUE())),QUOTIENT(H$46,MAX(1,H$48))+IF(IF(H$50,SUMPRODUCT(--(LEN(TRIM($B$12:$B28))&gt;0),--(H$12:H28=TRUE()),--($C$12:$C28&lt;&gt;TRUE())),SUMPRODUCT(--(LEN(TRIM($B$12:$B28))&gt;0),--(H$12:H28=TRUE())))&lt;=MOD(H$46,MAX(1,H$48)),1,0),0)</f>
        <v>0</v>
      </c>
      <c r="J68" s="14" t="n">
        <f aca="false">IF(AND(J$47,J$48&gt;0,LEN(TRIM($B28))&gt;0,J28=TRUE(),IF(J$50,$C28&lt;&gt;TRUE(),TRUE())),QUOTIENT(J$46,MAX(1,J$48))+IF(IF(J$50,SUMPRODUCT(--(LEN(TRIM($B$12:$B28))&gt;0),--(J$12:J28=TRUE()),--($C$12:$C28&lt;&gt;TRUE())),SUMPRODUCT(--(LEN(TRIM($B$12:$B28))&gt;0),--(J$12:J28=TRUE())))&lt;=MOD(J$46,MAX(1,J$48)),1,0),0)</f>
        <v>0</v>
      </c>
      <c r="L68" s="14" t="n">
        <f aca="false">IF(AND(L$47,L$48&gt;0,LEN(TRIM($B28))&gt;0,L28=TRUE(),IF(L$50,$C28&lt;&gt;TRUE(),TRUE())),QUOTIENT(L$46,MAX(1,L$48))+IF(IF(L$50,SUMPRODUCT(--(LEN(TRIM($B$12:$B28))&gt;0),--(L$12:L28=TRUE()),--($C$12:$C28&lt;&gt;TRUE())),SUMPRODUCT(--(LEN(TRIM($B$12:$B28))&gt;0),--(L$12:L28=TRUE())))&lt;=MOD(L$46,MAX(1,L$48)),1,0),0)</f>
        <v>0</v>
      </c>
      <c r="N68" s="14" t="n">
        <f aca="false">IF(AND(N$47,N$48&gt;0,LEN(TRIM($B28))&gt;0,N28=TRUE(),IF(N$50,$C28&lt;&gt;TRUE(),TRUE())),QUOTIENT(N$46,MAX(1,N$48))+IF(IF(N$50,SUMPRODUCT(--(LEN(TRIM($B$12:$B28))&gt;0),--(N$12:N28=TRUE()),--($C$12:$C28&lt;&gt;TRUE())),SUMPRODUCT(--(LEN(TRIM($B$12:$B28))&gt;0),--(N$12:N28=TRUE())))&lt;=MOD(N$46,MAX(1,N$48)),1,0),0)</f>
        <v>0</v>
      </c>
      <c r="P68" s="14" t="n">
        <f aca="false">IF(AND(P$47,P$48&gt;0,LEN(TRIM($B28))&gt;0,P28=TRUE(),IF(P$50,$C28&lt;&gt;TRUE(),TRUE())),QUOTIENT(P$46,MAX(1,P$48))+IF(IF(P$50,SUMPRODUCT(--(LEN(TRIM($B$12:$B28))&gt;0),--(P$12:P28=TRUE()),--($C$12:$C28&lt;&gt;TRUE())),SUMPRODUCT(--(LEN(TRIM($B$12:$B28))&gt;0),--(P$12:P28=TRUE())))&lt;=MOD(P$46,MAX(1,P$48)),1,0),0)</f>
        <v>0</v>
      </c>
    </row>
    <row r="69" customFormat="false" ht="15" hidden="true" customHeight="false" outlineLevel="0" collapsed="false">
      <c r="A69" s="13" t="s">
        <v>35</v>
      </c>
      <c r="D69" s="14" t="n">
        <f aca="false">IF(AND(D$47,D$48&gt;0,LEN(TRIM($B29))&gt;0,D29=TRUE(),IF(D$50,$C29&lt;&gt;TRUE(),TRUE())),QUOTIENT(D$46,MAX(1,D$48))+IF(IF(D$50,SUMPRODUCT(--(LEN(TRIM($B$12:$B29))&gt;0),--(D$12:D29=TRUE()),--($C$12:$C29&lt;&gt;TRUE())),SUMPRODUCT(--(LEN(TRIM($B$12:$B29))&gt;0),--(D$12:D29=TRUE())))&lt;=MOD(D$46,MAX(1,D$48)),1,0),0)</f>
        <v>0</v>
      </c>
      <c r="F69" s="14" t="n">
        <f aca="false">IF(AND(F$47,F$48&gt;0,LEN(TRIM($B29))&gt;0,F29=TRUE(),IF(F$50,$C29&lt;&gt;TRUE(),TRUE())),QUOTIENT(F$46,MAX(1,F$48))+IF(IF(F$50,SUMPRODUCT(--(LEN(TRIM($B$12:$B29))&gt;0),--(F$12:F29=TRUE()),--($C$12:$C29&lt;&gt;TRUE())),SUMPRODUCT(--(LEN(TRIM($B$12:$B29))&gt;0),--(F$12:F29=TRUE())))&lt;=MOD(F$46,MAX(1,F$48)),1,0),0)</f>
        <v>0</v>
      </c>
      <c r="H69" s="14" t="n">
        <f aca="false">IF(AND(H$47,H$48&gt;0,LEN(TRIM($B29))&gt;0,H29=TRUE(),IF(H$50,$C29&lt;&gt;TRUE(),TRUE())),QUOTIENT(H$46,MAX(1,H$48))+IF(IF(H$50,SUMPRODUCT(--(LEN(TRIM($B$12:$B29))&gt;0),--(H$12:H29=TRUE()),--($C$12:$C29&lt;&gt;TRUE())),SUMPRODUCT(--(LEN(TRIM($B$12:$B29))&gt;0),--(H$12:H29=TRUE())))&lt;=MOD(H$46,MAX(1,H$48)),1,0),0)</f>
        <v>0</v>
      </c>
      <c r="J69" s="14" t="n">
        <f aca="false">IF(AND(J$47,J$48&gt;0,LEN(TRIM($B29))&gt;0,J29=TRUE(),IF(J$50,$C29&lt;&gt;TRUE(),TRUE())),QUOTIENT(J$46,MAX(1,J$48))+IF(IF(J$50,SUMPRODUCT(--(LEN(TRIM($B$12:$B29))&gt;0),--(J$12:J29=TRUE()),--($C$12:$C29&lt;&gt;TRUE())),SUMPRODUCT(--(LEN(TRIM($B$12:$B29))&gt;0),--(J$12:J29=TRUE())))&lt;=MOD(J$46,MAX(1,J$48)),1,0),0)</f>
        <v>0</v>
      </c>
      <c r="L69" s="14" t="n">
        <f aca="false">IF(AND(L$47,L$48&gt;0,LEN(TRIM($B29))&gt;0,L29=TRUE(),IF(L$50,$C29&lt;&gt;TRUE(),TRUE())),QUOTIENT(L$46,MAX(1,L$48))+IF(IF(L$50,SUMPRODUCT(--(LEN(TRIM($B$12:$B29))&gt;0),--(L$12:L29=TRUE()),--($C$12:$C29&lt;&gt;TRUE())),SUMPRODUCT(--(LEN(TRIM($B$12:$B29))&gt;0),--(L$12:L29=TRUE())))&lt;=MOD(L$46,MAX(1,L$48)),1,0),0)</f>
        <v>0</v>
      </c>
      <c r="N69" s="14" t="n">
        <f aca="false">IF(AND(N$47,N$48&gt;0,LEN(TRIM($B29))&gt;0,N29=TRUE(),IF(N$50,$C29&lt;&gt;TRUE(),TRUE())),QUOTIENT(N$46,MAX(1,N$48))+IF(IF(N$50,SUMPRODUCT(--(LEN(TRIM($B$12:$B29))&gt;0),--(N$12:N29=TRUE()),--($C$12:$C29&lt;&gt;TRUE())),SUMPRODUCT(--(LEN(TRIM($B$12:$B29))&gt;0),--(N$12:N29=TRUE())))&lt;=MOD(N$46,MAX(1,N$48)),1,0),0)</f>
        <v>0</v>
      </c>
      <c r="P69" s="14" t="n">
        <f aca="false">IF(AND(P$47,P$48&gt;0,LEN(TRIM($B29))&gt;0,P29=TRUE(),IF(P$50,$C29&lt;&gt;TRUE(),TRUE())),QUOTIENT(P$46,MAX(1,P$48))+IF(IF(P$50,SUMPRODUCT(--(LEN(TRIM($B$12:$B29))&gt;0),--(P$12:P29=TRUE()),--($C$12:$C29&lt;&gt;TRUE())),SUMPRODUCT(--(LEN(TRIM($B$12:$B29))&gt;0),--(P$12:P29=TRUE())))&lt;=MOD(P$46,MAX(1,P$48)),1,0),0)</f>
        <v>0</v>
      </c>
    </row>
    <row r="70" customFormat="false" ht="15" hidden="true" customHeight="false" outlineLevel="0" collapsed="false">
      <c r="A70" s="13" t="s">
        <v>36</v>
      </c>
      <c r="D70" s="14" t="n">
        <f aca="false">IF(AND(D$47,D$48&gt;0,LEN(TRIM($B30))&gt;0,D30=TRUE(),IF(D$50,$C30&lt;&gt;TRUE(),TRUE())),QUOTIENT(D$46,MAX(1,D$48))+IF(IF(D$50,SUMPRODUCT(--(LEN(TRIM($B$12:$B30))&gt;0),--(D$12:D30=TRUE()),--($C$12:$C30&lt;&gt;TRUE())),SUMPRODUCT(--(LEN(TRIM($B$12:$B30))&gt;0),--(D$12:D30=TRUE())))&lt;=MOD(D$46,MAX(1,D$48)),1,0),0)</f>
        <v>0</v>
      </c>
      <c r="F70" s="14" t="n">
        <f aca="false">IF(AND(F$47,F$48&gt;0,LEN(TRIM($B30))&gt;0,F30=TRUE(),IF(F$50,$C30&lt;&gt;TRUE(),TRUE())),QUOTIENT(F$46,MAX(1,F$48))+IF(IF(F$50,SUMPRODUCT(--(LEN(TRIM($B$12:$B30))&gt;0),--(F$12:F30=TRUE()),--($C$12:$C30&lt;&gt;TRUE())),SUMPRODUCT(--(LEN(TRIM($B$12:$B30))&gt;0),--(F$12:F30=TRUE())))&lt;=MOD(F$46,MAX(1,F$48)),1,0),0)</f>
        <v>0</v>
      </c>
      <c r="H70" s="14" t="n">
        <f aca="false">IF(AND(H$47,H$48&gt;0,LEN(TRIM($B30))&gt;0,H30=TRUE(),IF(H$50,$C30&lt;&gt;TRUE(),TRUE())),QUOTIENT(H$46,MAX(1,H$48))+IF(IF(H$50,SUMPRODUCT(--(LEN(TRIM($B$12:$B30))&gt;0),--(H$12:H30=TRUE()),--($C$12:$C30&lt;&gt;TRUE())),SUMPRODUCT(--(LEN(TRIM($B$12:$B30))&gt;0),--(H$12:H30=TRUE())))&lt;=MOD(H$46,MAX(1,H$48)),1,0),0)</f>
        <v>0</v>
      </c>
      <c r="J70" s="14" t="n">
        <f aca="false">IF(AND(J$47,J$48&gt;0,LEN(TRIM($B30))&gt;0,J30=TRUE(),IF(J$50,$C30&lt;&gt;TRUE(),TRUE())),QUOTIENT(J$46,MAX(1,J$48))+IF(IF(J$50,SUMPRODUCT(--(LEN(TRIM($B$12:$B30))&gt;0),--(J$12:J30=TRUE()),--($C$12:$C30&lt;&gt;TRUE())),SUMPRODUCT(--(LEN(TRIM($B$12:$B30))&gt;0),--(J$12:J30=TRUE())))&lt;=MOD(J$46,MAX(1,J$48)),1,0),0)</f>
        <v>0</v>
      </c>
      <c r="L70" s="14" t="n">
        <f aca="false">IF(AND(L$47,L$48&gt;0,LEN(TRIM($B30))&gt;0,L30=TRUE(),IF(L$50,$C30&lt;&gt;TRUE(),TRUE())),QUOTIENT(L$46,MAX(1,L$48))+IF(IF(L$50,SUMPRODUCT(--(LEN(TRIM($B$12:$B30))&gt;0),--(L$12:L30=TRUE()),--($C$12:$C30&lt;&gt;TRUE())),SUMPRODUCT(--(LEN(TRIM($B$12:$B30))&gt;0),--(L$12:L30=TRUE())))&lt;=MOD(L$46,MAX(1,L$48)),1,0),0)</f>
        <v>0</v>
      </c>
      <c r="N70" s="14" t="n">
        <f aca="false">IF(AND(N$47,N$48&gt;0,LEN(TRIM($B30))&gt;0,N30=TRUE(),IF(N$50,$C30&lt;&gt;TRUE(),TRUE())),QUOTIENT(N$46,MAX(1,N$48))+IF(IF(N$50,SUMPRODUCT(--(LEN(TRIM($B$12:$B30))&gt;0),--(N$12:N30=TRUE()),--($C$12:$C30&lt;&gt;TRUE())),SUMPRODUCT(--(LEN(TRIM($B$12:$B30))&gt;0),--(N$12:N30=TRUE())))&lt;=MOD(N$46,MAX(1,N$48)),1,0),0)</f>
        <v>0</v>
      </c>
      <c r="P70" s="14" t="n">
        <f aca="false">IF(AND(P$47,P$48&gt;0,LEN(TRIM($B30))&gt;0,P30=TRUE(),IF(P$50,$C30&lt;&gt;TRUE(),TRUE())),QUOTIENT(P$46,MAX(1,P$48))+IF(IF(P$50,SUMPRODUCT(--(LEN(TRIM($B$12:$B30))&gt;0),--(P$12:P30=TRUE()),--($C$12:$C30&lt;&gt;TRUE())),SUMPRODUCT(--(LEN(TRIM($B$12:$B30))&gt;0),--(P$12:P30=TRUE())))&lt;=MOD(P$46,MAX(1,P$48)),1,0),0)</f>
        <v>0</v>
      </c>
    </row>
    <row r="71" customFormat="false" ht="15" hidden="true" customHeight="false" outlineLevel="0" collapsed="false">
      <c r="A71" s="13" t="s">
        <v>37</v>
      </c>
      <c r="D71" s="14" t="n">
        <f aca="false">IF(AND(D$47,D$48&gt;0,LEN(TRIM($B31))&gt;0,D31=TRUE(),IF(D$50,$C31&lt;&gt;TRUE(),TRUE())),QUOTIENT(D$46,MAX(1,D$48))+IF(IF(D$50,SUMPRODUCT(--(LEN(TRIM($B$12:$B31))&gt;0),--(D$12:D31=TRUE()),--($C$12:$C31&lt;&gt;TRUE())),SUMPRODUCT(--(LEN(TRIM($B$12:$B31))&gt;0),--(D$12:D31=TRUE())))&lt;=MOD(D$46,MAX(1,D$48)),1,0),0)</f>
        <v>0</v>
      </c>
      <c r="F71" s="14" t="n">
        <f aca="false">IF(AND(F$47,F$48&gt;0,LEN(TRIM($B31))&gt;0,F31=TRUE(),IF(F$50,$C31&lt;&gt;TRUE(),TRUE())),QUOTIENT(F$46,MAX(1,F$48))+IF(IF(F$50,SUMPRODUCT(--(LEN(TRIM($B$12:$B31))&gt;0),--(F$12:F31=TRUE()),--($C$12:$C31&lt;&gt;TRUE())),SUMPRODUCT(--(LEN(TRIM($B$12:$B31))&gt;0),--(F$12:F31=TRUE())))&lt;=MOD(F$46,MAX(1,F$48)),1,0),0)</f>
        <v>0</v>
      </c>
      <c r="H71" s="14" t="n">
        <f aca="false">IF(AND(H$47,H$48&gt;0,LEN(TRIM($B31))&gt;0,H31=TRUE(),IF(H$50,$C31&lt;&gt;TRUE(),TRUE())),QUOTIENT(H$46,MAX(1,H$48))+IF(IF(H$50,SUMPRODUCT(--(LEN(TRIM($B$12:$B31))&gt;0),--(H$12:H31=TRUE()),--($C$12:$C31&lt;&gt;TRUE())),SUMPRODUCT(--(LEN(TRIM($B$12:$B31))&gt;0),--(H$12:H31=TRUE())))&lt;=MOD(H$46,MAX(1,H$48)),1,0),0)</f>
        <v>0</v>
      </c>
      <c r="J71" s="14" t="n">
        <f aca="false">IF(AND(J$47,J$48&gt;0,LEN(TRIM($B31))&gt;0,J31=TRUE(),IF(J$50,$C31&lt;&gt;TRUE(),TRUE())),QUOTIENT(J$46,MAX(1,J$48))+IF(IF(J$50,SUMPRODUCT(--(LEN(TRIM($B$12:$B31))&gt;0),--(J$12:J31=TRUE()),--($C$12:$C31&lt;&gt;TRUE())),SUMPRODUCT(--(LEN(TRIM($B$12:$B31))&gt;0),--(J$12:J31=TRUE())))&lt;=MOD(J$46,MAX(1,J$48)),1,0),0)</f>
        <v>0</v>
      </c>
      <c r="L71" s="14" t="n">
        <f aca="false">IF(AND(L$47,L$48&gt;0,LEN(TRIM($B31))&gt;0,L31=TRUE(),IF(L$50,$C31&lt;&gt;TRUE(),TRUE())),QUOTIENT(L$46,MAX(1,L$48))+IF(IF(L$50,SUMPRODUCT(--(LEN(TRIM($B$12:$B31))&gt;0),--(L$12:L31=TRUE()),--($C$12:$C31&lt;&gt;TRUE())),SUMPRODUCT(--(LEN(TRIM($B$12:$B31))&gt;0),--(L$12:L31=TRUE())))&lt;=MOD(L$46,MAX(1,L$48)),1,0),0)</f>
        <v>0</v>
      </c>
      <c r="N71" s="14" t="n">
        <f aca="false">IF(AND(N$47,N$48&gt;0,LEN(TRIM($B31))&gt;0,N31=TRUE(),IF(N$50,$C31&lt;&gt;TRUE(),TRUE())),QUOTIENT(N$46,MAX(1,N$48))+IF(IF(N$50,SUMPRODUCT(--(LEN(TRIM($B$12:$B31))&gt;0),--(N$12:N31=TRUE()),--($C$12:$C31&lt;&gt;TRUE())),SUMPRODUCT(--(LEN(TRIM($B$12:$B31))&gt;0),--(N$12:N31=TRUE())))&lt;=MOD(N$46,MAX(1,N$48)),1,0),0)</f>
        <v>0</v>
      </c>
      <c r="P71" s="14" t="n">
        <f aca="false">IF(AND(P$47,P$48&gt;0,LEN(TRIM($B31))&gt;0,P31=TRUE(),IF(P$50,$C31&lt;&gt;TRUE(),TRUE())),QUOTIENT(P$46,MAX(1,P$48))+IF(IF(P$50,SUMPRODUCT(--(LEN(TRIM($B$12:$B31))&gt;0),--(P$12:P31=TRUE()),--($C$12:$C31&lt;&gt;TRUE())),SUMPRODUCT(--(LEN(TRIM($B$12:$B31))&gt;0),--(P$12:P31=TRUE())))&lt;=MOD(P$46,MAX(1,P$48)),1,0),0)</f>
        <v>0</v>
      </c>
    </row>
    <row r="72" customFormat="false" ht="15" hidden="true" customHeight="false" outlineLevel="0" collapsed="false">
      <c r="A72" s="13" t="s">
        <v>38</v>
      </c>
      <c r="D72" s="14" t="n">
        <f aca="false">IF(AND(D$47,D$48&gt;0,LEN(TRIM($B32))&gt;0,D32=TRUE(),IF(D$50,$C32&lt;&gt;TRUE(),TRUE())),QUOTIENT(D$46,MAX(1,D$48))+IF(IF(D$50,SUMPRODUCT(--(LEN(TRIM($B$12:$B32))&gt;0),--(D$12:D32=TRUE()),--($C$12:$C32&lt;&gt;TRUE())),SUMPRODUCT(--(LEN(TRIM($B$12:$B32))&gt;0),--(D$12:D32=TRUE())))&lt;=MOD(D$46,MAX(1,D$48)),1,0),0)</f>
        <v>0</v>
      </c>
      <c r="F72" s="14" t="n">
        <f aca="false">IF(AND(F$47,F$48&gt;0,LEN(TRIM($B32))&gt;0,F32=TRUE(),IF(F$50,$C32&lt;&gt;TRUE(),TRUE())),QUOTIENT(F$46,MAX(1,F$48))+IF(IF(F$50,SUMPRODUCT(--(LEN(TRIM($B$12:$B32))&gt;0),--(F$12:F32=TRUE()),--($C$12:$C32&lt;&gt;TRUE())),SUMPRODUCT(--(LEN(TRIM($B$12:$B32))&gt;0),--(F$12:F32=TRUE())))&lt;=MOD(F$46,MAX(1,F$48)),1,0),0)</f>
        <v>0</v>
      </c>
      <c r="H72" s="14" t="n">
        <f aca="false">IF(AND(H$47,H$48&gt;0,LEN(TRIM($B32))&gt;0,H32=TRUE(),IF(H$50,$C32&lt;&gt;TRUE(),TRUE())),QUOTIENT(H$46,MAX(1,H$48))+IF(IF(H$50,SUMPRODUCT(--(LEN(TRIM($B$12:$B32))&gt;0),--(H$12:H32=TRUE()),--($C$12:$C32&lt;&gt;TRUE())),SUMPRODUCT(--(LEN(TRIM($B$12:$B32))&gt;0),--(H$12:H32=TRUE())))&lt;=MOD(H$46,MAX(1,H$48)),1,0),0)</f>
        <v>0</v>
      </c>
      <c r="J72" s="14" t="n">
        <f aca="false">IF(AND(J$47,J$48&gt;0,LEN(TRIM($B32))&gt;0,J32=TRUE(),IF(J$50,$C32&lt;&gt;TRUE(),TRUE())),QUOTIENT(J$46,MAX(1,J$48))+IF(IF(J$50,SUMPRODUCT(--(LEN(TRIM($B$12:$B32))&gt;0),--(J$12:J32=TRUE()),--($C$12:$C32&lt;&gt;TRUE())),SUMPRODUCT(--(LEN(TRIM($B$12:$B32))&gt;0),--(J$12:J32=TRUE())))&lt;=MOD(J$46,MAX(1,J$48)),1,0),0)</f>
        <v>0</v>
      </c>
      <c r="L72" s="14" t="n">
        <f aca="false">IF(AND(L$47,L$48&gt;0,LEN(TRIM($B32))&gt;0,L32=TRUE(),IF(L$50,$C32&lt;&gt;TRUE(),TRUE())),QUOTIENT(L$46,MAX(1,L$48))+IF(IF(L$50,SUMPRODUCT(--(LEN(TRIM($B$12:$B32))&gt;0),--(L$12:L32=TRUE()),--($C$12:$C32&lt;&gt;TRUE())),SUMPRODUCT(--(LEN(TRIM($B$12:$B32))&gt;0),--(L$12:L32=TRUE())))&lt;=MOD(L$46,MAX(1,L$48)),1,0),0)</f>
        <v>0</v>
      </c>
      <c r="N72" s="14" t="n">
        <f aca="false">IF(AND(N$47,N$48&gt;0,LEN(TRIM($B32))&gt;0,N32=TRUE(),IF(N$50,$C32&lt;&gt;TRUE(),TRUE())),QUOTIENT(N$46,MAX(1,N$48))+IF(IF(N$50,SUMPRODUCT(--(LEN(TRIM($B$12:$B32))&gt;0),--(N$12:N32=TRUE()),--($C$12:$C32&lt;&gt;TRUE())),SUMPRODUCT(--(LEN(TRIM($B$12:$B32))&gt;0),--(N$12:N32=TRUE())))&lt;=MOD(N$46,MAX(1,N$48)),1,0),0)</f>
        <v>0</v>
      </c>
      <c r="P72" s="14" t="n">
        <f aca="false">IF(AND(P$47,P$48&gt;0,LEN(TRIM($B32))&gt;0,P32=TRUE(),IF(P$50,$C32&lt;&gt;TRUE(),TRUE())),QUOTIENT(P$46,MAX(1,P$48))+IF(IF(P$50,SUMPRODUCT(--(LEN(TRIM($B$12:$B32))&gt;0),--(P$12:P32=TRUE()),--($C$12:$C32&lt;&gt;TRUE())),SUMPRODUCT(--(LEN(TRIM($B$12:$B32))&gt;0),--(P$12:P32=TRUE())))&lt;=MOD(P$46,MAX(1,P$48)),1,0),0)</f>
        <v>0</v>
      </c>
    </row>
    <row r="73" customFormat="false" ht="15" hidden="true" customHeight="false" outlineLevel="0" collapsed="false">
      <c r="A73" s="13" t="s">
        <v>39</v>
      </c>
      <c r="D73" s="14" t="n">
        <f aca="false">IF(AND(D$47,D$48&gt;0,LEN(TRIM($B33))&gt;0,D33=TRUE(),IF(D$50,$C33&lt;&gt;TRUE(),TRUE())),QUOTIENT(D$46,MAX(1,D$48))+IF(IF(D$50,SUMPRODUCT(--(LEN(TRIM($B$12:$B33))&gt;0),--(D$12:D33=TRUE()),--($C$12:$C33&lt;&gt;TRUE())),SUMPRODUCT(--(LEN(TRIM($B$12:$B33))&gt;0),--(D$12:D33=TRUE())))&lt;=MOD(D$46,MAX(1,D$48)),1,0),0)</f>
        <v>0</v>
      </c>
      <c r="F73" s="14" t="n">
        <f aca="false">IF(AND(F$47,F$48&gt;0,LEN(TRIM($B33))&gt;0,F33=TRUE(),IF(F$50,$C33&lt;&gt;TRUE(),TRUE())),QUOTIENT(F$46,MAX(1,F$48))+IF(IF(F$50,SUMPRODUCT(--(LEN(TRIM($B$12:$B33))&gt;0),--(F$12:F33=TRUE()),--($C$12:$C33&lt;&gt;TRUE())),SUMPRODUCT(--(LEN(TRIM($B$12:$B33))&gt;0),--(F$12:F33=TRUE())))&lt;=MOD(F$46,MAX(1,F$48)),1,0),0)</f>
        <v>0</v>
      </c>
      <c r="H73" s="14" t="n">
        <f aca="false">IF(AND(H$47,H$48&gt;0,LEN(TRIM($B33))&gt;0,H33=TRUE(),IF(H$50,$C33&lt;&gt;TRUE(),TRUE())),QUOTIENT(H$46,MAX(1,H$48))+IF(IF(H$50,SUMPRODUCT(--(LEN(TRIM($B$12:$B33))&gt;0),--(H$12:H33=TRUE()),--($C$12:$C33&lt;&gt;TRUE())),SUMPRODUCT(--(LEN(TRIM($B$12:$B33))&gt;0),--(H$12:H33=TRUE())))&lt;=MOD(H$46,MAX(1,H$48)),1,0),0)</f>
        <v>0</v>
      </c>
      <c r="J73" s="14" t="n">
        <f aca="false">IF(AND(J$47,J$48&gt;0,LEN(TRIM($B33))&gt;0,J33=TRUE(),IF(J$50,$C33&lt;&gt;TRUE(),TRUE())),QUOTIENT(J$46,MAX(1,J$48))+IF(IF(J$50,SUMPRODUCT(--(LEN(TRIM($B$12:$B33))&gt;0),--(J$12:J33=TRUE()),--($C$12:$C33&lt;&gt;TRUE())),SUMPRODUCT(--(LEN(TRIM($B$12:$B33))&gt;0),--(J$12:J33=TRUE())))&lt;=MOD(J$46,MAX(1,J$48)),1,0),0)</f>
        <v>0</v>
      </c>
      <c r="L73" s="14" t="n">
        <f aca="false">IF(AND(L$47,L$48&gt;0,LEN(TRIM($B33))&gt;0,L33=TRUE(),IF(L$50,$C33&lt;&gt;TRUE(),TRUE())),QUOTIENT(L$46,MAX(1,L$48))+IF(IF(L$50,SUMPRODUCT(--(LEN(TRIM($B$12:$B33))&gt;0),--(L$12:L33=TRUE()),--($C$12:$C33&lt;&gt;TRUE())),SUMPRODUCT(--(LEN(TRIM($B$12:$B33))&gt;0),--(L$12:L33=TRUE())))&lt;=MOD(L$46,MAX(1,L$48)),1,0),0)</f>
        <v>0</v>
      </c>
      <c r="N73" s="14" t="n">
        <f aca="false">IF(AND(N$47,N$48&gt;0,LEN(TRIM($B33))&gt;0,N33=TRUE(),IF(N$50,$C33&lt;&gt;TRUE(),TRUE())),QUOTIENT(N$46,MAX(1,N$48))+IF(IF(N$50,SUMPRODUCT(--(LEN(TRIM($B$12:$B33))&gt;0),--(N$12:N33=TRUE()),--($C$12:$C33&lt;&gt;TRUE())),SUMPRODUCT(--(LEN(TRIM($B$12:$B33))&gt;0),--(N$12:N33=TRUE())))&lt;=MOD(N$46,MAX(1,N$48)),1,0),0)</f>
        <v>0</v>
      </c>
      <c r="P73" s="14" t="n">
        <f aca="false">IF(AND(P$47,P$48&gt;0,LEN(TRIM($B33))&gt;0,P33=TRUE(),IF(P$50,$C33&lt;&gt;TRUE(),TRUE())),QUOTIENT(P$46,MAX(1,P$48))+IF(IF(P$50,SUMPRODUCT(--(LEN(TRIM($B$12:$B33))&gt;0),--(P$12:P33=TRUE()),--($C$12:$C33&lt;&gt;TRUE())),SUMPRODUCT(--(LEN(TRIM($B$12:$B33))&gt;0),--(P$12:P33=TRUE())))&lt;=MOD(P$46,MAX(1,P$48)),1,0),0)</f>
        <v>0</v>
      </c>
    </row>
    <row r="74" customFormat="false" ht="15" hidden="true" customHeight="false" outlineLevel="0" collapsed="false">
      <c r="A74" s="13" t="s">
        <v>40</v>
      </c>
      <c r="D74" s="14" t="n">
        <f aca="false">IF(AND(D$47,D$48&gt;0,LEN(TRIM($B34))&gt;0,D34=TRUE(),IF(D$50,$C34&lt;&gt;TRUE(),TRUE())),QUOTIENT(D$46,MAX(1,D$48))+IF(IF(D$50,SUMPRODUCT(--(LEN(TRIM($B$12:$B34))&gt;0),--(D$12:D34=TRUE()),--($C$12:$C34&lt;&gt;TRUE())),SUMPRODUCT(--(LEN(TRIM($B$12:$B34))&gt;0),--(D$12:D34=TRUE())))&lt;=MOD(D$46,MAX(1,D$48)),1,0),0)</f>
        <v>0</v>
      </c>
      <c r="F74" s="14" t="n">
        <f aca="false">IF(AND(F$47,F$48&gt;0,LEN(TRIM($B34))&gt;0,F34=TRUE(),IF(F$50,$C34&lt;&gt;TRUE(),TRUE())),QUOTIENT(F$46,MAX(1,F$48))+IF(IF(F$50,SUMPRODUCT(--(LEN(TRIM($B$12:$B34))&gt;0),--(F$12:F34=TRUE()),--($C$12:$C34&lt;&gt;TRUE())),SUMPRODUCT(--(LEN(TRIM($B$12:$B34))&gt;0),--(F$12:F34=TRUE())))&lt;=MOD(F$46,MAX(1,F$48)),1,0),0)</f>
        <v>0</v>
      </c>
      <c r="H74" s="14" t="n">
        <f aca="false">IF(AND(H$47,H$48&gt;0,LEN(TRIM($B34))&gt;0,H34=TRUE(),IF(H$50,$C34&lt;&gt;TRUE(),TRUE())),QUOTIENT(H$46,MAX(1,H$48))+IF(IF(H$50,SUMPRODUCT(--(LEN(TRIM($B$12:$B34))&gt;0),--(H$12:H34=TRUE()),--($C$12:$C34&lt;&gt;TRUE())),SUMPRODUCT(--(LEN(TRIM($B$12:$B34))&gt;0),--(H$12:H34=TRUE())))&lt;=MOD(H$46,MAX(1,H$48)),1,0),0)</f>
        <v>0</v>
      </c>
      <c r="J74" s="14" t="n">
        <f aca="false">IF(AND(J$47,J$48&gt;0,LEN(TRIM($B34))&gt;0,J34=TRUE(),IF(J$50,$C34&lt;&gt;TRUE(),TRUE())),QUOTIENT(J$46,MAX(1,J$48))+IF(IF(J$50,SUMPRODUCT(--(LEN(TRIM($B$12:$B34))&gt;0),--(J$12:J34=TRUE()),--($C$12:$C34&lt;&gt;TRUE())),SUMPRODUCT(--(LEN(TRIM($B$12:$B34))&gt;0),--(J$12:J34=TRUE())))&lt;=MOD(J$46,MAX(1,J$48)),1,0),0)</f>
        <v>0</v>
      </c>
      <c r="L74" s="14" t="n">
        <f aca="false">IF(AND(L$47,L$48&gt;0,LEN(TRIM($B34))&gt;0,L34=TRUE(),IF(L$50,$C34&lt;&gt;TRUE(),TRUE())),QUOTIENT(L$46,MAX(1,L$48))+IF(IF(L$50,SUMPRODUCT(--(LEN(TRIM($B$12:$B34))&gt;0),--(L$12:L34=TRUE()),--($C$12:$C34&lt;&gt;TRUE())),SUMPRODUCT(--(LEN(TRIM($B$12:$B34))&gt;0),--(L$12:L34=TRUE())))&lt;=MOD(L$46,MAX(1,L$48)),1,0),0)</f>
        <v>0</v>
      </c>
      <c r="N74" s="14" t="n">
        <f aca="false">IF(AND(N$47,N$48&gt;0,LEN(TRIM($B34))&gt;0,N34=TRUE(),IF(N$50,$C34&lt;&gt;TRUE(),TRUE())),QUOTIENT(N$46,MAX(1,N$48))+IF(IF(N$50,SUMPRODUCT(--(LEN(TRIM($B$12:$B34))&gt;0),--(N$12:N34=TRUE()),--($C$12:$C34&lt;&gt;TRUE())),SUMPRODUCT(--(LEN(TRIM($B$12:$B34))&gt;0),--(N$12:N34=TRUE())))&lt;=MOD(N$46,MAX(1,N$48)),1,0),0)</f>
        <v>0</v>
      </c>
      <c r="P74" s="14" t="n">
        <f aca="false">IF(AND(P$47,P$48&gt;0,LEN(TRIM($B34))&gt;0,P34=TRUE(),IF(P$50,$C34&lt;&gt;TRUE(),TRUE())),QUOTIENT(P$46,MAX(1,P$48))+IF(IF(P$50,SUMPRODUCT(--(LEN(TRIM($B$12:$B34))&gt;0),--(P$12:P34=TRUE()),--($C$12:$C34&lt;&gt;TRUE())),SUMPRODUCT(--(LEN(TRIM($B$12:$B34))&gt;0),--(P$12:P34=TRUE())))&lt;=MOD(P$46,MAX(1,P$48)),1,0),0)</f>
        <v>0</v>
      </c>
    </row>
    <row r="75" customFormat="false" ht="15" hidden="true" customHeight="false" outlineLevel="0" collapsed="false">
      <c r="A75" s="13" t="s">
        <v>41</v>
      </c>
      <c r="D75" s="14" t="n">
        <f aca="false">IF(AND(D$47,D$48&gt;0,LEN(TRIM($B35))&gt;0,D35=TRUE(),IF(D$50,$C35&lt;&gt;TRUE(),TRUE())),QUOTIENT(D$46,MAX(1,D$48))+IF(IF(D$50,SUMPRODUCT(--(LEN(TRIM($B$12:$B35))&gt;0),--(D$12:D35=TRUE()),--($C$12:$C35&lt;&gt;TRUE())),SUMPRODUCT(--(LEN(TRIM($B$12:$B35))&gt;0),--(D$12:D35=TRUE())))&lt;=MOD(D$46,MAX(1,D$48)),1,0),0)</f>
        <v>0</v>
      </c>
      <c r="F75" s="14" t="n">
        <f aca="false">IF(AND(F$47,F$48&gt;0,LEN(TRIM($B35))&gt;0,F35=TRUE(),IF(F$50,$C35&lt;&gt;TRUE(),TRUE())),QUOTIENT(F$46,MAX(1,F$48))+IF(IF(F$50,SUMPRODUCT(--(LEN(TRIM($B$12:$B35))&gt;0),--(F$12:F35=TRUE()),--($C$12:$C35&lt;&gt;TRUE())),SUMPRODUCT(--(LEN(TRIM($B$12:$B35))&gt;0),--(F$12:F35=TRUE())))&lt;=MOD(F$46,MAX(1,F$48)),1,0),0)</f>
        <v>0</v>
      </c>
      <c r="H75" s="14" t="n">
        <f aca="false">IF(AND(H$47,H$48&gt;0,LEN(TRIM($B35))&gt;0,H35=TRUE(),IF(H$50,$C35&lt;&gt;TRUE(),TRUE())),QUOTIENT(H$46,MAX(1,H$48))+IF(IF(H$50,SUMPRODUCT(--(LEN(TRIM($B$12:$B35))&gt;0),--(H$12:H35=TRUE()),--($C$12:$C35&lt;&gt;TRUE())),SUMPRODUCT(--(LEN(TRIM($B$12:$B35))&gt;0),--(H$12:H35=TRUE())))&lt;=MOD(H$46,MAX(1,H$48)),1,0),0)</f>
        <v>0</v>
      </c>
      <c r="J75" s="14" t="n">
        <f aca="false">IF(AND(J$47,J$48&gt;0,LEN(TRIM($B35))&gt;0,J35=TRUE(),IF(J$50,$C35&lt;&gt;TRUE(),TRUE())),QUOTIENT(J$46,MAX(1,J$48))+IF(IF(J$50,SUMPRODUCT(--(LEN(TRIM($B$12:$B35))&gt;0),--(J$12:J35=TRUE()),--($C$12:$C35&lt;&gt;TRUE())),SUMPRODUCT(--(LEN(TRIM($B$12:$B35))&gt;0),--(J$12:J35=TRUE())))&lt;=MOD(J$46,MAX(1,J$48)),1,0),0)</f>
        <v>0</v>
      </c>
      <c r="L75" s="14" t="n">
        <f aca="false">IF(AND(L$47,L$48&gt;0,LEN(TRIM($B35))&gt;0,L35=TRUE(),IF(L$50,$C35&lt;&gt;TRUE(),TRUE())),QUOTIENT(L$46,MAX(1,L$48))+IF(IF(L$50,SUMPRODUCT(--(LEN(TRIM($B$12:$B35))&gt;0),--(L$12:L35=TRUE()),--($C$12:$C35&lt;&gt;TRUE())),SUMPRODUCT(--(LEN(TRIM($B$12:$B35))&gt;0),--(L$12:L35=TRUE())))&lt;=MOD(L$46,MAX(1,L$48)),1,0),0)</f>
        <v>0</v>
      </c>
      <c r="N75" s="14" t="n">
        <f aca="false">IF(AND(N$47,N$48&gt;0,LEN(TRIM($B35))&gt;0,N35=TRUE(),IF(N$50,$C35&lt;&gt;TRUE(),TRUE())),QUOTIENT(N$46,MAX(1,N$48))+IF(IF(N$50,SUMPRODUCT(--(LEN(TRIM($B$12:$B35))&gt;0),--(N$12:N35=TRUE()),--($C$12:$C35&lt;&gt;TRUE())),SUMPRODUCT(--(LEN(TRIM($B$12:$B35))&gt;0),--(N$12:N35=TRUE())))&lt;=MOD(N$46,MAX(1,N$48)),1,0),0)</f>
        <v>0</v>
      </c>
      <c r="P75" s="14" t="n">
        <f aca="false">IF(AND(P$47,P$48&gt;0,LEN(TRIM($B35))&gt;0,P35=TRUE(),IF(P$50,$C35&lt;&gt;TRUE(),TRUE())),QUOTIENT(P$46,MAX(1,P$48))+IF(IF(P$50,SUMPRODUCT(--(LEN(TRIM($B$12:$B35))&gt;0),--(P$12:P35=TRUE()),--($C$12:$C35&lt;&gt;TRUE())),SUMPRODUCT(--(LEN(TRIM($B$12:$B35))&gt;0),--(P$12:P35=TRUE())))&lt;=MOD(P$46,MAX(1,P$48)),1,0),0)</f>
        <v>0</v>
      </c>
    </row>
    <row r="76" customFormat="false" ht="15" hidden="true" customHeight="false" outlineLevel="0" collapsed="false">
      <c r="A76" s="13" t="s">
        <v>42</v>
      </c>
      <c r="D76" s="14" t="n">
        <f aca="false">IF(AND(D$47,D$48&gt;0,LEN(TRIM($B36))&gt;0,D36=TRUE(),IF(D$50,$C36&lt;&gt;TRUE(),TRUE())),QUOTIENT(D$46,MAX(1,D$48))+IF(IF(D$50,SUMPRODUCT(--(LEN(TRIM($B$12:$B36))&gt;0),--(D$12:D36=TRUE()),--($C$12:$C36&lt;&gt;TRUE())),SUMPRODUCT(--(LEN(TRIM($B$12:$B36))&gt;0),--(D$12:D36=TRUE())))&lt;=MOD(D$46,MAX(1,D$48)),1,0),0)</f>
        <v>0</v>
      </c>
      <c r="F76" s="14" t="n">
        <f aca="false">IF(AND(F$47,F$48&gt;0,LEN(TRIM($B36))&gt;0,F36=TRUE(),IF(F$50,$C36&lt;&gt;TRUE(),TRUE())),QUOTIENT(F$46,MAX(1,F$48))+IF(IF(F$50,SUMPRODUCT(--(LEN(TRIM($B$12:$B36))&gt;0),--(F$12:F36=TRUE()),--($C$12:$C36&lt;&gt;TRUE())),SUMPRODUCT(--(LEN(TRIM($B$12:$B36))&gt;0),--(F$12:F36=TRUE())))&lt;=MOD(F$46,MAX(1,F$48)),1,0),0)</f>
        <v>0</v>
      </c>
      <c r="H76" s="14" t="n">
        <f aca="false">IF(AND(H$47,H$48&gt;0,LEN(TRIM($B36))&gt;0,H36=TRUE(),IF(H$50,$C36&lt;&gt;TRUE(),TRUE())),QUOTIENT(H$46,MAX(1,H$48))+IF(IF(H$50,SUMPRODUCT(--(LEN(TRIM($B$12:$B36))&gt;0),--(H$12:H36=TRUE()),--($C$12:$C36&lt;&gt;TRUE())),SUMPRODUCT(--(LEN(TRIM($B$12:$B36))&gt;0),--(H$12:H36=TRUE())))&lt;=MOD(H$46,MAX(1,H$48)),1,0),0)</f>
        <v>0</v>
      </c>
      <c r="J76" s="14" t="n">
        <f aca="false">IF(AND(J$47,J$48&gt;0,LEN(TRIM($B36))&gt;0,J36=TRUE(),IF(J$50,$C36&lt;&gt;TRUE(),TRUE())),QUOTIENT(J$46,MAX(1,J$48))+IF(IF(J$50,SUMPRODUCT(--(LEN(TRIM($B$12:$B36))&gt;0),--(J$12:J36=TRUE()),--($C$12:$C36&lt;&gt;TRUE())),SUMPRODUCT(--(LEN(TRIM($B$12:$B36))&gt;0),--(J$12:J36=TRUE())))&lt;=MOD(J$46,MAX(1,J$48)),1,0),0)</f>
        <v>0</v>
      </c>
      <c r="L76" s="14" t="n">
        <f aca="false">IF(AND(L$47,L$48&gt;0,LEN(TRIM($B36))&gt;0,L36=TRUE(),IF(L$50,$C36&lt;&gt;TRUE(),TRUE())),QUOTIENT(L$46,MAX(1,L$48))+IF(IF(L$50,SUMPRODUCT(--(LEN(TRIM($B$12:$B36))&gt;0),--(L$12:L36=TRUE()),--($C$12:$C36&lt;&gt;TRUE())),SUMPRODUCT(--(LEN(TRIM($B$12:$B36))&gt;0),--(L$12:L36=TRUE())))&lt;=MOD(L$46,MAX(1,L$48)),1,0),0)</f>
        <v>0</v>
      </c>
      <c r="N76" s="14" t="n">
        <f aca="false">IF(AND(N$47,N$48&gt;0,LEN(TRIM($B36))&gt;0,N36=TRUE(),IF(N$50,$C36&lt;&gt;TRUE(),TRUE())),QUOTIENT(N$46,MAX(1,N$48))+IF(IF(N$50,SUMPRODUCT(--(LEN(TRIM($B$12:$B36))&gt;0),--(N$12:N36=TRUE()),--($C$12:$C36&lt;&gt;TRUE())),SUMPRODUCT(--(LEN(TRIM($B$12:$B36))&gt;0),--(N$12:N36=TRUE())))&lt;=MOD(N$46,MAX(1,N$48)),1,0),0)</f>
        <v>0</v>
      </c>
      <c r="P76" s="14" t="n">
        <f aca="false">IF(AND(P$47,P$48&gt;0,LEN(TRIM($B36))&gt;0,P36=TRUE(),IF(P$50,$C36&lt;&gt;TRUE(),TRUE())),QUOTIENT(P$46,MAX(1,P$48))+IF(IF(P$50,SUMPRODUCT(--(LEN(TRIM($B$12:$B36))&gt;0),--(P$12:P36=TRUE()),--($C$12:$C36&lt;&gt;TRUE())),SUMPRODUCT(--(LEN(TRIM($B$12:$B36))&gt;0),--(P$12:P36=TRUE())))&lt;=MOD(P$46,MAX(1,P$48)),1,0),0)</f>
        <v>0</v>
      </c>
    </row>
    <row r="77" customFormat="false" ht="15" hidden="true" customHeight="false" outlineLevel="0" collapsed="false">
      <c r="A77" s="13" t="s">
        <v>43</v>
      </c>
      <c r="D77" s="14" t="n">
        <f aca="false">IF(AND(D$47,D$48&gt;0,LEN(TRIM($B37))&gt;0,D37=TRUE(),IF(D$50,$C37&lt;&gt;TRUE(),TRUE())),QUOTIENT(D$46,MAX(1,D$48))+IF(IF(D$50,SUMPRODUCT(--(LEN(TRIM($B$12:$B37))&gt;0),--(D$12:D37=TRUE()),--($C$12:$C37&lt;&gt;TRUE())),SUMPRODUCT(--(LEN(TRIM($B$12:$B37))&gt;0),--(D$12:D37=TRUE())))&lt;=MOD(D$46,MAX(1,D$48)),1,0),0)</f>
        <v>0</v>
      </c>
      <c r="F77" s="14" t="n">
        <f aca="false">IF(AND(F$47,F$48&gt;0,LEN(TRIM($B37))&gt;0,F37=TRUE(),IF(F$50,$C37&lt;&gt;TRUE(),TRUE())),QUOTIENT(F$46,MAX(1,F$48))+IF(IF(F$50,SUMPRODUCT(--(LEN(TRIM($B$12:$B37))&gt;0),--(F$12:F37=TRUE()),--($C$12:$C37&lt;&gt;TRUE())),SUMPRODUCT(--(LEN(TRIM($B$12:$B37))&gt;0),--(F$12:F37=TRUE())))&lt;=MOD(F$46,MAX(1,F$48)),1,0),0)</f>
        <v>0</v>
      </c>
      <c r="H77" s="14" t="n">
        <f aca="false">IF(AND(H$47,H$48&gt;0,LEN(TRIM($B37))&gt;0,H37=TRUE(),IF(H$50,$C37&lt;&gt;TRUE(),TRUE())),QUOTIENT(H$46,MAX(1,H$48))+IF(IF(H$50,SUMPRODUCT(--(LEN(TRIM($B$12:$B37))&gt;0),--(H$12:H37=TRUE()),--($C$12:$C37&lt;&gt;TRUE())),SUMPRODUCT(--(LEN(TRIM($B$12:$B37))&gt;0),--(H$12:H37=TRUE())))&lt;=MOD(H$46,MAX(1,H$48)),1,0),0)</f>
        <v>0</v>
      </c>
      <c r="J77" s="14" t="n">
        <f aca="false">IF(AND(J$47,J$48&gt;0,LEN(TRIM($B37))&gt;0,J37=TRUE(),IF(J$50,$C37&lt;&gt;TRUE(),TRUE())),QUOTIENT(J$46,MAX(1,J$48))+IF(IF(J$50,SUMPRODUCT(--(LEN(TRIM($B$12:$B37))&gt;0),--(J$12:J37=TRUE()),--($C$12:$C37&lt;&gt;TRUE())),SUMPRODUCT(--(LEN(TRIM($B$12:$B37))&gt;0),--(J$12:J37=TRUE())))&lt;=MOD(J$46,MAX(1,J$48)),1,0),0)</f>
        <v>0</v>
      </c>
      <c r="L77" s="14" t="n">
        <f aca="false">IF(AND(L$47,L$48&gt;0,LEN(TRIM($B37))&gt;0,L37=TRUE(),IF(L$50,$C37&lt;&gt;TRUE(),TRUE())),QUOTIENT(L$46,MAX(1,L$48))+IF(IF(L$50,SUMPRODUCT(--(LEN(TRIM($B$12:$B37))&gt;0),--(L$12:L37=TRUE()),--($C$12:$C37&lt;&gt;TRUE())),SUMPRODUCT(--(LEN(TRIM($B$12:$B37))&gt;0),--(L$12:L37=TRUE())))&lt;=MOD(L$46,MAX(1,L$48)),1,0),0)</f>
        <v>0</v>
      </c>
      <c r="N77" s="14" t="n">
        <f aca="false">IF(AND(N$47,N$48&gt;0,LEN(TRIM($B37))&gt;0,N37=TRUE(),IF(N$50,$C37&lt;&gt;TRUE(),TRUE())),QUOTIENT(N$46,MAX(1,N$48))+IF(IF(N$50,SUMPRODUCT(--(LEN(TRIM($B$12:$B37))&gt;0),--(N$12:N37=TRUE()),--($C$12:$C37&lt;&gt;TRUE())),SUMPRODUCT(--(LEN(TRIM($B$12:$B37))&gt;0),--(N$12:N37=TRUE())))&lt;=MOD(N$46,MAX(1,N$48)),1,0),0)</f>
        <v>0</v>
      </c>
      <c r="P77" s="14" t="n">
        <f aca="false">IF(AND(P$47,P$48&gt;0,LEN(TRIM($B37))&gt;0,P37=TRUE(),IF(P$50,$C37&lt;&gt;TRUE(),TRUE())),QUOTIENT(P$46,MAX(1,P$48))+IF(IF(P$50,SUMPRODUCT(--(LEN(TRIM($B$12:$B37))&gt;0),--(P$12:P37=TRUE()),--($C$12:$C37&lt;&gt;TRUE())),SUMPRODUCT(--(LEN(TRIM($B$12:$B37))&gt;0),--(P$12:P37=TRUE())))&lt;=MOD(P$46,MAX(1,P$48)),1,0),0)</f>
        <v>0</v>
      </c>
    </row>
    <row r="78" customFormat="false" ht="15" hidden="true" customHeight="false" outlineLevel="0" collapsed="false">
      <c r="A78" s="13" t="s">
        <v>44</v>
      </c>
      <c r="D78" s="14" t="n">
        <f aca="false">IF(AND(D$47,D$48&gt;0,LEN(TRIM($B38))&gt;0,D38=TRUE(),IF(D$50,$C38&lt;&gt;TRUE(),TRUE())),QUOTIENT(D$46,MAX(1,D$48))+IF(IF(D$50,SUMPRODUCT(--(LEN(TRIM($B$12:$B38))&gt;0),--(D$12:D38=TRUE()),--($C$12:$C38&lt;&gt;TRUE())),SUMPRODUCT(--(LEN(TRIM($B$12:$B38))&gt;0),--(D$12:D38=TRUE())))&lt;=MOD(D$46,MAX(1,D$48)),1,0),0)</f>
        <v>0</v>
      </c>
      <c r="F78" s="14" t="n">
        <f aca="false">IF(AND(F$47,F$48&gt;0,LEN(TRIM($B38))&gt;0,F38=TRUE(),IF(F$50,$C38&lt;&gt;TRUE(),TRUE())),QUOTIENT(F$46,MAX(1,F$48))+IF(IF(F$50,SUMPRODUCT(--(LEN(TRIM($B$12:$B38))&gt;0),--(F$12:F38=TRUE()),--($C$12:$C38&lt;&gt;TRUE())),SUMPRODUCT(--(LEN(TRIM($B$12:$B38))&gt;0),--(F$12:F38=TRUE())))&lt;=MOD(F$46,MAX(1,F$48)),1,0),0)</f>
        <v>0</v>
      </c>
      <c r="H78" s="14" t="n">
        <f aca="false">IF(AND(H$47,H$48&gt;0,LEN(TRIM($B38))&gt;0,H38=TRUE(),IF(H$50,$C38&lt;&gt;TRUE(),TRUE())),QUOTIENT(H$46,MAX(1,H$48))+IF(IF(H$50,SUMPRODUCT(--(LEN(TRIM($B$12:$B38))&gt;0),--(H$12:H38=TRUE()),--($C$12:$C38&lt;&gt;TRUE())),SUMPRODUCT(--(LEN(TRIM($B$12:$B38))&gt;0),--(H$12:H38=TRUE())))&lt;=MOD(H$46,MAX(1,H$48)),1,0),0)</f>
        <v>0</v>
      </c>
      <c r="J78" s="14" t="n">
        <f aca="false">IF(AND(J$47,J$48&gt;0,LEN(TRIM($B38))&gt;0,J38=TRUE(),IF(J$50,$C38&lt;&gt;TRUE(),TRUE())),QUOTIENT(J$46,MAX(1,J$48))+IF(IF(J$50,SUMPRODUCT(--(LEN(TRIM($B$12:$B38))&gt;0),--(J$12:J38=TRUE()),--($C$12:$C38&lt;&gt;TRUE())),SUMPRODUCT(--(LEN(TRIM($B$12:$B38))&gt;0),--(J$12:J38=TRUE())))&lt;=MOD(J$46,MAX(1,J$48)),1,0),0)</f>
        <v>0</v>
      </c>
      <c r="L78" s="14" t="n">
        <f aca="false">IF(AND(L$47,L$48&gt;0,LEN(TRIM($B38))&gt;0,L38=TRUE(),IF(L$50,$C38&lt;&gt;TRUE(),TRUE())),QUOTIENT(L$46,MAX(1,L$48))+IF(IF(L$50,SUMPRODUCT(--(LEN(TRIM($B$12:$B38))&gt;0),--(L$12:L38=TRUE()),--($C$12:$C38&lt;&gt;TRUE())),SUMPRODUCT(--(LEN(TRIM($B$12:$B38))&gt;0),--(L$12:L38=TRUE())))&lt;=MOD(L$46,MAX(1,L$48)),1,0),0)</f>
        <v>0</v>
      </c>
      <c r="N78" s="14" t="n">
        <f aca="false">IF(AND(N$47,N$48&gt;0,LEN(TRIM($B38))&gt;0,N38=TRUE(),IF(N$50,$C38&lt;&gt;TRUE(),TRUE())),QUOTIENT(N$46,MAX(1,N$48))+IF(IF(N$50,SUMPRODUCT(--(LEN(TRIM($B$12:$B38))&gt;0),--(N$12:N38=TRUE()),--($C$12:$C38&lt;&gt;TRUE())),SUMPRODUCT(--(LEN(TRIM($B$12:$B38))&gt;0),--(N$12:N38=TRUE())))&lt;=MOD(N$46,MAX(1,N$48)),1,0),0)</f>
        <v>0</v>
      </c>
      <c r="P78" s="14" t="n">
        <f aca="false">IF(AND(P$47,P$48&gt;0,LEN(TRIM($B38))&gt;0,P38=TRUE(),IF(P$50,$C38&lt;&gt;TRUE(),TRUE())),QUOTIENT(P$46,MAX(1,P$48))+IF(IF(P$50,SUMPRODUCT(--(LEN(TRIM($B$12:$B38))&gt;0),--(P$12:P38=TRUE()),--($C$12:$C38&lt;&gt;TRUE())),SUMPRODUCT(--(LEN(TRIM($B$12:$B38))&gt;0),--(P$12:P38=TRUE())))&lt;=MOD(P$46,MAX(1,P$48)),1,0),0)</f>
        <v>0</v>
      </c>
    </row>
    <row r="79" customFormat="false" ht="15" hidden="true" customHeight="false" outlineLevel="0" collapsed="false">
      <c r="A79" s="13" t="s">
        <v>45</v>
      </c>
      <c r="D79" s="14" t="n">
        <f aca="false">IF(AND(D$47,D$48&gt;0,LEN(TRIM($B39))&gt;0,D39=TRUE(),IF(D$50,$C39&lt;&gt;TRUE(),TRUE())),QUOTIENT(D$46,MAX(1,D$48))+IF(IF(D$50,SUMPRODUCT(--(LEN(TRIM($B$12:$B39))&gt;0),--(D$12:D39=TRUE()),--($C$12:$C39&lt;&gt;TRUE())),SUMPRODUCT(--(LEN(TRIM($B$12:$B39))&gt;0),--(D$12:D39=TRUE())))&lt;=MOD(D$46,MAX(1,D$48)),1,0),0)</f>
        <v>0</v>
      </c>
      <c r="F79" s="14" t="n">
        <f aca="false">IF(AND(F$47,F$48&gt;0,LEN(TRIM($B39))&gt;0,F39=TRUE(),IF(F$50,$C39&lt;&gt;TRUE(),TRUE())),QUOTIENT(F$46,MAX(1,F$48))+IF(IF(F$50,SUMPRODUCT(--(LEN(TRIM($B$12:$B39))&gt;0),--(F$12:F39=TRUE()),--($C$12:$C39&lt;&gt;TRUE())),SUMPRODUCT(--(LEN(TRIM($B$12:$B39))&gt;0),--(F$12:F39=TRUE())))&lt;=MOD(F$46,MAX(1,F$48)),1,0),0)</f>
        <v>0</v>
      </c>
      <c r="H79" s="14" t="n">
        <f aca="false">IF(AND(H$47,H$48&gt;0,LEN(TRIM($B39))&gt;0,H39=TRUE(),IF(H$50,$C39&lt;&gt;TRUE(),TRUE())),QUOTIENT(H$46,MAX(1,H$48))+IF(IF(H$50,SUMPRODUCT(--(LEN(TRIM($B$12:$B39))&gt;0),--(H$12:H39=TRUE()),--($C$12:$C39&lt;&gt;TRUE())),SUMPRODUCT(--(LEN(TRIM($B$12:$B39))&gt;0),--(H$12:H39=TRUE())))&lt;=MOD(H$46,MAX(1,H$48)),1,0),0)</f>
        <v>0</v>
      </c>
      <c r="J79" s="14" t="n">
        <f aca="false">IF(AND(J$47,J$48&gt;0,LEN(TRIM($B39))&gt;0,J39=TRUE(),IF(J$50,$C39&lt;&gt;TRUE(),TRUE())),QUOTIENT(J$46,MAX(1,J$48))+IF(IF(J$50,SUMPRODUCT(--(LEN(TRIM($B$12:$B39))&gt;0),--(J$12:J39=TRUE()),--($C$12:$C39&lt;&gt;TRUE())),SUMPRODUCT(--(LEN(TRIM($B$12:$B39))&gt;0),--(J$12:J39=TRUE())))&lt;=MOD(J$46,MAX(1,J$48)),1,0),0)</f>
        <v>0</v>
      </c>
      <c r="L79" s="14" t="n">
        <f aca="false">IF(AND(L$47,L$48&gt;0,LEN(TRIM($B39))&gt;0,L39=TRUE(),IF(L$50,$C39&lt;&gt;TRUE(),TRUE())),QUOTIENT(L$46,MAX(1,L$48))+IF(IF(L$50,SUMPRODUCT(--(LEN(TRIM($B$12:$B39))&gt;0),--(L$12:L39=TRUE()),--($C$12:$C39&lt;&gt;TRUE())),SUMPRODUCT(--(LEN(TRIM($B$12:$B39))&gt;0),--(L$12:L39=TRUE())))&lt;=MOD(L$46,MAX(1,L$48)),1,0),0)</f>
        <v>0</v>
      </c>
      <c r="N79" s="14" t="n">
        <f aca="false">IF(AND(N$47,N$48&gt;0,LEN(TRIM($B39))&gt;0,N39=TRUE(),IF(N$50,$C39&lt;&gt;TRUE(),TRUE())),QUOTIENT(N$46,MAX(1,N$48))+IF(IF(N$50,SUMPRODUCT(--(LEN(TRIM($B$12:$B39))&gt;0),--(N$12:N39=TRUE()),--($C$12:$C39&lt;&gt;TRUE())),SUMPRODUCT(--(LEN(TRIM($B$12:$B39))&gt;0),--(N$12:N39=TRUE())))&lt;=MOD(N$46,MAX(1,N$48)),1,0),0)</f>
        <v>0</v>
      </c>
      <c r="P79" s="14" t="n">
        <f aca="false">IF(AND(P$47,P$48&gt;0,LEN(TRIM($B39))&gt;0,P39=TRUE(),IF(P$50,$C39&lt;&gt;TRUE(),TRUE())),QUOTIENT(P$46,MAX(1,P$48))+IF(IF(P$50,SUMPRODUCT(--(LEN(TRIM($B$12:$B39))&gt;0),--(P$12:P39=TRUE()),--($C$12:$C39&lt;&gt;TRUE())),SUMPRODUCT(--(LEN(TRIM($B$12:$B39))&gt;0),--(P$12:P39=TRUE())))&lt;=MOD(P$46,MAX(1,P$48)),1,0),0)</f>
        <v>0</v>
      </c>
    </row>
    <row r="80" customFormat="false" ht="15" hidden="true" customHeight="false" outlineLevel="0" collapsed="false">
      <c r="A80" s="13" t="s">
        <v>46</v>
      </c>
      <c r="D80" s="14" t="n">
        <f aca="false">IF(AND(D$47,D$48&gt;0,LEN(TRIM($B40))&gt;0,D40=TRUE(),IF(D$50,$C40&lt;&gt;TRUE(),TRUE())),QUOTIENT(D$46,MAX(1,D$48))+IF(IF(D$50,SUMPRODUCT(--(LEN(TRIM($B$12:$B40))&gt;0),--(D$12:D40=TRUE()),--($C$12:$C40&lt;&gt;TRUE())),SUMPRODUCT(--(LEN(TRIM($B$12:$B40))&gt;0),--(D$12:D40=TRUE())))&lt;=MOD(D$46,MAX(1,D$48)),1,0),0)</f>
        <v>0</v>
      </c>
      <c r="F80" s="14" t="n">
        <f aca="false">IF(AND(F$47,F$48&gt;0,LEN(TRIM($B40))&gt;0,F40=TRUE(),IF(F$50,$C40&lt;&gt;TRUE(),TRUE())),QUOTIENT(F$46,MAX(1,F$48))+IF(IF(F$50,SUMPRODUCT(--(LEN(TRIM($B$12:$B40))&gt;0),--(F$12:F40=TRUE()),--($C$12:$C40&lt;&gt;TRUE())),SUMPRODUCT(--(LEN(TRIM($B$12:$B40))&gt;0),--(F$12:F40=TRUE())))&lt;=MOD(F$46,MAX(1,F$48)),1,0),0)</f>
        <v>0</v>
      </c>
      <c r="H80" s="14" t="n">
        <f aca="false">IF(AND(H$47,H$48&gt;0,LEN(TRIM($B40))&gt;0,H40=TRUE(),IF(H$50,$C40&lt;&gt;TRUE(),TRUE())),QUOTIENT(H$46,MAX(1,H$48))+IF(IF(H$50,SUMPRODUCT(--(LEN(TRIM($B$12:$B40))&gt;0),--(H$12:H40=TRUE()),--($C$12:$C40&lt;&gt;TRUE())),SUMPRODUCT(--(LEN(TRIM($B$12:$B40))&gt;0),--(H$12:H40=TRUE())))&lt;=MOD(H$46,MAX(1,H$48)),1,0),0)</f>
        <v>0</v>
      </c>
      <c r="J80" s="14" t="n">
        <f aca="false">IF(AND(J$47,J$48&gt;0,LEN(TRIM($B40))&gt;0,J40=TRUE(),IF(J$50,$C40&lt;&gt;TRUE(),TRUE())),QUOTIENT(J$46,MAX(1,J$48))+IF(IF(J$50,SUMPRODUCT(--(LEN(TRIM($B$12:$B40))&gt;0),--(J$12:J40=TRUE()),--($C$12:$C40&lt;&gt;TRUE())),SUMPRODUCT(--(LEN(TRIM($B$12:$B40))&gt;0),--(J$12:J40=TRUE())))&lt;=MOD(J$46,MAX(1,J$48)),1,0),0)</f>
        <v>0</v>
      </c>
      <c r="L80" s="14" t="n">
        <f aca="false">IF(AND(L$47,L$48&gt;0,LEN(TRIM($B40))&gt;0,L40=TRUE(),IF(L$50,$C40&lt;&gt;TRUE(),TRUE())),QUOTIENT(L$46,MAX(1,L$48))+IF(IF(L$50,SUMPRODUCT(--(LEN(TRIM($B$12:$B40))&gt;0),--(L$12:L40=TRUE()),--($C$12:$C40&lt;&gt;TRUE())),SUMPRODUCT(--(LEN(TRIM($B$12:$B40))&gt;0),--(L$12:L40=TRUE())))&lt;=MOD(L$46,MAX(1,L$48)),1,0),0)</f>
        <v>0</v>
      </c>
      <c r="N80" s="14" t="n">
        <f aca="false">IF(AND(N$47,N$48&gt;0,LEN(TRIM($B40))&gt;0,N40=TRUE(),IF(N$50,$C40&lt;&gt;TRUE(),TRUE())),QUOTIENT(N$46,MAX(1,N$48))+IF(IF(N$50,SUMPRODUCT(--(LEN(TRIM($B$12:$B40))&gt;0),--(N$12:N40=TRUE()),--($C$12:$C40&lt;&gt;TRUE())),SUMPRODUCT(--(LEN(TRIM($B$12:$B40))&gt;0),--(N$12:N40=TRUE())))&lt;=MOD(N$46,MAX(1,N$48)),1,0),0)</f>
        <v>0</v>
      </c>
      <c r="P80" s="14" t="n">
        <f aca="false">IF(AND(P$47,P$48&gt;0,LEN(TRIM($B40))&gt;0,P40=TRUE(),IF(P$50,$C40&lt;&gt;TRUE(),TRUE())),QUOTIENT(P$46,MAX(1,P$48))+IF(IF(P$50,SUMPRODUCT(--(LEN(TRIM($B$12:$B40))&gt;0),--(P$12:P40=TRUE()),--($C$12:$C40&lt;&gt;TRUE())),SUMPRODUCT(--(LEN(TRIM($B$12:$B40))&gt;0),--(P$12:P40=TRUE())))&lt;=MOD(P$46,MAX(1,P$48)),1,0),0)</f>
        <v>0</v>
      </c>
    </row>
    <row r="81" customFormat="false" ht="15" hidden="true" customHeight="false" outlineLevel="0" collapsed="false">
      <c r="A81" s="13" t="s">
        <v>47</v>
      </c>
      <c r="D81" s="14" t="n">
        <f aca="false">IF(AND(D$47,D$48&gt;0,LEN(TRIM($B41))&gt;0,D41=TRUE(),IF(D$50,$C41&lt;&gt;TRUE(),TRUE())),QUOTIENT(D$46,MAX(1,D$48))+IF(IF(D$50,SUMPRODUCT(--(LEN(TRIM($B$12:$B41))&gt;0),--(D$12:D41=TRUE()),--($C$12:$C41&lt;&gt;TRUE())),SUMPRODUCT(--(LEN(TRIM($B$12:$B41))&gt;0),--(D$12:D41=TRUE())))&lt;=MOD(D$46,MAX(1,D$48)),1,0),0)</f>
        <v>0</v>
      </c>
      <c r="F81" s="14" t="n">
        <f aca="false">IF(AND(F$47,F$48&gt;0,LEN(TRIM($B41))&gt;0,F41=TRUE(),IF(F$50,$C41&lt;&gt;TRUE(),TRUE())),QUOTIENT(F$46,MAX(1,F$48))+IF(IF(F$50,SUMPRODUCT(--(LEN(TRIM($B$12:$B41))&gt;0),--(F$12:F41=TRUE()),--($C$12:$C41&lt;&gt;TRUE())),SUMPRODUCT(--(LEN(TRIM($B$12:$B41))&gt;0),--(F$12:F41=TRUE())))&lt;=MOD(F$46,MAX(1,F$48)),1,0),0)</f>
        <v>0</v>
      </c>
      <c r="H81" s="14" t="n">
        <f aca="false">IF(AND(H$47,H$48&gt;0,LEN(TRIM($B41))&gt;0,H41=TRUE(),IF(H$50,$C41&lt;&gt;TRUE(),TRUE())),QUOTIENT(H$46,MAX(1,H$48))+IF(IF(H$50,SUMPRODUCT(--(LEN(TRIM($B$12:$B41))&gt;0),--(H$12:H41=TRUE()),--($C$12:$C41&lt;&gt;TRUE())),SUMPRODUCT(--(LEN(TRIM($B$12:$B41))&gt;0),--(H$12:H41=TRUE())))&lt;=MOD(H$46,MAX(1,H$48)),1,0),0)</f>
        <v>0</v>
      </c>
      <c r="J81" s="14" t="n">
        <f aca="false">IF(AND(J$47,J$48&gt;0,LEN(TRIM($B41))&gt;0,J41=TRUE(),IF(J$50,$C41&lt;&gt;TRUE(),TRUE())),QUOTIENT(J$46,MAX(1,J$48))+IF(IF(J$50,SUMPRODUCT(--(LEN(TRIM($B$12:$B41))&gt;0),--(J$12:J41=TRUE()),--($C$12:$C41&lt;&gt;TRUE())),SUMPRODUCT(--(LEN(TRIM($B$12:$B41))&gt;0),--(J$12:J41=TRUE())))&lt;=MOD(J$46,MAX(1,J$48)),1,0),0)</f>
        <v>0</v>
      </c>
      <c r="L81" s="14" t="n">
        <f aca="false">IF(AND(L$47,L$48&gt;0,LEN(TRIM($B41))&gt;0,L41=TRUE(),IF(L$50,$C41&lt;&gt;TRUE(),TRUE())),QUOTIENT(L$46,MAX(1,L$48))+IF(IF(L$50,SUMPRODUCT(--(LEN(TRIM($B$12:$B41))&gt;0),--(L$12:L41=TRUE()),--($C$12:$C41&lt;&gt;TRUE())),SUMPRODUCT(--(LEN(TRIM($B$12:$B41))&gt;0),--(L$12:L41=TRUE())))&lt;=MOD(L$46,MAX(1,L$48)),1,0),0)</f>
        <v>0</v>
      </c>
      <c r="N81" s="14" t="n">
        <f aca="false">IF(AND(N$47,N$48&gt;0,LEN(TRIM($B41))&gt;0,N41=TRUE(),IF(N$50,$C41&lt;&gt;TRUE(),TRUE())),QUOTIENT(N$46,MAX(1,N$48))+IF(IF(N$50,SUMPRODUCT(--(LEN(TRIM($B$12:$B41))&gt;0),--(N$12:N41=TRUE()),--($C$12:$C41&lt;&gt;TRUE())),SUMPRODUCT(--(LEN(TRIM($B$12:$B41))&gt;0),--(N$12:N41=TRUE())))&lt;=MOD(N$46,MAX(1,N$48)),1,0),0)</f>
        <v>0</v>
      </c>
      <c r="P81" s="14" t="n">
        <f aca="false">IF(AND(P$47,P$48&gt;0,LEN(TRIM($B41))&gt;0,P41=TRUE(),IF(P$50,$C41&lt;&gt;TRUE(),TRUE())),QUOTIENT(P$46,MAX(1,P$48))+IF(IF(P$50,SUMPRODUCT(--(LEN(TRIM($B$12:$B41))&gt;0),--(P$12:P41=TRUE()),--($C$12:$C41&lt;&gt;TRUE())),SUMPRODUCT(--(LEN(TRIM($B$12:$B41))&gt;0),--(P$12:P41=TRUE())))&lt;=MOD(P$46,MAX(1,P$48)),1,0),0)</f>
        <v>0</v>
      </c>
    </row>
  </sheetData>
  <mergeCells count="28">
    <mergeCell ref="D4:E4"/>
    <mergeCell ref="F4:G4"/>
    <mergeCell ref="H4:I4"/>
    <mergeCell ref="J4:K4"/>
    <mergeCell ref="L4:M4"/>
    <mergeCell ref="N4:O4"/>
    <mergeCell ref="P4:Q4"/>
    <mergeCell ref="D5:E5"/>
    <mergeCell ref="F5:G5"/>
    <mergeCell ref="H5:I5"/>
    <mergeCell ref="J5:K5"/>
    <mergeCell ref="L5:M5"/>
    <mergeCell ref="N5:O5"/>
    <mergeCell ref="P5:Q5"/>
    <mergeCell ref="D9:E9"/>
    <mergeCell ref="F9:G9"/>
    <mergeCell ref="H9:I9"/>
    <mergeCell ref="J9:K9"/>
    <mergeCell ref="L9:M9"/>
    <mergeCell ref="N9:O9"/>
    <mergeCell ref="P9:Q9"/>
    <mergeCell ref="D10:E10"/>
    <mergeCell ref="F10:G10"/>
    <mergeCell ref="H10:I10"/>
    <mergeCell ref="J10:K10"/>
    <mergeCell ref="L10:M10"/>
    <mergeCell ref="N10:O10"/>
    <mergeCell ref="P10:Q10"/>
  </mergeCells>
  <dataValidations count="30"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3" type="custom">
      <formula1>OR(C3=1,C3=0)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C12:C41" type="custom">
      <formula1>OR(C12=1,C12=0)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D12:D41" type="custom">
      <formula1>OR(D12=1,D12=0)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F12:F41" type="custom">
      <formula1>OR(F12=1,F12=0)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H12:H41" type="custom">
      <formula1>OR(H12=1,H12=0)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J12:J41" type="custom">
      <formula1>OR(J12=1,J12=0)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L12:L41" type="custom">
      <formula1>OR(L12=1,L12=0)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N12:N41" type="custom">
      <formula1>OR(N12=1,N12=0)</formula1>
      <formula2>0</formula2>
    </dataValidation>
    <dataValidation allowBlank="true" error="在 Google 試算表執行 setupTravelSheet，即可變成真正可點選的核取方塊。" errorStyle="stop" errorTitle="請使用核取方塊" operator="between" showDropDown="false" showErrorMessage="true" showInputMessage="false" sqref="P12:P41" type="custom">
      <formula1>OR(P12=1,P12=0)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D5:E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D6" type="custom">
      <formula1>OR(LEN(TRIM(D6&amp;""))=0,IFERROR(AND(ISNUMBER(D6),D6&gt;=0,D6&lt;=100000000,ROUND(D6,1)=D6),0))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F5:G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F6" type="custom">
      <formula1>OR(LEN(TRIM(F6&amp;""))=0,IFERROR(AND(ISNUMBER(F6),F6&gt;=0,F6&lt;=100000000,ROUND(F6,1)=F6),0))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H5:I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H6" type="custom">
      <formula1>OR(LEN(TRIM(H6&amp;""))=0,IFERROR(AND(ISNUMBER(H6),H6&gt;=0,H6&lt;=100000000,ROUND(H6,1)=H6),0))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J5:K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J6" type="custom">
      <formula1>OR(LEN(TRIM(J6&amp;""))=0,IFERROR(AND(ISNUMBER(J6),J6&gt;=0,J6&lt;=100000000,ROUND(J6,1)=J6),0))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L5:M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L6" type="custom">
      <formula1>OR(LEN(TRIM(L6&amp;""))=0,IFERROR(AND(ISNUMBER(L6),L6&gt;=0,L6&lt;=100000000,ROUND(L6,1)=L6),0))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N5:O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N6" type="custom">
      <formula1>OR(LEN(TRIM(N6&amp;""))=0,IFERROR(AND(ISNUMBER(N6),N6&gt;=0,N6&lt;=100000000,ROUND(N6,1)=N6),0))</formula1>
      <formula2>0</formula2>
    </dataValidation>
    <dataValidation allowBlank="false" error="請使用下拉選項；金額須非負且最多一位小數。" errorStyle="stop" errorTitle="輸入格式錯誤" operator="between" showDropDown="false" showErrorMessage="true" showInputMessage="false" sqref="P5:Q5" type="list">
      <formula1>"早餐,午餐,晚餐,油錢,租車費,停車費,其他"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7" type="list">
      <formula1>TravelMemberIDs</formula1>
      <formula2>0</formula2>
    </dataValidation>
    <dataValidation allowBlank="true" error="請使用下拉選項；金額須非負且最多一位小數。" errorStyle="stop" errorTitle="輸入格式錯誤" operator="between" showDropDown="false" showErrorMessage="true" showInputMessage="false" sqref="P6" type="custom">
      <formula1>OR(LEN(TRIM(P6&amp;""))=0,IFERROR(AND(ISNUMBER(P6),P6&gt;=0,P6&lt;=100000000,ROUND(P6,1)=P6),0))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7.15"/>
  </cols>
  <sheetData>
    <row r="1" customFormat="false" ht="42" hidden="false" customHeight="true" outlineLevel="0" collapsed="false">
      <c r="A1" s="24"/>
      <c r="B1" s="3" t="s">
        <v>170</v>
      </c>
    </row>
    <row r="2" customFormat="false" ht="42" hidden="false" customHeight="true" outlineLevel="0" collapsed="false">
      <c r="B2" s="1" t="s">
        <v>171</v>
      </c>
    </row>
    <row r="3" customFormat="false" ht="42" hidden="false" customHeight="true" outlineLevel="0" collapsed="false">
      <c r="B3" s="1" t="s">
        <v>172</v>
      </c>
    </row>
    <row r="4" customFormat="false" ht="42" hidden="false" customHeight="true" outlineLevel="0" collapsed="false">
      <c r="B4" s="1" t="s">
        <v>173</v>
      </c>
    </row>
    <row r="5" customFormat="false" ht="42" hidden="false" customHeight="true" outlineLevel="0" collapsed="false">
      <c r="B5" s="1" t="s">
        <v>174</v>
      </c>
    </row>
    <row r="6" customFormat="false" ht="42" hidden="false" customHeight="true" outlineLevel="0" collapsed="false">
      <c r="B6" s="1" t="s">
        <v>175</v>
      </c>
    </row>
    <row r="7" customFormat="false" ht="42" hidden="false" customHeight="true" outlineLevel="0" collapsed="false">
      <c r="B7" s="1" t="s">
        <v>176</v>
      </c>
    </row>
    <row r="8" customFormat="false" ht="42" hidden="false" customHeight="true" outlineLevel="0" collapsed="false">
      <c r="B8" s="1" t="s">
        <v>177</v>
      </c>
    </row>
    <row r="9" customFormat="false" ht="42" hidden="false" customHeight="true" outlineLevel="0" collapsed="false">
      <c r="B9" s="1" t="s">
        <v>178</v>
      </c>
    </row>
    <row r="10" customFormat="false" ht="42" hidden="false" customHeight="true" outlineLevel="0" collapsed="false">
      <c r="B10" s="1" t="s">
        <v>179</v>
      </c>
    </row>
    <row r="11" customFormat="false" ht="42" hidden="false" customHeight="true" outlineLevel="0" collapsed="false">
      <c r="B11" s="1" t="s">
        <v>180</v>
      </c>
    </row>
    <row r="12" customFormat="false" ht="42" hidden="false" customHeight="true" outlineLevel="0" collapsed="false">
      <c r="B12" s="1" t="s">
        <v>181</v>
      </c>
    </row>
    <row r="13" customFormat="false" ht="42" hidden="false" customHeight="true" outlineLevel="0" collapsed="false">
      <c r="B13" s="1" t="s">
        <v>182</v>
      </c>
    </row>
    <row r="14" customFormat="false" ht="42" hidden="false" customHeight="true" outlineLevel="0" collapsed="false">
      <c r="B14" s="1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3" t="s">
        <v>184</v>
      </c>
      <c r="B1" s="3" t="s">
        <v>185</v>
      </c>
      <c r="C1" s="3" t="s">
        <v>186</v>
      </c>
      <c r="D1" s="3" t="s">
        <v>187</v>
      </c>
      <c r="E1" s="3" t="s">
        <v>188</v>
      </c>
      <c r="F1" s="3" t="s">
        <v>189</v>
      </c>
      <c r="G1" s="3" t="s">
        <v>190</v>
      </c>
      <c r="H1" s="3" t="s">
        <v>191</v>
      </c>
    </row>
    <row r="2" customFormat="false" ht="48.5" hidden="false" customHeight="false" outlineLevel="0" collapsed="false">
      <c r="A2" s="1" t="s">
        <v>58</v>
      </c>
      <c r="B2" s="1" t="s">
        <v>18</v>
      </c>
      <c r="C2" s="20" t="n">
        <f aca="false">SUM(IF(OR('第 1 天'!D$5="早餐",'第 1 天'!D$5="午餐",'第 1 天'!D$5="晚餐"),'第 1 天'!D52,0),IF(OR('第 1 天'!F$5="早餐",'第 1 天'!F$5="午餐",'第 1 天'!F$5="晚餐"),'第 1 天'!F52,0),IF(OR('第 1 天'!H$5="早餐",'第 1 天'!H$5="午餐",'第 1 天'!H$5="晚餐"),'第 1 天'!H52,0),IF(OR('第 1 天'!J$5="早餐",'第 1 天'!J$5="午餐",'第 1 天'!J$5="晚餐"),'第 1 天'!J52,0),IF(OR('第 1 天'!L$5="早餐",'第 1 天'!L$5="午餐",'第 1 天'!L$5="晚餐"),'第 1 天'!L52,0),IF(OR('第 1 天'!N$5="早餐",'第 1 天'!N$5="午餐",'第 1 天'!N$5="晚餐"),'第 1 天'!N52,0),IF(OR('第 1 天'!P$5="早餐",'第 1 天'!P$5="午餐",'第 1 天'!P$5="晚餐"),'第 1 天'!P52,0))</f>
        <v>0</v>
      </c>
      <c r="D2" s="20" t="n">
        <f aca="false">SUM(IF(OR('第 1 天'!D$5="油錢"),'第 1 天'!D52,0),IF(OR('第 1 天'!F$5="油錢"),'第 1 天'!F52,0),IF(OR('第 1 天'!H$5="油錢"),'第 1 天'!H52,0),IF(OR('第 1 天'!J$5="油錢"),'第 1 天'!J52,0),IF(OR('第 1 天'!L$5="油錢"),'第 1 天'!L52,0),IF(OR('第 1 天'!N$5="油錢"),'第 1 天'!N52,0),IF(OR('第 1 天'!P$5="油錢"),'第 1 天'!P52,0))</f>
        <v>0</v>
      </c>
      <c r="E2" s="20" t="n">
        <f aca="false">SUM(IF(OR('第 1 天'!D$5="租車費"),'第 1 天'!D52,0),IF(OR('第 1 天'!F$5="租車費"),'第 1 天'!F52,0),IF(OR('第 1 天'!H$5="租車費"),'第 1 天'!H52,0),IF(OR('第 1 天'!J$5="租車費"),'第 1 天'!J52,0),IF(OR('第 1 天'!L$5="租車費"),'第 1 天'!L52,0),IF(OR('第 1 天'!N$5="租車費"),'第 1 天'!N52,0),IF(OR('第 1 天'!P$5="租車費"),'第 1 天'!P52,0))</f>
        <v>0</v>
      </c>
      <c r="F2" s="20" t="n">
        <f aca="false">SUM(IF(OR('第 1 天'!D$5="停車費",'第 1 天'!D$5="其他"),'第 1 天'!D52,0),IF(OR('第 1 天'!F$5="停車費",'第 1 天'!F$5="其他"),'第 1 天'!F52,0),IF(OR('第 1 天'!H$5="停車費",'第 1 天'!H$5="其他"),'第 1 天'!H52,0),IF(OR('第 1 天'!J$5="停車費",'第 1 天'!J$5="其他"),'第 1 天'!J52,0),IF(OR('第 1 天'!L$5="停車費",'第 1 天'!L$5="其他"),'第 1 天'!L52,0),IF(OR('第 1 天'!N$5="停車費",'第 1 天'!N$5="其他"),'第 1 天'!N52,0),IF(OR('第 1 天'!P$5="停車費",'第 1 天'!P$5="其他"),'第 1 天'!P52,0))</f>
        <v>0</v>
      </c>
      <c r="G2" s="20" t="n">
        <f aca="false">SUM(C2:F2)</f>
        <v>0</v>
      </c>
      <c r="H2" s="20" t="n">
        <f aca="false">IF(LEN(TRIM(成員名單!$B5))=0,0,SUM(IF('第 1 天'!D$7=$B2,'第 1 天'!D46,0),IF('第 1 天'!F$7=$B2,'第 1 天'!F46,0),IF('第 1 天'!H$7=$B2,'第 1 天'!H46,0),IF('第 1 天'!J$7=$B2,'第 1 天'!J46,0),IF('第 1 天'!L$7=$B2,'第 1 天'!L46,0),IF('第 1 天'!N$7=$B2,'第 1 天'!N46,0),IF('第 1 天'!P$7=$B2,'第 1 天'!P46,0)))</f>
        <v>0</v>
      </c>
    </row>
    <row r="3" customFormat="false" ht="48.5" hidden="false" customHeight="false" outlineLevel="0" collapsed="false">
      <c r="A3" s="1" t="s">
        <v>58</v>
      </c>
      <c r="B3" s="1" t="s">
        <v>19</v>
      </c>
      <c r="C3" s="20" t="n">
        <f aca="false">SUM(IF(OR('第 1 天'!D$5="早餐",'第 1 天'!D$5="午餐",'第 1 天'!D$5="晚餐"),'第 1 天'!D53,0),IF(OR('第 1 天'!F$5="早餐",'第 1 天'!F$5="午餐",'第 1 天'!F$5="晚餐"),'第 1 天'!F53,0),IF(OR('第 1 天'!H$5="早餐",'第 1 天'!H$5="午餐",'第 1 天'!H$5="晚餐"),'第 1 天'!H53,0),IF(OR('第 1 天'!J$5="早餐",'第 1 天'!J$5="午餐",'第 1 天'!J$5="晚餐"),'第 1 天'!J53,0),IF(OR('第 1 天'!L$5="早餐",'第 1 天'!L$5="午餐",'第 1 天'!L$5="晚餐"),'第 1 天'!L53,0),IF(OR('第 1 天'!N$5="早餐",'第 1 天'!N$5="午餐",'第 1 天'!N$5="晚餐"),'第 1 天'!N53,0),IF(OR('第 1 天'!P$5="早餐",'第 1 天'!P$5="午餐",'第 1 天'!P$5="晚餐"),'第 1 天'!P53,0))</f>
        <v>0</v>
      </c>
      <c r="D3" s="20" t="n">
        <f aca="false">SUM(IF(OR('第 1 天'!D$5="油錢"),'第 1 天'!D53,0),IF(OR('第 1 天'!F$5="油錢"),'第 1 天'!F53,0),IF(OR('第 1 天'!H$5="油錢"),'第 1 天'!H53,0),IF(OR('第 1 天'!J$5="油錢"),'第 1 天'!J53,0),IF(OR('第 1 天'!L$5="油錢"),'第 1 天'!L53,0),IF(OR('第 1 天'!N$5="油錢"),'第 1 天'!N53,0),IF(OR('第 1 天'!P$5="油錢"),'第 1 天'!P53,0))</f>
        <v>0</v>
      </c>
      <c r="E3" s="20" t="n">
        <f aca="false">SUM(IF(OR('第 1 天'!D$5="租車費"),'第 1 天'!D53,0),IF(OR('第 1 天'!F$5="租車費"),'第 1 天'!F53,0),IF(OR('第 1 天'!H$5="租車費"),'第 1 天'!H53,0),IF(OR('第 1 天'!J$5="租車費"),'第 1 天'!J53,0),IF(OR('第 1 天'!L$5="租車費"),'第 1 天'!L53,0),IF(OR('第 1 天'!N$5="租車費"),'第 1 天'!N53,0),IF(OR('第 1 天'!P$5="租車費"),'第 1 天'!P53,0))</f>
        <v>0</v>
      </c>
      <c r="F3" s="20" t="n">
        <f aca="false">SUM(IF(OR('第 1 天'!D$5="停車費",'第 1 天'!D$5="其他"),'第 1 天'!D53,0),IF(OR('第 1 天'!F$5="停車費",'第 1 天'!F$5="其他"),'第 1 天'!F53,0),IF(OR('第 1 天'!H$5="停車費",'第 1 天'!H$5="其他"),'第 1 天'!H53,0),IF(OR('第 1 天'!J$5="停車費",'第 1 天'!J$5="其他"),'第 1 天'!J53,0),IF(OR('第 1 天'!L$5="停車費",'第 1 天'!L$5="其他"),'第 1 天'!L53,0),IF(OR('第 1 天'!N$5="停車費",'第 1 天'!N$5="其他"),'第 1 天'!N53,0),IF(OR('第 1 天'!P$5="停車費",'第 1 天'!P$5="其他"),'第 1 天'!P53,0))</f>
        <v>0</v>
      </c>
      <c r="G3" s="20" t="n">
        <f aca="false">SUM(C3:F3)</f>
        <v>0</v>
      </c>
      <c r="H3" s="20" t="n">
        <f aca="false">IF(LEN(TRIM(成員名單!$B6))=0,0,SUM(IF('第 1 天'!D$7=$B3,'第 1 天'!D46,0),IF('第 1 天'!F$7=$B3,'第 1 天'!F46,0),IF('第 1 天'!H$7=$B3,'第 1 天'!H46,0),IF('第 1 天'!J$7=$B3,'第 1 天'!J46,0),IF('第 1 天'!L$7=$B3,'第 1 天'!L46,0),IF('第 1 天'!N$7=$B3,'第 1 天'!N46,0),IF('第 1 天'!P$7=$B3,'第 1 天'!P46,0)))</f>
        <v>0</v>
      </c>
    </row>
    <row r="4" customFormat="false" ht="48.5" hidden="false" customHeight="false" outlineLevel="0" collapsed="false">
      <c r="A4" s="1" t="s">
        <v>58</v>
      </c>
      <c r="B4" s="1" t="s">
        <v>20</v>
      </c>
      <c r="C4" s="20" t="n">
        <f aca="false">SUM(IF(OR('第 1 天'!D$5="早餐",'第 1 天'!D$5="午餐",'第 1 天'!D$5="晚餐"),'第 1 天'!D54,0),IF(OR('第 1 天'!F$5="早餐",'第 1 天'!F$5="午餐",'第 1 天'!F$5="晚餐"),'第 1 天'!F54,0),IF(OR('第 1 天'!H$5="早餐",'第 1 天'!H$5="午餐",'第 1 天'!H$5="晚餐"),'第 1 天'!H54,0),IF(OR('第 1 天'!J$5="早餐",'第 1 天'!J$5="午餐",'第 1 天'!J$5="晚餐"),'第 1 天'!J54,0),IF(OR('第 1 天'!L$5="早餐",'第 1 天'!L$5="午餐",'第 1 天'!L$5="晚餐"),'第 1 天'!L54,0),IF(OR('第 1 天'!N$5="早餐",'第 1 天'!N$5="午餐",'第 1 天'!N$5="晚餐"),'第 1 天'!N54,0),IF(OR('第 1 天'!P$5="早餐",'第 1 天'!P$5="午餐",'第 1 天'!P$5="晚餐"),'第 1 天'!P54,0))</f>
        <v>0</v>
      </c>
      <c r="D4" s="20" t="n">
        <f aca="false">SUM(IF(OR('第 1 天'!D$5="油錢"),'第 1 天'!D54,0),IF(OR('第 1 天'!F$5="油錢"),'第 1 天'!F54,0),IF(OR('第 1 天'!H$5="油錢"),'第 1 天'!H54,0),IF(OR('第 1 天'!J$5="油錢"),'第 1 天'!J54,0),IF(OR('第 1 天'!L$5="油錢"),'第 1 天'!L54,0),IF(OR('第 1 天'!N$5="油錢"),'第 1 天'!N54,0),IF(OR('第 1 天'!P$5="油錢"),'第 1 天'!P54,0))</f>
        <v>0</v>
      </c>
      <c r="E4" s="20" t="n">
        <f aca="false">SUM(IF(OR('第 1 天'!D$5="租車費"),'第 1 天'!D54,0),IF(OR('第 1 天'!F$5="租車費"),'第 1 天'!F54,0),IF(OR('第 1 天'!H$5="租車費"),'第 1 天'!H54,0),IF(OR('第 1 天'!J$5="租車費"),'第 1 天'!J54,0),IF(OR('第 1 天'!L$5="租車費"),'第 1 天'!L54,0),IF(OR('第 1 天'!N$5="租車費"),'第 1 天'!N54,0),IF(OR('第 1 天'!P$5="租車費"),'第 1 天'!P54,0))</f>
        <v>0</v>
      </c>
      <c r="F4" s="20" t="n">
        <f aca="false">SUM(IF(OR('第 1 天'!D$5="停車費",'第 1 天'!D$5="其他"),'第 1 天'!D54,0),IF(OR('第 1 天'!F$5="停車費",'第 1 天'!F$5="其他"),'第 1 天'!F54,0),IF(OR('第 1 天'!H$5="停車費",'第 1 天'!H$5="其他"),'第 1 天'!H54,0),IF(OR('第 1 天'!J$5="停車費",'第 1 天'!J$5="其他"),'第 1 天'!J54,0),IF(OR('第 1 天'!L$5="停車費",'第 1 天'!L$5="其他"),'第 1 天'!L54,0),IF(OR('第 1 天'!N$5="停車費",'第 1 天'!N$5="其他"),'第 1 天'!N54,0),IF(OR('第 1 天'!P$5="停車費",'第 1 天'!P$5="其他"),'第 1 天'!P54,0))</f>
        <v>0</v>
      </c>
      <c r="G4" s="20" t="n">
        <f aca="false">SUM(C4:F4)</f>
        <v>0</v>
      </c>
      <c r="H4" s="20" t="n">
        <f aca="false">IF(LEN(TRIM(成員名單!$B7))=0,0,SUM(IF('第 1 天'!D$7=$B4,'第 1 天'!D46,0),IF('第 1 天'!F$7=$B4,'第 1 天'!F46,0),IF('第 1 天'!H$7=$B4,'第 1 天'!H46,0),IF('第 1 天'!J$7=$B4,'第 1 天'!J46,0),IF('第 1 天'!L$7=$B4,'第 1 天'!L46,0),IF('第 1 天'!N$7=$B4,'第 1 天'!N46,0),IF('第 1 天'!P$7=$B4,'第 1 天'!P46,0)))</f>
        <v>0</v>
      </c>
    </row>
    <row r="5" customFormat="false" ht="48.5" hidden="false" customHeight="false" outlineLevel="0" collapsed="false">
      <c r="A5" s="1" t="s">
        <v>58</v>
      </c>
      <c r="B5" s="1" t="s">
        <v>21</v>
      </c>
      <c r="C5" s="20" t="n">
        <f aca="false">SUM(IF(OR('第 1 天'!D$5="早餐",'第 1 天'!D$5="午餐",'第 1 天'!D$5="晚餐"),'第 1 天'!D55,0),IF(OR('第 1 天'!F$5="早餐",'第 1 天'!F$5="午餐",'第 1 天'!F$5="晚餐"),'第 1 天'!F55,0),IF(OR('第 1 天'!H$5="早餐",'第 1 天'!H$5="午餐",'第 1 天'!H$5="晚餐"),'第 1 天'!H55,0),IF(OR('第 1 天'!J$5="早餐",'第 1 天'!J$5="午餐",'第 1 天'!J$5="晚餐"),'第 1 天'!J55,0),IF(OR('第 1 天'!L$5="早餐",'第 1 天'!L$5="午餐",'第 1 天'!L$5="晚餐"),'第 1 天'!L55,0),IF(OR('第 1 天'!N$5="早餐",'第 1 天'!N$5="午餐",'第 1 天'!N$5="晚餐"),'第 1 天'!N55,0),IF(OR('第 1 天'!P$5="早餐",'第 1 天'!P$5="午餐",'第 1 天'!P$5="晚餐"),'第 1 天'!P55,0))</f>
        <v>0</v>
      </c>
      <c r="D5" s="20" t="n">
        <f aca="false">SUM(IF(OR('第 1 天'!D$5="油錢"),'第 1 天'!D55,0),IF(OR('第 1 天'!F$5="油錢"),'第 1 天'!F55,0),IF(OR('第 1 天'!H$5="油錢"),'第 1 天'!H55,0),IF(OR('第 1 天'!J$5="油錢"),'第 1 天'!J55,0),IF(OR('第 1 天'!L$5="油錢"),'第 1 天'!L55,0),IF(OR('第 1 天'!N$5="油錢"),'第 1 天'!N55,0),IF(OR('第 1 天'!P$5="油錢"),'第 1 天'!P55,0))</f>
        <v>0</v>
      </c>
      <c r="E5" s="20" t="n">
        <f aca="false">SUM(IF(OR('第 1 天'!D$5="租車費"),'第 1 天'!D55,0),IF(OR('第 1 天'!F$5="租車費"),'第 1 天'!F55,0),IF(OR('第 1 天'!H$5="租車費"),'第 1 天'!H55,0),IF(OR('第 1 天'!J$5="租車費"),'第 1 天'!J55,0),IF(OR('第 1 天'!L$5="租車費"),'第 1 天'!L55,0),IF(OR('第 1 天'!N$5="租車費"),'第 1 天'!N55,0),IF(OR('第 1 天'!P$5="租車費"),'第 1 天'!P55,0))</f>
        <v>0</v>
      </c>
      <c r="F5" s="20" t="n">
        <f aca="false">SUM(IF(OR('第 1 天'!D$5="停車費",'第 1 天'!D$5="其他"),'第 1 天'!D55,0),IF(OR('第 1 天'!F$5="停車費",'第 1 天'!F$5="其他"),'第 1 天'!F55,0),IF(OR('第 1 天'!H$5="停車費",'第 1 天'!H$5="其他"),'第 1 天'!H55,0),IF(OR('第 1 天'!J$5="停車費",'第 1 天'!J$5="其他"),'第 1 天'!J55,0),IF(OR('第 1 天'!L$5="停車費",'第 1 天'!L$5="其他"),'第 1 天'!L55,0),IF(OR('第 1 天'!N$5="停車費",'第 1 天'!N$5="其他"),'第 1 天'!N55,0),IF(OR('第 1 天'!P$5="停車費",'第 1 天'!P$5="其他"),'第 1 天'!P55,0))</f>
        <v>0</v>
      </c>
      <c r="G5" s="20" t="n">
        <f aca="false">SUM(C5:F5)</f>
        <v>0</v>
      </c>
      <c r="H5" s="20" t="n">
        <f aca="false">IF(LEN(TRIM(成員名單!$B8))=0,0,SUM(IF('第 1 天'!D$7=$B5,'第 1 天'!D46,0),IF('第 1 天'!F$7=$B5,'第 1 天'!F46,0),IF('第 1 天'!H$7=$B5,'第 1 天'!H46,0),IF('第 1 天'!J$7=$B5,'第 1 天'!J46,0),IF('第 1 天'!L$7=$B5,'第 1 天'!L46,0),IF('第 1 天'!N$7=$B5,'第 1 天'!N46,0),IF('第 1 天'!P$7=$B5,'第 1 天'!P46,0)))</f>
        <v>0</v>
      </c>
    </row>
    <row r="6" customFormat="false" ht="48.5" hidden="false" customHeight="false" outlineLevel="0" collapsed="false">
      <c r="A6" s="1" t="s">
        <v>58</v>
      </c>
      <c r="B6" s="1" t="s">
        <v>22</v>
      </c>
      <c r="C6" s="20" t="n">
        <f aca="false">SUM(IF(OR('第 1 天'!D$5="早餐",'第 1 天'!D$5="午餐",'第 1 天'!D$5="晚餐"),'第 1 天'!D56,0),IF(OR('第 1 天'!F$5="早餐",'第 1 天'!F$5="午餐",'第 1 天'!F$5="晚餐"),'第 1 天'!F56,0),IF(OR('第 1 天'!H$5="早餐",'第 1 天'!H$5="午餐",'第 1 天'!H$5="晚餐"),'第 1 天'!H56,0),IF(OR('第 1 天'!J$5="早餐",'第 1 天'!J$5="午餐",'第 1 天'!J$5="晚餐"),'第 1 天'!J56,0),IF(OR('第 1 天'!L$5="早餐",'第 1 天'!L$5="午餐",'第 1 天'!L$5="晚餐"),'第 1 天'!L56,0),IF(OR('第 1 天'!N$5="早餐",'第 1 天'!N$5="午餐",'第 1 天'!N$5="晚餐"),'第 1 天'!N56,0),IF(OR('第 1 天'!P$5="早餐",'第 1 天'!P$5="午餐",'第 1 天'!P$5="晚餐"),'第 1 天'!P56,0))</f>
        <v>0</v>
      </c>
      <c r="D6" s="20" t="n">
        <f aca="false">SUM(IF(OR('第 1 天'!D$5="油錢"),'第 1 天'!D56,0),IF(OR('第 1 天'!F$5="油錢"),'第 1 天'!F56,0),IF(OR('第 1 天'!H$5="油錢"),'第 1 天'!H56,0),IF(OR('第 1 天'!J$5="油錢"),'第 1 天'!J56,0),IF(OR('第 1 天'!L$5="油錢"),'第 1 天'!L56,0),IF(OR('第 1 天'!N$5="油錢"),'第 1 天'!N56,0),IF(OR('第 1 天'!P$5="油錢"),'第 1 天'!P56,0))</f>
        <v>0</v>
      </c>
      <c r="E6" s="20" t="n">
        <f aca="false">SUM(IF(OR('第 1 天'!D$5="租車費"),'第 1 天'!D56,0),IF(OR('第 1 天'!F$5="租車費"),'第 1 天'!F56,0),IF(OR('第 1 天'!H$5="租車費"),'第 1 天'!H56,0),IF(OR('第 1 天'!J$5="租車費"),'第 1 天'!J56,0),IF(OR('第 1 天'!L$5="租車費"),'第 1 天'!L56,0),IF(OR('第 1 天'!N$5="租車費"),'第 1 天'!N56,0),IF(OR('第 1 天'!P$5="租車費"),'第 1 天'!P56,0))</f>
        <v>0</v>
      </c>
      <c r="F6" s="20" t="n">
        <f aca="false">SUM(IF(OR('第 1 天'!D$5="停車費",'第 1 天'!D$5="其他"),'第 1 天'!D56,0),IF(OR('第 1 天'!F$5="停車費",'第 1 天'!F$5="其他"),'第 1 天'!F56,0),IF(OR('第 1 天'!H$5="停車費",'第 1 天'!H$5="其他"),'第 1 天'!H56,0),IF(OR('第 1 天'!J$5="停車費",'第 1 天'!J$5="其他"),'第 1 天'!J56,0),IF(OR('第 1 天'!L$5="停車費",'第 1 天'!L$5="其他"),'第 1 天'!L56,0),IF(OR('第 1 天'!N$5="停車費",'第 1 天'!N$5="其他"),'第 1 天'!N56,0),IF(OR('第 1 天'!P$5="停車費",'第 1 天'!P$5="其他"),'第 1 天'!P56,0))</f>
        <v>0</v>
      </c>
      <c r="G6" s="20" t="n">
        <f aca="false">SUM(C6:F6)</f>
        <v>0</v>
      </c>
      <c r="H6" s="20" t="n">
        <f aca="false">IF(LEN(TRIM(成員名單!$B9))=0,0,SUM(IF('第 1 天'!D$7=$B6,'第 1 天'!D46,0),IF('第 1 天'!F$7=$B6,'第 1 天'!F46,0),IF('第 1 天'!H$7=$B6,'第 1 天'!H46,0),IF('第 1 天'!J$7=$B6,'第 1 天'!J46,0),IF('第 1 天'!L$7=$B6,'第 1 天'!L46,0),IF('第 1 天'!N$7=$B6,'第 1 天'!N46,0),IF('第 1 天'!P$7=$B6,'第 1 天'!P46,0)))</f>
        <v>0</v>
      </c>
    </row>
    <row r="7" customFormat="false" ht="48.5" hidden="false" customHeight="false" outlineLevel="0" collapsed="false">
      <c r="A7" s="1" t="s">
        <v>58</v>
      </c>
      <c r="B7" s="1" t="s">
        <v>23</v>
      </c>
      <c r="C7" s="20" t="n">
        <f aca="false">SUM(IF(OR('第 1 天'!D$5="早餐",'第 1 天'!D$5="午餐",'第 1 天'!D$5="晚餐"),'第 1 天'!D57,0),IF(OR('第 1 天'!F$5="早餐",'第 1 天'!F$5="午餐",'第 1 天'!F$5="晚餐"),'第 1 天'!F57,0),IF(OR('第 1 天'!H$5="早餐",'第 1 天'!H$5="午餐",'第 1 天'!H$5="晚餐"),'第 1 天'!H57,0),IF(OR('第 1 天'!J$5="早餐",'第 1 天'!J$5="午餐",'第 1 天'!J$5="晚餐"),'第 1 天'!J57,0),IF(OR('第 1 天'!L$5="早餐",'第 1 天'!L$5="午餐",'第 1 天'!L$5="晚餐"),'第 1 天'!L57,0),IF(OR('第 1 天'!N$5="早餐",'第 1 天'!N$5="午餐",'第 1 天'!N$5="晚餐"),'第 1 天'!N57,0),IF(OR('第 1 天'!P$5="早餐",'第 1 天'!P$5="午餐",'第 1 天'!P$5="晚餐"),'第 1 天'!P57,0))</f>
        <v>0</v>
      </c>
      <c r="D7" s="20" t="n">
        <f aca="false">SUM(IF(OR('第 1 天'!D$5="油錢"),'第 1 天'!D57,0),IF(OR('第 1 天'!F$5="油錢"),'第 1 天'!F57,0),IF(OR('第 1 天'!H$5="油錢"),'第 1 天'!H57,0),IF(OR('第 1 天'!J$5="油錢"),'第 1 天'!J57,0),IF(OR('第 1 天'!L$5="油錢"),'第 1 天'!L57,0),IF(OR('第 1 天'!N$5="油錢"),'第 1 天'!N57,0),IF(OR('第 1 天'!P$5="油錢"),'第 1 天'!P57,0))</f>
        <v>0</v>
      </c>
      <c r="E7" s="20" t="n">
        <f aca="false">SUM(IF(OR('第 1 天'!D$5="租車費"),'第 1 天'!D57,0),IF(OR('第 1 天'!F$5="租車費"),'第 1 天'!F57,0),IF(OR('第 1 天'!H$5="租車費"),'第 1 天'!H57,0),IF(OR('第 1 天'!J$5="租車費"),'第 1 天'!J57,0),IF(OR('第 1 天'!L$5="租車費"),'第 1 天'!L57,0),IF(OR('第 1 天'!N$5="租車費"),'第 1 天'!N57,0),IF(OR('第 1 天'!P$5="租車費"),'第 1 天'!P57,0))</f>
        <v>0</v>
      </c>
      <c r="F7" s="20" t="n">
        <f aca="false">SUM(IF(OR('第 1 天'!D$5="停車費",'第 1 天'!D$5="其他"),'第 1 天'!D57,0),IF(OR('第 1 天'!F$5="停車費",'第 1 天'!F$5="其他"),'第 1 天'!F57,0),IF(OR('第 1 天'!H$5="停車費",'第 1 天'!H$5="其他"),'第 1 天'!H57,0),IF(OR('第 1 天'!J$5="停車費",'第 1 天'!J$5="其他"),'第 1 天'!J57,0),IF(OR('第 1 天'!L$5="停車費",'第 1 天'!L$5="其他"),'第 1 天'!L57,0),IF(OR('第 1 天'!N$5="停車費",'第 1 天'!N$5="其他"),'第 1 天'!N57,0),IF(OR('第 1 天'!P$5="停車費",'第 1 天'!P$5="其他"),'第 1 天'!P57,0))</f>
        <v>0</v>
      </c>
      <c r="G7" s="20" t="n">
        <f aca="false">SUM(C7:F7)</f>
        <v>0</v>
      </c>
      <c r="H7" s="20" t="n">
        <f aca="false">IF(LEN(TRIM(成員名單!$B10))=0,0,SUM(IF('第 1 天'!D$7=$B7,'第 1 天'!D46,0),IF('第 1 天'!F$7=$B7,'第 1 天'!F46,0),IF('第 1 天'!H$7=$B7,'第 1 天'!H46,0),IF('第 1 天'!J$7=$B7,'第 1 天'!J46,0),IF('第 1 天'!L$7=$B7,'第 1 天'!L46,0),IF('第 1 天'!N$7=$B7,'第 1 天'!N46,0),IF('第 1 天'!P$7=$B7,'第 1 天'!P46,0)))</f>
        <v>0</v>
      </c>
    </row>
    <row r="8" customFormat="false" ht="48.5" hidden="false" customHeight="false" outlineLevel="0" collapsed="false">
      <c r="A8" s="1" t="s">
        <v>58</v>
      </c>
      <c r="B8" s="1" t="s">
        <v>24</v>
      </c>
      <c r="C8" s="20" t="n">
        <f aca="false">SUM(IF(OR('第 1 天'!D$5="早餐",'第 1 天'!D$5="午餐",'第 1 天'!D$5="晚餐"),'第 1 天'!D58,0),IF(OR('第 1 天'!F$5="早餐",'第 1 天'!F$5="午餐",'第 1 天'!F$5="晚餐"),'第 1 天'!F58,0),IF(OR('第 1 天'!H$5="早餐",'第 1 天'!H$5="午餐",'第 1 天'!H$5="晚餐"),'第 1 天'!H58,0),IF(OR('第 1 天'!J$5="早餐",'第 1 天'!J$5="午餐",'第 1 天'!J$5="晚餐"),'第 1 天'!J58,0),IF(OR('第 1 天'!L$5="早餐",'第 1 天'!L$5="午餐",'第 1 天'!L$5="晚餐"),'第 1 天'!L58,0),IF(OR('第 1 天'!N$5="早餐",'第 1 天'!N$5="午餐",'第 1 天'!N$5="晚餐"),'第 1 天'!N58,0),IF(OR('第 1 天'!P$5="早餐",'第 1 天'!P$5="午餐",'第 1 天'!P$5="晚餐"),'第 1 天'!P58,0))</f>
        <v>0</v>
      </c>
      <c r="D8" s="20" t="n">
        <f aca="false">SUM(IF(OR('第 1 天'!D$5="油錢"),'第 1 天'!D58,0),IF(OR('第 1 天'!F$5="油錢"),'第 1 天'!F58,0),IF(OR('第 1 天'!H$5="油錢"),'第 1 天'!H58,0),IF(OR('第 1 天'!J$5="油錢"),'第 1 天'!J58,0),IF(OR('第 1 天'!L$5="油錢"),'第 1 天'!L58,0),IF(OR('第 1 天'!N$5="油錢"),'第 1 天'!N58,0),IF(OR('第 1 天'!P$5="油錢"),'第 1 天'!P58,0))</f>
        <v>0</v>
      </c>
      <c r="E8" s="20" t="n">
        <f aca="false">SUM(IF(OR('第 1 天'!D$5="租車費"),'第 1 天'!D58,0),IF(OR('第 1 天'!F$5="租車費"),'第 1 天'!F58,0),IF(OR('第 1 天'!H$5="租車費"),'第 1 天'!H58,0),IF(OR('第 1 天'!J$5="租車費"),'第 1 天'!J58,0),IF(OR('第 1 天'!L$5="租車費"),'第 1 天'!L58,0),IF(OR('第 1 天'!N$5="租車費"),'第 1 天'!N58,0),IF(OR('第 1 天'!P$5="租車費"),'第 1 天'!P58,0))</f>
        <v>0</v>
      </c>
      <c r="F8" s="20" t="n">
        <f aca="false">SUM(IF(OR('第 1 天'!D$5="停車費",'第 1 天'!D$5="其他"),'第 1 天'!D58,0),IF(OR('第 1 天'!F$5="停車費",'第 1 天'!F$5="其他"),'第 1 天'!F58,0),IF(OR('第 1 天'!H$5="停車費",'第 1 天'!H$5="其他"),'第 1 天'!H58,0),IF(OR('第 1 天'!J$5="停車費",'第 1 天'!J$5="其他"),'第 1 天'!J58,0),IF(OR('第 1 天'!L$5="停車費",'第 1 天'!L$5="其他"),'第 1 天'!L58,0),IF(OR('第 1 天'!N$5="停車費",'第 1 天'!N$5="其他"),'第 1 天'!N58,0),IF(OR('第 1 天'!P$5="停車費",'第 1 天'!P$5="其他"),'第 1 天'!P58,0))</f>
        <v>0</v>
      </c>
      <c r="G8" s="20" t="n">
        <f aca="false">SUM(C8:F8)</f>
        <v>0</v>
      </c>
      <c r="H8" s="20" t="n">
        <f aca="false">IF(LEN(TRIM(成員名單!$B11))=0,0,SUM(IF('第 1 天'!D$7=$B8,'第 1 天'!D46,0),IF('第 1 天'!F$7=$B8,'第 1 天'!F46,0),IF('第 1 天'!H$7=$B8,'第 1 天'!H46,0),IF('第 1 天'!J$7=$B8,'第 1 天'!J46,0),IF('第 1 天'!L$7=$B8,'第 1 天'!L46,0),IF('第 1 天'!N$7=$B8,'第 1 天'!N46,0),IF('第 1 天'!P$7=$B8,'第 1 天'!P46,0)))</f>
        <v>0</v>
      </c>
    </row>
    <row r="9" customFormat="false" ht="48.5" hidden="false" customHeight="false" outlineLevel="0" collapsed="false">
      <c r="A9" s="1" t="s">
        <v>58</v>
      </c>
      <c r="B9" s="1" t="s">
        <v>25</v>
      </c>
      <c r="C9" s="20" t="n">
        <f aca="false">SUM(IF(OR('第 1 天'!D$5="早餐",'第 1 天'!D$5="午餐",'第 1 天'!D$5="晚餐"),'第 1 天'!D59,0),IF(OR('第 1 天'!F$5="早餐",'第 1 天'!F$5="午餐",'第 1 天'!F$5="晚餐"),'第 1 天'!F59,0),IF(OR('第 1 天'!H$5="早餐",'第 1 天'!H$5="午餐",'第 1 天'!H$5="晚餐"),'第 1 天'!H59,0),IF(OR('第 1 天'!J$5="早餐",'第 1 天'!J$5="午餐",'第 1 天'!J$5="晚餐"),'第 1 天'!J59,0),IF(OR('第 1 天'!L$5="早餐",'第 1 天'!L$5="午餐",'第 1 天'!L$5="晚餐"),'第 1 天'!L59,0),IF(OR('第 1 天'!N$5="早餐",'第 1 天'!N$5="午餐",'第 1 天'!N$5="晚餐"),'第 1 天'!N59,0),IF(OR('第 1 天'!P$5="早餐",'第 1 天'!P$5="午餐",'第 1 天'!P$5="晚餐"),'第 1 天'!P59,0))</f>
        <v>0</v>
      </c>
      <c r="D9" s="20" t="n">
        <f aca="false">SUM(IF(OR('第 1 天'!D$5="油錢"),'第 1 天'!D59,0),IF(OR('第 1 天'!F$5="油錢"),'第 1 天'!F59,0),IF(OR('第 1 天'!H$5="油錢"),'第 1 天'!H59,0),IF(OR('第 1 天'!J$5="油錢"),'第 1 天'!J59,0),IF(OR('第 1 天'!L$5="油錢"),'第 1 天'!L59,0),IF(OR('第 1 天'!N$5="油錢"),'第 1 天'!N59,0),IF(OR('第 1 天'!P$5="油錢"),'第 1 天'!P59,0))</f>
        <v>0</v>
      </c>
      <c r="E9" s="20" t="n">
        <f aca="false">SUM(IF(OR('第 1 天'!D$5="租車費"),'第 1 天'!D59,0),IF(OR('第 1 天'!F$5="租車費"),'第 1 天'!F59,0),IF(OR('第 1 天'!H$5="租車費"),'第 1 天'!H59,0),IF(OR('第 1 天'!J$5="租車費"),'第 1 天'!J59,0),IF(OR('第 1 天'!L$5="租車費"),'第 1 天'!L59,0),IF(OR('第 1 天'!N$5="租車費"),'第 1 天'!N59,0),IF(OR('第 1 天'!P$5="租車費"),'第 1 天'!P59,0))</f>
        <v>0</v>
      </c>
      <c r="F9" s="20" t="n">
        <f aca="false">SUM(IF(OR('第 1 天'!D$5="停車費",'第 1 天'!D$5="其他"),'第 1 天'!D59,0),IF(OR('第 1 天'!F$5="停車費",'第 1 天'!F$5="其他"),'第 1 天'!F59,0),IF(OR('第 1 天'!H$5="停車費",'第 1 天'!H$5="其他"),'第 1 天'!H59,0),IF(OR('第 1 天'!J$5="停車費",'第 1 天'!J$5="其他"),'第 1 天'!J59,0),IF(OR('第 1 天'!L$5="停車費",'第 1 天'!L$5="其他"),'第 1 天'!L59,0),IF(OR('第 1 天'!N$5="停車費",'第 1 天'!N$5="其他"),'第 1 天'!N59,0),IF(OR('第 1 天'!P$5="停車費",'第 1 天'!P$5="其他"),'第 1 天'!P59,0))</f>
        <v>0</v>
      </c>
      <c r="G9" s="20" t="n">
        <f aca="false">SUM(C9:F9)</f>
        <v>0</v>
      </c>
      <c r="H9" s="20" t="n">
        <f aca="false">IF(LEN(TRIM(成員名單!$B12))=0,0,SUM(IF('第 1 天'!D$7=$B9,'第 1 天'!D46,0),IF('第 1 天'!F$7=$B9,'第 1 天'!F46,0),IF('第 1 天'!H$7=$B9,'第 1 天'!H46,0),IF('第 1 天'!J$7=$B9,'第 1 天'!J46,0),IF('第 1 天'!L$7=$B9,'第 1 天'!L46,0),IF('第 1 天'!N$7=$B9,'第 1 天'!N46,0),IF('第 1 天'!P$7=$B9,'第 1 天'!P46,0)))</f>
        <v>0</v>
      </c>
    </row>
    <row r="10" customFormat="false" ht="48.5" hidden="false" customHeight="false" outlineLevel="0" collapsed="false">
      <c r="A10" s="1" t="s">
        <v>58</v>
      </c>
      <c r="B10" s="1" t="s">
        <v>26</v>
      </c>
      <c r="C10" s="20" t="n">
        <f aca="false">SUM(IF(OR('第 1 天'!D$5="早餐",'第 1 天'!D$5="午餐",'第 1 天'!D$5="晚餐"),'第 1 天'!D60,0),IF(OR('第 1 天'!F$5="早餐",'第 1 天'!F$5="午餐",'第 1 天'!F$5="晚餐"),'第 1 天'!F60,0),IF(OR('第 1 天'!H$5="早餐",'第 1 天'!H$5="午餐",'第 1 天'!H$5="晚餐"),'第 1 天'!H60,0),IF(OR('第 1 天'!J$5="早餐",'第 1 天'!J$5="午餐",'第 1 天'!J$5="晚餐"),'第 1 天'!J60,0),IF(OR('第 1 天'!L$5="早餐",'第 1 天'!L$5="午餐",'第 1 天'!L$5="晚餐"),'第 1 天'!L60,0),IF(OR('第 1 天'!N$5="早餐",'第 1 天'!N$5="午餐",'第 1 天'!N$5="晚餐"),'第 1 天'!N60,0),IF(OR('第 1 天'!P$5="早餐",'第 1 天'!P$5="午餐",'第 1 天'!P$5="晚餐"),'第 1 天'!P60,0))</f>
        <v>0</v>
      </c>
      <c r="D10" s="20" t="n">
        <f aca="false">SUM(IF(OR('第 1 天'!D$5="油錢"),'第 1 天'!D60,0),IF(OR('第 1 天'!F$5="油錢"),'第 1 天'!F60,0),IF(OR('第 1 天'!H$5="油錢"),'第 1 天'!H60,0),IF(OR('第 1 天'!J$5="油錢"),'第 1 天'!J60,0),IF(OR('第 1 天'!L$5="油錢"),'第 1 天'!L60,0),IF(OR('第 1 天'!N$5="油錢"),'第 1 天'!N60,0),IF(OR('第 1 天'!P$5="油錢"),'第 1 天'!P60,0))</f>
        <v>0</v>
      </c>
      <c r="E10" s="20" t="n">
        <f aca="false">SUM(IF(OR('第 1 天'!D$5="租車費"),'第 1 天'!D60,0),IF(OR('第 1 天'!F$5="租車費"),'第 1 天'!F60,0),IF(OR('第 1 天'!H$5="租車費"),'第 1 天'!H60,0),IF(OR('第 1 天'!J$5="租車費"),'第 1 天'!J60,0),IF(OR('第 1 天'!L$5="租車費"),'第 1 天'!L60,0),IF(OR('第 1 天'!N$5="租車費"),'第 1 天'!N60,0),IF(OR('第 1 天'!P$5="租車費"),'第 1 天'!P60,0))</f>
        <v>0</v>
      </c>
      <c r="F10" s="20" t="n">
        <f aca="false">SUM(IF(OR('第 1 天'!D$5="停車費",'第 1 天'!D$5="其他"),'第 1 天'!D60,0),IF(OR('第 1 天'!F$5="停車費",'第 1 天'!F$5="其他"),'第 1 天'!F60,0),IF(OR('第 1 天'!H$5="停車費",'第 1 天'!H$5="其他"),'第 1 天'!H60,0),IF(OR('第 1 天'!J$5="停車費",'第 1 天'!J$5="其他"),'第 1 天'!J60,0),IF(OR('第 1 天'!L$5="停車費",'第 1 天'!L$5="其他"),'第 1 天'!L60,0),IF(OR('第 1 天'!N$5="停車費",'第 1 天'!N$5="其他"),'第 1 天'!N60,0),IF(OR('第 1 天'!P$5="停車費",'第 1 天'!P$5="其他"),'第 1 天'!P60,0))</f>
        <v>0</v>
      </c>
      <c r="G10" s="20" t="n">
        <f aca="false">SUM(C10:F10)</f>
        <v>0</v>
      </c>
      <c r="H10" s="20" t="n">
        <f aca="false">IF(LEN(TRIM(成員名單!$B13))=0,0,SUM(IF('第 1 天'!D$7=$B10,'第 1 天'!D46,0),IF('第 1 天'!F$7=$B10,'第 1 天'!F46,0),IF('第 1 天'!H$7=$B10,'第 1 天'!H46,0),IF('第 1 天'!J$7=$B10,'第 1 天'!J46,0),IF('第 1 天'!L$7=$B10,'第 1 天'!L46,0),IF('第 1 天'!N$7=$B10,'第 1 天'!N46,0),IF('第 1 天'!P$7=$B10,'第 1 天'!P46,0)))</f>
        <v>0</v>
      </c>
    </row>
    <row r="11" customFormat="false" ht="48.5" hidden="false" customHeight="false" outlineLevel="0" collapsed="false">
      <c r="A11" s="1" t="s">
        <v>58</v>
      </c>
      <c r="B11" s="1" t="s">
        <v>27</v>
      </c>
      <c r="C11" s="20" t="n">
        <f aca="false">SUM(IF(OR('第 1 天'!D$5="早餐",'第 1 天'!D$5="午餐",'第 1 天'!D$5="晚餐"),'第 1 天'!D61,0),IF(OR('第 1 天'!F$5="早餐",'第 1 天'!F$5="午餐",'第 1 天'!F$5="晚餐"),'第 1 天'!F61,0),IF(OR('第 1 天'!H$5="早餐",'第 1 天'!H$5="午餐",'第 1 天'!H$5="晚餐"),'第 1 天'!H61,0),IF(OR('第 1 天'!J$5="早餐",'第 1 天'!J$5="午餐",'第 1 天'!J$5="晚餐"),'第 1 天'!J61,0),IF(OR('第 1 天'!L$5="早餐",'第 1 天'!L$5="午餐",'第 1 天'!L$5="晚餐"),'第 1 天'!L61,0),IF(OR('第 1 天'!N$5="早餐",'第 1 天'!N$5="午餐",'第 1 天'!N$5="晚餐"),'第 1 天'!N61,0),IF(OR('第 1 天'!P$5="早餐",'第 1 天'!P$5="午餐",'第 1 天'!P$5="晚餐"),'第 1 天'!P61,0))</f>
        <v>0</v>
      </c>
      <c r="D11" s="20" t="n">
        <f aca="false">SUM(IF(OR('第 1 天'!D$5="油錢"),'第 1 天'!D61,0),IF(OR('第 1 天'!F$5="油錢"),'第 1 天'!F61,0),IF(OR('第 1 天'!H$5="油錢"),'第 1 天'!H61,0),IF(OR('第 1 天'!J$5="油錢"),'第 1 天'!J61,0),IF(OR('第 1 天'!L$5="油錢"),'第 1 天'!L61,0),IF(OR('第 1 天'!N$5="油錢"),'第 1 天'!N61,0),IF(OR('第 1 天'!P$5="油錢"),'第 1 天'!P61,0))</f>
        <v>0</v>
      </c>
      <c r="E11" s="20" t="n">
        <f aca="false">SUM(IF(OR('第 1 天'!D$5="租車費"),'第 1 天'!D61,0),IF(OR('第 1 天'!F$5="租車費"),'第 1 天'!F61,0),IF(OR('第 1 天'!H$5="租車費"),'第 1 天'!H61,0),IF(OR('第 1 天'!J$5="租車費"),'第 1 天'!J61,0),IF(OR('第 1 天'!L$5="租車費"),'第 1 天'!L61,0),IF(OR('第 1 天'!N$5="租車費"),'第 1 天'!N61,0),IF(OR('第 1 天'!P$5="租車費"),'第 1 天'!P61,0))</f>
        <v>0</v>
      </c>
      <c r="F11" s="20" t="n">
        <f aca="false">SUM(IF(OR('第 1 天'!D$5="停車費",'第 1 天'!D$5="其他"),'第 1 天'!D61,0),IF(OR('第 1 天'!F$5="停車費",'第 1 天'!F$5="其他"),'第 1 天'!F61,0),IF(OR('第 1 天'!H$5="停車費",'第 1 天'!H$5="其他"),'第 1 天'!H61,0),IF(OR('第 1 天'!J$5="停車費",'第 1 天'!J$5="其他"),'第 1 天'!J61,0),IF(OR('第 1 天'!L$5="停車費",'第 1 天'!L$5="其他"),'第 1 天'!L61,0),IF(OR('第 1 天'!N$5="停車費",'第 1 天'!N$5="其他"),'第 1 天'!N61,0),IF(OR('第 1 天'!P$5="停車費",'第 1 天'!P$5="其他"),'第 1 天'!P61,0))</f>
        <v>0</v>
      </c>
      <c r="G11" s="20" t="n">
        <f aca="false">SUM(C11:F11)</f>
        <v>0</v>
      </c>
      <c r="H11" s="20" t="n">
        <f aca="false">IF(LEN(TRIM(成員名單!$B14))=0,0,SUM(IF('第 1 天'!D$7=$B11,'第 1 天'!D46,0),IF('第 1 天'!F$7=$B11,'第 1 天'!F46,0),IF('第 1 天'!H$7=$B11,'第 1 天'!H46,0),IF('第 1 天'!J$7=$B11,'第 1 天'!J46,0),IF('第 1 天'!L$7=$B11,'第 1 天'!L46,0),IF('第 1 天'!N$7=$B11,'第 1 天'!N46,0),IF('第 1 天'!P$7=$B11,'第 1 天'!P46,0)))</f>
        <v>0</v>
      </c>
    </row>
    <row r="12" customFormat="false" ht="15" hidden="false" customHeight="false" outlineLevel="0" collapsed="false">
      <c r="A12" s="13" t="s">
        <v>58</v>
      </c>
      <c r="B12" s="13" t="s">
        <v>28</v>
      </c>
      <c r="C12" s="14" t="n">
        <f aca="false">SUM(IF(OR('第 1 天'!D$5="早餐",'第 1 天'!D$5="午餐",'第 1 天'!D$5="晚餐"),'第 1 天'!D62,0),IF(OR('第 1 天'!F$5="早餐",'第 1 天'!F$5="午餐",'第 1 天'!F$5="晚餐"),'第 1 天'!F62,0),IF(OR('第 1 天'!H$5="早餐",'第 1 天'!H$5="午餐",'第 1 天'!H$5="晚餐"),'第 1 天'!H62,0),IF(OR('第 1 天'!J$5="早餐",'第 1 天'!J$5="午餐",'第 1 天'!J$5="晚餐"),'第 1 天'!J62,0),IF(OR('第 1 天'!L$5="早餐",'第 1 天'!L$5="午餐",'第 1 天'!L$5="晚餐"),'第 1 天'!L62,0),IF(OR('第 1 天'!N$5="早餐",'第 1 天'!N$5="午餐",'第 1 天'!N$5="晚餐"),'第 1 天'!N62,0),IF(OR('第 1 天'!P$5="早餐",'第 1 天'!P$5="午餐",'第 1 天'!P$5="晚餐"),'第 1 天'!P62,0))</f>
        <v>0</v>
      </c>
      <c r="D12" s="14" t="n">
        <f aca="false">SUM(IF(OR('第 1 天'!D$5="油錢"),'第 1 天'!D62,0),IF(OR('第 1 天'!F$5="油錢"),'第 1 天'!F62,0),IF(OR('第 1 天'!H$5="油錢"),'第 1 天'!H62,0),IF(OR('第 1 天'!J$5="油錢"),'第 1 天'!J62,0),IF(OR('第 1 天'!L$5="油錢"),'第 1 天'!L62,0),IF(OR('第 1 天'!N$5="油錢"),'第 1 天'!N62,0),IF(OR('第 1 天'!P$5="油錢"),'第 1 天'!P62,0))</f>
        <v>0</v>
      </c>
      <c r="E12" s="14" t="n">
        <f aca="false">SUM(IF(OR('第 1 天'!D$5="租車費"),'第 1 天'!D62,0),IF(OR('第 1 天'!F$5="租車費"),'第 1 天'!F62,0),IF(OR('第 1 天'!H$5="租車費"),'第 1 天'!H62,0),IF(OR('第 1 天'!J$5="租車費"),'第 1 天'!J62,0),IF(OR('第 1 天'!L$5="租車費"),'第 1 天'!L62,0),IF(OR('第 1 天'!N$5="租車費"),'第 1 天'!N62,0),IF(OR('第 1 天'!P$5="租車費"),'第 1 天'!P62,0))</f>
        <v>0</v>
      </c>
      <c r="F12" s="14" t="n">
        <f aca="false">SUM(IF(OR('第 1 天'!D$5="停車費",'第 1 天'!D$5="其他"),'第 1 天'!D62,0),IF(OR('第 1 天'!F$5="停車費",'第 1 天'!F$5="其他"),'第 1 天'!F62,0),IF(OR('第 1 天'!H$5="停車費",'第 1 天'!H$5="其他"),'第 1 天'!H62,0),IF(OR('第 1 天'!J$5="停車費",'第 1 天'!J$5="其他"),'第 1 天'!J62,0),IF(OR('第 1 天'!L$5="停車費",'第 1 天'!L$5="其他"),'第 1 天'!L62,0),IF(OR('第 1 天'!N$5="停車費",'第 1 天'!N$5="其他"),'第 1 天'!N62,0),IF(OR('第 1 天'!P$5="停車費",'第 1 天'!P$5="其他"),'第 1 天'!P62,0))</f>
        <v>0</v>
      </c>
      <c r="G12" s="14" t="n">
        <f aca="false">SUM(C12:F12)</f>
        <v>0</v>
      </c>
      <c r="H12" s="14" t="n">
        <f aca="false">IF(LEN(TRIM(成員名單!$B15))=0,0,SUM(IF('第 1 天'!D$7=$B12,'第 1 天'!D46,0),IF('第 1 天'!F$7=$B12,'第 1 天'!F46,0),IF('第 1 天'!H$7=$B12,'第 1 天'!H46,0),IF('第 1 天'!J$7=$B12,'第 1 天'!J46,0),IF('第 1 天'!L$7=$B12,'第 1 天'!L46,0),IF('第 1 天'!N$7=$B12,'第 1 天'!N46,0),IF('第 1 天'!P$7=$B12,'第 1 天'!P46,0)))</f>
        <v>0</v>
      </c>
    </row>
    <row r="13" customFormat="false" ht="15" hidden="false" customHeight="false" outlineLevel="0" collapsed="false">
      <c r="A13" s="13" t="s">
        <v>58</v>
      </c>
      <c r="B13" s="13" t="s">
        <v>29</v>
      </c>
      <c r="C13" s="14" t="n">
        <f aca="false">SUM(IF(OR('第 1 天'!D$5="早餐",'第 1 天'!D$5="午餐",'第 1 天'!D$5="晚餐"),'第 1 天'!D63,0),IF(OR('第 1 天'!F$5="早餐",'第 1 天'!F$5="午餐",'第 1 天'!F$5="晚餐"),'第 1 天'!F63,0),IF(OR('第 1 天'!H$5="早餐",'第 1 天'!H$5="午餐",'第 1 天'!H$5="晚餐"),'第 1 天'!H63,0),IF(OR('第 1 天'!J$5="早餐",'第 1 天'!J$5="午餐",'第 1 天'!J$5="晚餐"),'第 1 天'!J63,0),IF(OR('第 1 天'!L$5="早餐",'第 1 天'!L$5="午餐",'第 1 天'!L$5="晚餐"),'第 1 天'!L63,0),IF(OR('第 1 天'!N$5="早餐",'第 1 天'!N$5="午餐",'第 1 天'!N$5="晚餐"),'第 1 天'!N63,0),IF(OR('第 1 天'!P$5="早餐",'第 1 天'!P$5="午餐",'第 1 天'!P$5="晚餐"),'第 1 天'!P63,0))</f>
        <v>0</v>
      </c>
      <c r="D13" s="14" t="n">
        <f aca="false">SUM(IF(OR('第 1 天'!D$5="油錢"),'第 1 天'!D63,0),IF(OR('第 1 天'!F$5="油錢"),'第 1 天'!F63,0),IF(OR('第 1 天'!H$5="油錢"),'第 1 天'!H63,0),IF(OR('第 1 天'!J$5="油錢"),'第 1 天'!J63,0),IF(OR('第 1 天'!L$5="油錢"),'第 1 天'!L63,0),IF(OR('第 1 天'!N$5="油錢"),'第 1 天'!N63,0),IF(OR('第 1 天'!P$5="油錢"),'第 1 天'!P63,0))</f>
        <v>0</v>
      </c>
      <c r="E13" s="14" t="n">
        <f aca="false">SUM(IF(OR('第 1 天'!D$5="租車費"),'第 1 天'!D63,0),IF(OR('第 1 天'!F$5="租車費"),'第 1 天'!F63,0),IF(OR('第 1 天'!H$5="租車費"),'第 1 天'!H63,0),IF(OR('第 1 天'!J$5="租車費"),'第 1 天'!J63,0),IF(OR('第 1 天'!L$5="租車費"),'第 1 天'!L63,0),IF(OR('第 1 天'!N$5="租車費"),'第 1 天'!N63,0),IF(OR('第 1 天'!P$5="租車費"),'第 1 天'!P63,0))</f>
        <v>0</v>
      </c>
      <c r="F13" s="14" t="n">
        <f aca="false">SUM(IF(OR('第 1 天'!D$5="停車費",'第 1 天'!D$5="其他"),'第 1 天'!D63,0),IF(OR('第 1 天'!F$5="停車費",'第 1 天'!F$5="其他"),'第 1 天'!F63,0),IF(OR('第 1 天'!H$5="停車費",'第 1 天'!H$5="其他"),'第 1 天'!H63,0),IF(OR('第 1 天'!J$5="停車費",'第 1 天'!J$5="其他"),'第 1 天'!J63,0),IF(OR('第 1 天'!L$5="停車費",'第 1 天'!L$5="其他"),'第 1 天'!L63,0),IF(OR('第 1 天'!N$5="停車費",'第 1 天'!N$5="其他"),'第 1 天'!N63,0),IF(OR('第 1 天'!P$5="停車費",'第 1 天'!P$5="其他"),'第 1 天'!P63,0))</f>
        <v>0</v>
      </c>
      <c r="G13" s="14" t="n">
        <f aca="false">SUM(C13:F13)</f>
        <v>0</v>
      </c>
      <c r="H13" s="14" t="n">
        <f aca="false">IF(LEN(TRIM(成員名單!$B16))=0,0,SUM(IF('第 1 天'!D$7=$B13,'第 1 天'!D46,0),IF('第 1 天'!F$7=$B13,'第 1 天'!F46,0),IF('第 1 天'!H$7=$B13,'第 1 天'!H46,0),IF('第 1 天'!J$7=$B13,'第 1 天'!J46,0),IF('第 1 天'!L$7=$B13,'第 1 天'!L46,0),IF('第 1 天'!N$7=$B13,'第 1 天'!N46,0),IF('第 1 天'!P$7=$B13,'第 1 天'!P46,0)))</f>
        <v>0</v>
      </c>
    </row>
    <row r="14" customFormat="false" ht="15" hidden="false" customHeight="false" outlineLevel="0" collapsed="false">
      <c r="A14" s="13" t="s">
        <v>58</v>
      </c>
      <c r="B14" s="13" t="s">
        <v>30</v>
      </c>
      <c r="C14" s="14" t="n">
        <f aca="false">SUM(IF(OR('第 1 天'!D$5="早餐",'第 1 天'!D$5="午餐",'第 1 天'!D$5="晚餐"),'第 1 天'!D64,0),IF(OR('第 1 天'!F$5="早餐",'第 1 天'!F$5="午餐",'第 1 天'!F$5="晚餐"),'第 1 天'!F64,0),IF(OR('第 1 天'!H$5="早餐",'第 1 天'!H$5="午餐",'第 1 天'!H$5="晚餐"),'第 1 天'!H64,0),IF(OR('第 1 天'!J$5="早餐",'第 1 天'!J$5="午餐",'第 1 天'!J$5="晚餐"),'第 1 天'!J64,0),IF(OR('第 1 天'!L$5="早餐",'第 1 天'!L$5="午餐",'第 1 天'!L$5="晚餐"),'第 1 天'!L64,0),IF(OR('第 1 天'!N$5="早餐",'第 1 天'!N$5="午餐",'第 1 天'!N$5="晚餐"),'第 1 天'!N64,0),IF(OR('第 1 天'!P$5="早餐",'第 1 天'!P$5="午餐",'第 1 天'!P$5="晚餐"),'第 1 天'!P64,0))</f>
        <v>0</v>
      </c>
      <c r="D14" s="14" t="n">
        <f aca="false">SUM(IF(OR('第 1 天'!D$5="油錢"),'第 1 天'!D64,0),IF(OR('第 1 天'!F$5="油錢"),'第 1 天'!F64,0),IF(OR('第 1 天'!H$5="油錢"),'第 1 天'!H64,0),IF(OR('第 1 天'!J$5="油錢"),'第 1 天'!J64,0),IF(OR('第 1 天'!L$5="油錢"),'第 1 天'!L64,0),IF(OR('第 1 天'!N$5="油錢"),'第 1 天'!N64,0),IF(OR('第 1 天'!P$5="油錢"),'第 1 天'!P64,0))</f>
        <v>0</v>
      </c>
      <c r="E14" s="14" t="n">
        <f aca="false">SUM(IF(OR('第 1 天'!D$5="租車費"),'第 1 天'!D64,0),IF(OR('第 1 天'!F$5="租車費"),'第 1 天'!F64,0),IF(OR('第 1 天'!H$5="租車費"),'第 1 天'!H64,0),IF(OR('第 1 天'!J$5="租車費"),'第 1 天'!J64,0),IF(OR('第 1 天'!L$5="租車費"),'第 1 天'!L64,0),IF(OR('第 1 天'!N$5="租車費"),'第 1 天'!N64,0),IF(OR('第 1 天'!P$5="租車費"),'第 1 天'!P64,0))</f>
        <v>0</v>
      </c>
      <c r="F14" s="14" t="n">
        <f aca="false">SUM(IF(OR('第 1 天'!D$5="停車費",'第 1 天'!D$5="其他"),'第 1 天'!D64,0),IF(OR('第 1 天'!F$5="停車費",'第 1 天'!F$5="其他"),'第 1 天'!F64,0),IF(OR('第 1 天'!H$5="停車費",'第 1 天'!H$5="其他"),'第 1 天'!H64,0),IF(OR('第 1 天'!J$5="停車費",'第 1 天'!J$5="其他"),'第 1 天'!J64,0),IF(OR('第 1 天'!L$5="停車費",'第 1 天'!L$5="其他"),'第 1 天'!L64,0),IF(OR('第 1 天'!N$5="停車費",'第 1 天'!N$5="其他"),'第 1 天'!N64,0),IF(OR('第 1 天'!P$5="停車費",'第 1 天'!P$5="其他"),'第 1 天'!P64,0))</f>
        <v>0</v>
      </c>
      <c r="G14" s="14" t="n">
        <f aca="false">SUM(C14:F14)</f>
        <v>0</v>
      </c>
      <c r="H14" s="14" t="n">
        <f aca="false">IF(LEN(TRIM(成員名單!$B17))=0,0,SUM(IF('第 1 天'!D$7=$B14,'第 1 天'!D46,0),IF('第 1 天'!F$7=$B14,'第 1 天'!F46,0),IF('第 1 天'!H$7=$B14,'第 1 天'!H46,0),IF('第 1 天'!J$7=$B14,'第 1 天'!J46,0),IF('第 1 天'!L$7=$B14,'第 1 天'!L46,0),IF('第 1 天'!N$7=$B14,'第 1 天'!N46,0),IF('第 1 天'!P$7=$B14,'第 1 天'!P46,0)))</f>
        <v>0</v>
      </c>
    </row>
    <row r="15" customFormat="false" ht="15" hidden="false" customHeight="false" outlineLevel="0" collapsed="false">
      <c r="A15" s="13" t="s">
        <v>58</v>
      </c>
      <c r="B15" s="13" t="s">
        <v>31</v>
      </c>
      <c r="C15" s="14" t="n">
        <f aca="false">SUM(IF(OR('第 1 天'!D$5="早餐",'第 1 天'!D$5="午餐",'第 1 天'!D$5="晚餐"),'第 1 天'!D65,0),IF(OR('第 1 天'!F$5="早餐",'第 1 天'!F$5="午餐",'第 1 天'!F$5="晚餐"),'第 1 天'!F65,0),IF(OR('第 1 天'!H$5="早餐",'第 1 天'!H$5="午餐",'第 1 天'!H$5="晚餐"),'第 1 天'!H65,0),IF(OR('第 1 天'!J$5="早餐",'第 1 天'!J$5="午餐",'第 1 天'!J$5="晚餐"),'第 1 天'!J65,0),IF(OR('第 1 天'!L$5="早餐",'第 1 天'!L$5="午餐",'第 1 天'!L$5="晚餐"),'第 1 天'!L65,0),IF(OR('第 1 天'!N$5="早餐",'第 1 天'!N$5="午餐",'第 1 天'!N$5="晚餐"),'第 1 天'!N65,0),IF(OR('第 1 天'!P$5="早餐",'第 1 天'!P$5="午餐",'第 1 天'!P$5="晚餐"),'第 1 天'!P65,0))</f>
        <v>0</v>
      </c>
      <c r="D15" s="14" t="n">
        <f aca="false">SUM(IF(OR('第 1 天'!D$5="油錢"),'第 1 天'!D65,0),IF(OR('第 1 天'!F$5="油錢"),'第 1 天'!F65,0),IF(OR('第 1 天'!H$5="油錢"),'第 1 天'!H65,0),IF(OR('第 1 天'!J$5="油錢"),'第 1 天'!J65,0),IF(OR('第 1 天'!L$5="油錢"),'第 1 天'!L65,0),IF(OR('第 1 天'!N$5="油錢"),'第 1 天'!N65,0),IF(OR('第 1 天'!P$5="油錢"),'第 1 天'!P65,0))</f>
        <v>0</v>
      </c>
      <c r="E15" s="14" t="n">
        <f aca="false">SUM(IF(OR('第 1 天'!D$5="租車費"),'第 1 天'!D65,0),IF(OR('第 1 天'!F$5="租車費"),'第 1 天'!F65,0),IF(OR('第 1 天'!H$5="租車費"),'第 1 天'!H65,0),IF(OR('第 1 天'!J$5="租車費"),'第 1 天'!J65,0),IF(OR('第 1 天'!L$5="租車費"),'第 1 天'!L65,0),IF(OR('第 1 天'!N$5="租車費"),'第 1 天'!N65,0),IF(OR('第 1 天'!P$5="租車費"),'第 1 天'!P65,0))</f>
        <v>0</v>
      </c>
      <c r="F15" s="14" t="n">
        <f aca="false">SUM(IF(OR('第 1 天'!D$5="停車費",'第 1 天'!D$5="其他"),'第 1 天'!D65,0),IF(OR('第 1 天'!F$5="停車費",'第 1 天'!F$5="其他"),'第 1 天'!F65,0),IF(OR('第 1 天'!H$5="停車費",'第 1 天'!H$5="其他"),'第 1 天'!H65,0),IF(OR('第 1 天'!J$5="停車費",'第 1 天'!J$5="其他"),'第 1 天'!J65,0),IF(OR('第 1 天'!L$5="停車費",'第 1 天'!L$5="其他"),'第 1 天'!L65,0),IF(OR('第 1 天'!N$5="停車費",'第 1 天'!N$5="其他"),'第 1 天'!N65,0),IF(OR('第 1 天'!P$5="停車費",'第 1 天'!P$5="其他"),'第 1 天'!P65,0))</f>
        <v>0</v>
      </c>
      <c r="G15" s="14" t="n">
        <f aca="false">SUM(C15:F15)</f>
        <v>0</v>
      </c>
      <c r="H15" s="14" t="n">
        <f aca="false">IF(LEN(TRIM(成員名單!$B18))=0,0,SUM(IF('第 1 天'!D$7=$B15,'第 1 天'!D46,0),IF('第 1 天'!F$7=$B15,'第 1 天'!F46,0),IF('第 1 天'!H$7=$B15,'第 1 天'!H46,0),IF('第 1 天'!J$7=$B15,'第 1 天'!J46,0),IF('第 1 天'!L$7=$B15,'第 1 天'!L46,0),IF('第 1 天'!N$7=$B15,'第 1 天'!N46,0),IF('第 1 天'!P$7=$B15,'第 1 天'!P46,0)))</f>
        <v>0</v>
      </c>
    </row>
    <row r="16" customFormat="false" ht="15" hidden="false" customHeight="false" outlineLevel="0" collapsed="false">
      <c r="A16" s="13" t="s">
        <v>58</v>
      </c>
      <c r="B16" s="13" t="s">
        <v>32</v>
      </c>
      <c r="C16" s="14" t="n">
        <f aca="false">SUM(IF(OR('第 1 天'!D$5="早餐",'第 1 天'!D$5="午餐",'第 1 天'!D$5="晚餐"),'第 1 天'!D66,0),IF(OR('第 1 天'!F$5="早餐",'第 1 天'!F$5="午餐",'第 1 天'!F$5="晚餐"),'第 1 天'!F66,0),IF(OR('第 1 天'!H$5="早餐",'第 1 天'!H$5="午餐",'第 1 天'!H$5="晚餐"),'第 1 天'!H66,0),IF(OR('第 1 天'!J$5="早餐",'第 1 天'!J$5="午餐",'第 1 天'!J$5="晚餐"),'第 1 天'!J66,0),IF(OR('第 1 天'!L$5="早餐",'第 1 天'!L$5="午餐",'第 1 天'!L$5="晚餐"),'第 1 天'!L66,0),IF(OR('第 1 天'!N$5="早餐",'第 1 天'!N$5="午餐",'第 1 天'!N$5="晚餐"),'第 1 天'!N66,0),IF(OR('第 1 天'!P$5="早餐",'第 1 天'!P$5="午餐",'第 1 天'!P$5="晚餐"),'第 1 天'!P66,0))</f>
        <v>0</v>
      </c>
      <c r="D16" s="14" t="n">
        <f aca="false">SUM(IF(OR('第 1 天'!D$5="油錢"),'第 1 天'!D66,0),IF(OR('第 1 天'!F$5="油錢"),'第 1 天'!F66,0),IF(OR('第 1 天'!H$5="油錢"),'第 1 天'!H66,0),IF(OR('第 1 天'!J$5="油錢"),'第 1 天'!J66,0),IF(OR('第 1 天'!L$5="油錢"),'第 1 天'!L66,0),IF(OR('第 1 天'!N$5="油錢"),'第 1 天'!N66,0),IF(OR('第 1 天'!P$5="油錢"),'第 1 天'!P66,0))</f>
        <v>0</v>
      </c>
      <c r="E16" s="14" t="n">
        <f aca="false">SUM(IF(OR('第 1 天'!D$5="租車費"),'第 1 天'!D66,0),IF(OR('第 1 天'!F$5="租車費"),'第 1 天'!F66,0),IF(OR('第 1 天'!H$5="租車費"),'第 1 天'!H66,0),IF(OR('第 1 天'!J$5="租車費"),'第 1 天'!J66,0),IF(OR('第 1 天'!L$5="租車費"),'第 1 天'!L66,0),IF(OR('第 1 天'!N$5="租車費"),'第 1 天'!N66,0),IF(OR('第 1 天'!P$5="租車費"),'第 1 天'!P66,0))</f>
        <v>0</v>
      </c>
      <c r="F16" s="14" t="n">
        <f aca="false">SUM(IF(OR('第 1 天'!D$5="停車費",'第 1 天'!D$5="其他"),'第 1 天'!D66,0),IF(OR('第 1 天'!F$5="停車費",'第 1 天'!F$5="其他"),'第 1 天'!F66,0),IF(OR('第 1 天'!H$5="停車費",'第 1 天'!H$5="其他"),'第 1 天'!H66,0),IF(OR('第 1 天'!J$5="停車費",'第 1 天'!J$5="其他"),'第 1 天'!J66,0),IF(OR('第 1 天'!L$5="停車費",'第 1 天'!L$5="其他"),'第 1 天'!L66,0),IF(OR('第 1 天'!N$5="停車費",'第 1 天'!N$5="其他"),'第 1 天'!N66,0),IF(OR('第 1 天'!P$5="停車費",'第 1 天'!P$5="其他"),'第 1 天'!P66,0))</f>
        <v>0</v>
      </c>
      <c r="G16" s="14" t="n">
        <f aca="false">SUM(C16:F16)</f>
        <v>0</v>
      </c>
      <c r="H16" s="14" t="n">
        <f aca="false">IF(LEN(TRIM(成員名單!$B19))=0,0,SUM(IF('第 1 天'!D$7=$B16,'第 1 天'!D46,0),IF('第 1 天'!F$7=$B16,'第 1 天'!F46,0),IF('第 1 天'!H$7=$B16,'第 1 天'!H46,0),IF('第 1 天'!J$7=$B16,'第 1 天'!J46,0),IF('第 1 天'!L$7=$B16,'第 1 天'!L46,0),IF('第 1 天'!N$7=$B16,'第 1 天'!N46,0),IF('第 1 天'!P$7=$B16,'第 1 天'!P46,0)))</f>
        <v>0</v>
      </c>
    </row>
    <row r="17" customFormat="false" ht="15" hidden="false" customHeight="false" outlineLevel="0" collapsed="false">
      <c r="A17" s="13" t="s">
        <v>58</v>
      </c>
      <c r="B17" s="13" t="s">
        <v>33</v>
      </c>
      <c r="C17" s="14" t="n">
        <f aca="false">SUM(IF(OR('第 1 天'!D$5="早餐",'第 1 天'!D$5="午餐",'第 1 天'!D$5="晚餐"),'第 1 天'!D67,0),IF(OR('第 1 天'!F$5="早餐",'第 1 天'!F$5="午餐",'第 1 天'!F$5="晚餐"),'第 1 天'!F67,0),IF(OR('第 1 天'!H$5="早餐",'第 1 天'!H$5="午餐",'第 1 天'!H$5="晚餐"),'第 1 天'!H67,0),IF(OR('第 1 天'!J$5="早餐",'第 1 天'!J$5="午餐",'第 1 天'!J$5="晚餐"),'第 1 天'!J67,0),IF(OR('第 1 天'!L$5="早餐",'第 1 天'!L$5="午餐",'第 1 天'!L$5="晚餐"),'第 1 天'!L67,0),IF(OR('第 1 天'!N$5="早餐",'第 1 天'!N$5="午餐",'第 1 天'!N$5="晚餐"),'第 1 天'!N67,0),IF(OR('第 1 天'!P$5="早餐",'第 1 天'!P$5="午餐",'第 1 天'!P$5="晚餐"),'第 1 天'!P67,0))</f>
        <v>0</v>
      </c>
      <c r="D17" s="14" t="n">
        <f aca="false">SUM(IF(OR('第 1 天'!D$5="油錢"),'第 1 天'!D67,0),IF(OR('第 1 天'!F$5="油錢"),'第 1 天'!F67,0),IF(OR('第 1 天'!H$5="油錢"),'第 1 天'!H67,0),IF(OR('第 1 天'!J$5="油錢"),'第 1 天'!J67,0),IF(OR('第 1 天'!L$5="油錢"),'第 1 天'!L67,0),IF(OR('第 1 天'!N$5="油錢"),'第 1 天'!N67,0),IF(OR('第 1 天'!P$5="油錢"),'第 1 天'!P67,0))</f>
        <v>0</v>
      </c>
      <c r="E17" s="14" t="n">
        <f aca="false">SUM(IF(OR('第 1 天'!D$5="租車費"),'第 1 天'!D67,0),IF(OR('第 1 天'!F$5="租車費"),'第 1 天'!F67,0),IF(OR('第 1 天'!H$5="租車費"),'第 1 天'!H67,0),IF(OR('第 1 天'!J$5="租車費"),'第 1 天'!J67,0),IF(OR('第 1 天'!L$5="租車費"),'第 1 天'!L67,0),IF(OR('第 1 天'!N$5="租車費"),'第 1 天'!N67,0),IF(OR('第 1 天'!P$5="租車費"),'第 1 天'!P67,0))</f>
        <v>0</v>
      </c>
      <c r="F17" s="14" t="n">
        <f aca="false">SUM(IF(OR('第 1 天'!D$5="停車費",'第 1 天'!D$5="其他"),'第 1 天'!D67,0),IF(OR('第 1 天'!F$5="停車費",'第 1 天'!F$5="其他"),'第 1 天'!F67,0),IF(OR('第 1 天'!H$5="停車費",'第 1 天'!H$5="其他"),'第 1 天'!H67,0),IF(OR('第 1 天'!J$5="停車費",'第 1 天'!J$5="其他"),'第 1 天'!J67,0),IF(OR('第 1 天'!L$5="停車費",'第 1 天'!L$5="其他"),'第 1 天'!L67,0),IF(OR('第 1 天'!N$5="停車費",'第 1 天'!N$5="其他"),'第 1 天'!N67,0),IF(OR('第 1 天'!P$5="停車費",'第 1 天'!P$5="其他"),'第 1 天'!P67,0))</f>
        <v>0</v>
      </c>
      <c r="G17" s="14" t="n">
        <f aca="false">SUM(C17:F17)</f>
        <v>0</v>
      </c>
      <c r="H17" s="14" t="n">
        <f aca="false">IF(LEN(TRIM(成員名單!$B20))=0,0,SUM(IF('第 1 天'!D$7=$B17,'第 1 天'!D46,0),IF('第 1 天'!F$7=$B17,'第 1 天'!F46,0),IF('第 1 天'!H$7=$B17,'第 1 天'!H46,0),IF('第 1 天'!J$7=$B17,'第 1 天'!J46,0),IF('第 1 天'!L$7=$B17,'第 1 天'!L46,0),IF('第 1 天'!N$7=$B17,'第 1 天'!N46,0),IF('第 1 天'!P$7=$B17,'第 1 天'!P46,0)))</f>
        <v>0</v>
      </c>
    </row>
    <row r="18" customFormat="false" ht="15" hidden="false" customHeight="false" outlineLevel="0" collapsed="false">
      <c r="A18" s="13" t="s">
        <v>58</v>
      </c>
      <c r="B18" s="13" t="s">
        <v>34</v>
      </c>
      <c r="C18" s="14" t="n">
        <f aca="false">SUM(IF(OR('第 1 天'!D$5="早餐",'第 1 天'!D$5="午餐",'第 1 天'!D$5="晚餐"),'第 1 天'!D68,0),IF(OR('第 1 天'!F$5="早餐",'第 1 天'!F$5="午餐",'第 1 天'!F$5="晚餐"),'第 1 天'!F68,0),IF(OR('第 1 天'!H$5="早餐",'第 1 天'!H$5="午餐",'第 1 天'!H$5="晚餐"),'第 1 天'!H68,0),IF(OR('第 1 天'!J$5="早餐",'第 1 天'!J$5="午餐",'第 1 天'!J$5="晚餐"),'第 1 天'!J68,0),IF(OR('第 1 天'!L$5="早餐",'第 1 天'!L$5="午餐",'第 1 天'!L$5="晚餐"),'第 1 天'!L68,0),IF(OR('第 1 天'!N$5="早餐",'第 1 天'!N$5="午餐",'第 1 天'!N$5="晚餐"),'第 1 天'!N68,0),IF(OR('第 1 天'!P$5="早餐",'第 1 天'!P$5="午餐",'第 1 天'!P$5="晚餐"),'第 1 天'!P68,0))</f>
        <v>0</v>
      </c>
      <c r="D18" s="14" t="n">
        <f aca="false">SUM(IF(OR('第 1 天'!D$5="油錢"),'第 1 天'!D68,0),IF(OR('第 1 天'!F$5="油錢"),'第 1 天'!F68,0),IF(OR('第 1 天'!H$5="油錢"),'第 1 天'!H68,0),IF(OR('第 1 天'!J$5="油錢"),'第 1 天'!J68,0),IF(OR('第 1 天'!L$5="油錢"),'第 1 天'!L68,0),IF(OR('第 1 天'!N$5="油錢"),'第 1 天'!N68,0),IF(OR('第 1 天'!P$5="油錢"),'第 1 天'!P68,0))</f>
        <v>0</v>
      </c>
      <c r="E18" s="14" t="n">
        <f aca="false">SUM(IF(OR('第 1 天'!D$5="租車費"),'第 1 天'!D68,0),IF(OR('第 1 天'!F$5="租車費"),'第 1 天'!F68,0),IF(OR('第 1 天'!H$5="租車費"),'第 1 天'!H68,0),IF(OR('第 1 天'!J$5="租車費"),'第 1 天'!J68,0),IF(OR('第 1 天'!L$5="租車費"),'第 1 天'!L68,0),IF(OR('第 1 天'!N$5="租車費"),'第 1 天'!N68,0),IF(OR('第 1 天'!P$5="租車費"),'第 1 天'!P68,0))</f>
        <v>0</v>
      </c>
      <c r="F18" s="14" t="n">
        <f aca="false">SUM(IF(OR('第 1 天'!D$5="停車費",'第 1 天'!D$5="其他"),'第 1 天'!D68,0),IF(OR('第 1 天'!F$5="停車費",'第 1 天'!F$5="其他"),'第 1 天'!F68,0),IF(OR('第 1 天'!H$5="停車費",'第 1 天'!H$5="其他"),'第 1 天'!H68,0),IF(OR('第 1 天'!J$5="停車費",'第 1 天'!J$5="其他"),'第 1 天'!J68,0),IF(OR('第 1 天'!L$5="停車費",'第 1 天'!L$5="其他"),'第 1 天'!L68,0),IF(OR('第 1 天'!N$5="停車費",'第 1 天'!N$5="其他"),'第 1 天'!N68,0),IF(OR('第 1 天'!P$5="停車費",'第 1 天'!P$5="其他"),'第 1 天'!P68,0))</f>
        <v>0</v>
      </c>
      <c r="G18" s="14" t="n">
        <f aca="false">SUM(C18:F18)</f>
        <v>0</v>
      </c>
      <c r="H18" s="14" t="n">
        <f aca="false">IF(LEN(TRIM(成員名單!$B21))=0,0,SUM(IF('第 1 天'!D$7=$B18,'第 1 天'!D46,0),IF('第 1 天'!F$7=$B18,'第 1 天'!F46,0),IF('第 1 天'!H$7=$B18,'第 1 天'!H46,0),IF('第 1 天'!J$7=$B18,'第 1 天'!J46,0),IF('第 1 天'!L$7=$B18,'第 1 天'!L46,0),IF('第 1 天'!N$7=$B18,'第 1 天'!N46,0),IF('第 1 天'!P$7=$B18,'第 1 天'!P46,0)))</f>
        <v>0</v>
      </c>
    </row>
    <row r="19" customFormat="false" ht="15" hidden="false" customHeight="false" outlineLevel="0" collapsed="false">
      <c r="A19" s="13" t="s">
        <v>58</v>
      </c>
      <c r="B19" s="13" t="s">
        <v>35</v>
      </c>
      <c r="C19" s="14" t="n">
        <f aca="false">SUM(IF(OR('第 1 天'!D$5="早餐",'第 1 天'!D$5="午餐",'第 1 天'!D$5="晚餐"),'第 1 天'!D69,0),IF(OR('第 1 天'!F$5="早餐",'第 1 天'!F$5="午餐",'第 1 天'!F$5="晚餐"),'第 1 天'!F69,0),IF(OR('第 1 天'!H$5="早餐",'第 1 天'!H$5="午餐",'第 1 天'!H$5="晚餐"),'第 1 天'!H69,0),IF(OR('第 1 天'!J$5="早餐",'第 1 天'!J$5="午餐",'第 1 天'!J$5="晚餐"),'第 1 天'!J69,0),IF(OR('第 1 天'!L$5="早餐",'第 1 天'!L$5="午餐",'第 1 天'!L$5="晚餐"),'第 1 天'!L69,0),IF(OR('第 1 天'!N$5="早餐",'第 1 天'!N$5="午餐",'第 1 天'!N$5="晚餐"),'第 1 天'!N69,0),IF(OR('第 1 天'!P$5="早餐",'第 1 天'!P$5="午餐",'第 1 天'!P$5="晚餐"),'第 1 天'!P69,0))</f>
        <v>0</v>
      </c>
      <c r="D19" s="14" t="n">
        <f aca="false">SUM(IF(OR('第 1 天'!D$5="油錢"),'第 1 天'!D69,0),IF(OR('第 1 天'!F$5="油錢"),'第 1 天'!F69,0),IF(OR('第 1 天'!H$5="油錢"),'第 1 天'!H69,0),IF(OR('第 1 天'!J$5="油錢"),'第 1 天'!J69,0),IF(OR('第 1 天'!L$5="油錢"),'第 1 天'!L69,0),IF(OR('第 1 天'!N$5="油錢"),'第 1 天'!N69,0),IF(OR('第 1 天'!P$5="油錢"),'第 1 天'!P69,0))</f>
        <v>0</v>
      </c>
      <c r="E19" s="14" t="n">
        <f aca="false">SUM(IF(OR('第 1 天'!D$5="租車費"),'第 1 天'!D69,0),IF(OR('第 1 天'!F$5="租車費"),'第 1 天'!F69,0),IF(OR('第 1 天'!H$5="租車費"),'第 1 天'!H69,0),IF(OR('第 1 天'!J$5="租車費"),'第 1 天'!J69,0),IF(OR('第 1 天'!L$5="租車費"),'第 1 天'!L69,0),IF(OR('第 1 天'!N$5="租車費"),'第 1 天'!N69,0),IF(OR('第 1 天'!P$5="租車費"),'第 1 天'!P69,0))</f>
        <v>0</v>
      </c>
      <c r="F19" s="14" t="n">
        <f aca="false">SUM(IF(OR('第 1 天'!D$5="停車費",'第 1 天'!D$5="其他"),'第 1 天'!D69,0),IF(OR('第 1 天'!F$5="停車費",'第 1 天'!F$5="其他"),'第 1 天'!F69,0),IF(OR('第 1 天'!H$5="停車費",'第 1 天'!H$5="其他"),'第 1 天'!H69,0),IF(OR('第 1 天'!J$5="停車費",'第 1 天'!J$5="其他"),'第 1 天'!J69,0),IF(OR('第 1 天'!L$5="停車費",'第 1 天'!L$5="其他"),'第 1 天'!L69,0),IF(OR('第 1 天'!N$5="停車費",'第 1 天'!N$5="其他"),'第 1 天'!N69,0),IF(OR('第 1 天'!P$5="停車費",'第 1 天'!P$5="其他"),'第 1 天'!P69,0))</f>
        <v>0</v>
      </c>
      <c r="G19" s="14" t="n">
        <f aca="false">SUM(C19:F19)</f>
        <v>0</v>
      </c>
      <c r="H19" s="14" t="n">
        <f aca="false">IF(LEN(TRIM(成員名單!$B22))=0,0,SUM(IF('第 1 天'!D$7=$B19,'第 1 天'!D46,0),IF('第 1 天'!F$7=$B19,'第 1 天'!F46,0),IF('第 1 天'!H$7=$B19,'第 1 天'!H46,0),IF('第 1 天'!J$7=$B19,'第 1 天'!J46,0),IF('第 1 天'!L$7=$B19,'第 1 天'!L46,0),IF('第 1 天'!N$7=$B19,'第 1 天'!N46,0),IF('第 1 天'!P$7=$B19,'第 1 天'!P46,0)))</f>
        <v>0</v>
      </c>
    </row>
    <row r="20" customFormat="false" ht="15" hidden="false" customHeight="false" outlineLevel="0" collapsed="false">
      <c r="A20" s="13" t="s">
        <v>58</v>
      </c>
      <c r="B20" s="13" t="s">
        <v>36</v>
      </c>
      <c r="C20" s="14" t="n">
        <f aca="false">SUM(IF(OR('第 1 天'!D$5="早餐",'第 1 天'!D$5="午餐",'第 1 天'!D$5="晚餐"),'第 1 天'!D70,0),IF(OR('第 1 天'!F$5="早餐",'第 1 天'!F$5="午餐",'第 1 天'!F$5="晚餐"),'第 1 天'!F70,0),IF(OR('第 1 天'!H$5="早餐",'第 1 天'!H$5="午餐",'第 1 天'!H$5="晚餐"),'第 1 天'!H70,0),IF(OR('第 1 天'!J$5="早餐",'第 1 天'!J$5="午餐",'第 1 天'!J$5="晚餐"),'第 1 天'!J70,0),IF(OR('第 1 天'!L$5="早餐",'第 1 天'!L$5="午餐",'第 1 天'!L$5="晚餐"),'第 1 天'!L70,0),IF(OR('第 1 天'!N$5="早餐",'第 1 天'!N$5="午餐",'第 1 天'!N$5="晚餐"),'第 1 天'!N70,0),IF(OR('第 1 天'!P$5="早餐",'第 1 天'!P$5="午餐",'第 1 天'!P$5="晚餐"),'第 1 天'!P70,0))</f>
        <v>0</v>
      </c>
      <c r="D20" s="14" t="n">
        <f aca="false">SUM(IF(OR('第 1 天'!D$5="油錢"),'第 1 天'!D70,0),IF(OR('第 1 天'!F$5="油錢"),'第 1 天'!F70,0),IF(OR('第 1 天'!H$5="油錢"),'第 1 天'!H70,0),IF(OR('第 1 天'!J$5="油錢"),'第 1 天'!J70,0),IF(OR('第 1 天'!L$5="油錢"),'第 1 天'!L70,0),IF(OR('第 1 天'!N$5="油錢"),'第 1 天'!N70,0),IF(OR('第 1 天'!P$5="油錢"),'第 1 天'!P70,0))</f>
        <v>0</v>
      </c>
      <c r="E20" s="14" t="n">
        <f aca="false">SUM(IF(OR('第 1 天'!D$5="租車費"),'第 1 天'!D70,0),IF(OR('第 1 天'!F$5="租車費"),'第 1 天'!F70,0),IF(OR('第 1 天'!H$5="租車費"),'第 1 天'!H70,0),IF(OR('第 1 天'!J$5="租車費"),'第 1 天'!J70,0),IF(OR('第 1 天'!L$5="租車費"),'第 1 天'!L70,0),IF(OR('第 1 天'!N$5="租車費"),'第 1 天'!N70,0),IF(OR('第 1 天'!P$5="租車費"),'第 1 天'!P70,0))</f>
        <v>0</v>
      </c>
      <c r="F20" s="14" t="n">
        <f aca="false">SUM(IF(OR('第 1 天'!D$5="停車費",'第 1 天'!D$5="其他"),'第 1 天'!D70,0),IF(OR('第 1 天'!F$5="停車費",'第 1 天'!F$5="其他"),'第 1 天'!F70,0),IF(OR('第 1 天'!H$5="停車費",'第 1 天'!H$5="其他"),'第 1 天'!H70,0),IF(OR('第 1 天'!J$5="停車費",'第 1 天'!J$5="其他"),'第 1 天'!J70,0),IF(OR('第 1 天'!L$5="停車費",'第 1 天'!L$5="其他"),'第 1 天'!L70,0),IF(OR('第 1 天'!N$5="停車費",'第 1 天'!N$5="其他"),'第 1 天'!N70,0),IF(OR('第 1 天'!P$5="停車費",'第 1 天'!P$5="其他"),'第 1 天'!P70,0))</f>
        <v>0</v>
      </c>
      <c r="G20" s="14" t="n">
        <f aca="false">SUM(C20:F20)</f>
        <v>0</v>
      </c>
      <c r="H20" s="14" t="n">
        <f aca="false">IF(LEN(TRIM(成員名單!$B23))=0,0,SUM(IF('第 1 天'!D$7=$B20,'第 1 天'!D46,0),IF('第 1 天'!F$7=$B20,'第 1 天'!F46,0),IF('第 1 天'!H$7=$B20,'第 1 天'!H46,0),IF('第 1 天'!J$7=$B20,'第 1 天'!J46,0),IF('第 1 天'!L$7=$B20,'第 1 天'!L46,0),IF('第 1 天'!N$7=$B20,'第 1 天'!N46,0),IF('第 1 天'!P$7=$B20,'第 1 天'!P46,0)))</f>
        <v>0</v>
      </c>
    </row>
    <row r="21" customFormat="false" ht="15" hidden="false" customHeight="false" outlineLevel="0" collapsed="false">
      <c r="A21" s="13" t="s">
        <v>58</v>
      </c>
      <c r="B21" s="13" t="s">
        <v>37</v>
      </c>
      <c r="C21" s="14" t="n">
        <f aca="false">SUM(IF(OR('第 1 天'!D$5="早餐",'第 1 天'!D$5="午餐",'第 1 天'!D$5="晚餐"),'第 1 天'!D71,0),IF(OR('第 1 天'!F$5="早餐",'第 1 天'!F$5="午餐",'第 1 天'!F$5="晚餐"),'第 1 天'!F71,0),IF(OR('第 1 天'!H$5="早餐",'第 1 天'!H$5="午餐",'第 1 天'!H$5="晚餐"),'第 1 天'!H71,0),IF(OR('第 1 天'!J$5="早餐",'第 1 天'!J$5="午餐",'第 1 天'!J$5="晚餐"),'第 1 天'!J71,0),IF(OR('第 1 天'!L$5="早餐",'第 1 天'!L$5="午餐",'第 1 天'!L$5="晚餐"),'第 1 天'!L71,0),IF(OR('第 1 天'!N$5="早餐",'第 1 天'!N$5="午餐",'第 1 天'!N$5="晚餐"),'第 1 天'!N71,0),IF(OR('第 1 天'!P$5="早餐",'第 1 天'!P$5="午餐",'第 1 天'!P$5="晚餐"),'第 1 天'!P71,0))</f>
        <v>0</v>
      </c>
      <c r="D21" s="14" t="n">
        <f aca="false">SUM(IF(OR('第 1 天'!D$5="油錢"),'第 1 天'!D71,0),IF(OR('第 1 天'!F$5="油錢"),'第 1 天'!F71,0),IF(OR('第 1 天'!H$5="油錢"),'第 1 天'!H71,0),IF(OR('第 1 天'!J$5="油錢"),'第 1 天'!J71,0),IF(OR('第 1 天'!L$5="油錢"),'第 1 天'!L71,0),IF(OR('第 1 天'!N$5="油錢"),'第 1 天'!N71,0),IF(OR('第 1 天'!P$5="油錢"),'第 1 天'!P71,0))</f>
        <v>0</v>
      </c>
      <c r="E21" s="14" t="n">
        <f aca="false">SUM(IF(OR('第 1 天'!D$5="租車費"),'第 1 天'!D71,0),IF(OR('第 1 天'!F$5="租車費"),'第 1 天'!F71,0),IF(OR('第 1 天'!H$5="租車費"),'第 1 天'!H71,0),IF(OR('第 1 天'!J$5="租車費"),'第 1 天'!J71,0),IF(OR('第 1 天'!L$5="租車費"),'第 1 天'!L71,0),IF(OR('第 1 天'!N$5="租車費"),'第 1 天'!N71,0),IF(OR('第 1 天'!P$5="租車費"),'第 1 天'!P71,0))</f>
        <v>0</v>
      </c>
      <c r="F21" s="14" t="n">
        <f aca="false">SUM(IF(OR('第 1 天'!D$5="停車費",'第 1 天'!D$5="其他"),'第 1 天'!D71,0),IF(OR('第 1 天'!F$5="停車費",'第 1 天'!F$5="其他"),'第 1 天'!F71,0),IF(OR('第 1 天'!H$5="停車費",'第 1 天'!H$5="其他"),'第 1 天'!H71,0),IF(OR('第 1 天'!J$5="停車費",'第 1 天'!J$5="其他"),'第 1 天'!J71,0),IF(OR('第 1 天'!L$5="停車費",'第 1 天'!L$5="其他"),'第 1 天'!L71,0),IF(OR('第 1 天'!N$5="停車費",'第 1 天'!N$5="其他"),'第 1 天'!N71,0),IF(OR('第 1 天'!P$5="停車費",'第 1 天'!P$5="其他"),'第 1 天'!P71,0))</f>
        <v>0</v>
      </c>
      <c r="G21" s="14" t="n">
        <f aca="false">SUM(C21:F21)</f>
        <v>0</v>
      </c>
      <c r="H21" s="14" t="n">
        <f aca="false">IF(LEN(TRIM(成員名單!$B24))=0,0,SUM(IF('第 1 天'!D$7=$B21,'第 1 天'!D46,0),IF('第 1 天'!F$7=$B21,'第 1 天'!F46,0),IF('第 1 天'!H$7=$B21,'第 1 天'!H46,0),IF('第 1 天'!J$7=$B21,'第 1 天'!J46,0),IF('第 1 天'!L$7=$B21,'第 1 天'!L46,0),IF('第 1 天'!N$7=$B21,'第 1 天'!N46,0),IF('第 1 天'!P$7=$B21,'第 1 天'!P46,0)))</f>
        <v>0</v>
      </c>
    </row>
    <row r="22" customFormat="false" ht="15" hidden="false" customHeight="false" outlineLevel="0" collapsed="false">
      <c r="A22" s="13" t="s">
        <v>58</v>
      </c>
      <c r="B22" s="13" t="s">
        <v>38</v>
      </c>
      <c r="C22" s="14" t="n">
        <f aca="false">SUM(IF(OR('第 1 天'!D$5="早餐",'第 1 天'!D$5="午餐",'第 1 天'!D$5="晚餐"),'第 1 天'!D72,0),IF(OR('第 1 天'!F$5="早餐",'第 1 天'!F$5="午餐",'第 1 天'!F$5="晚餐"),'第 1 天'!F72,0),IF(OR('第 1 天'!H$5="早餐",'第 1 天'!H$5="午餐",'第 1 天'!H$5="晚餐"),'第 1 天'!H72,0),IF(OR('第 1 天'!J$5="早餐",'第 1 天'!J$5="午餐",'第 1 天'!J$5="晚餐"),'第 1 天'!J72,0),IF(OR('第 1 天'!L$5="早餐",'第 1 天'!L$5="午餐",'第 1 天'!L$5="晚餐"),'第 1 天'!L72,0),IF(OR('第 1 天'!N$5="早餐",'第 1 天'!N$5="午餐",'第 1 天'!N$5="晚餐"),'第 1 天'!N72,0),IF(OR('第 1 天'!P$5="早餐",'第 1 天'!P$5="午餐",'第 1 天'!P$5="晚餐"),'第 1 天'!P72,0))</f>
        <v>0</v>
      </c>
      <c r="D22" s="14" t="n">
        <f aca="false">SUM(IF(OR('第 1 天'!D$5="油錢"),'第 1 天'!D72,0),IF(OR('第 1 天'!F$5="油錢"),'第 1 天'!F72,0),IF(OR('第 1 天'!H$5="油錢"),'第 1 天'!H72,0),IF(OR('第 1 天'!J$5="油錢"),'第 1 天'!J72,0),IF(OR('第 1 天'!L$5="油錢"),'第 1 天'!L72,0),IF(OR('第 1 天'!N$5="油錢"),'第 1 天'!N72,0),IF(OR('第 1 天'!P$5="油錢"),'第 1 天'!P72,0))</f>
        <v>0</v>
      </c>
      <c r="E22" s="14" t="n">
        <f aca="false">SUM(IF(OR('第 1 天'!D$5="租車費"),'第 1 天'!D72,0),IF(OR('第 1 天'!F$5="租車費"),'第 1 天'!F72,0),IF(OR('第 1 天'!H$5="租車費"),'第 1 天'!H72,0),IF(OR('第 1 天'!J$5="租車費"),'第 1 天'!J72,0),IF(OR('第 1 天'!L$5="租車費"),'第 1 天'!L72,0),IF(OR('第 1 天'!N$5="租車費"),'第 1 天'!N72,0),IF(OR('第 1 天'!P$5="租車費"),'第 1 天'!P72,0))</f>
        <v>0</v>
      </c>
      <c r="F22" s="14" t="n">
        <f aca="false">SUM(IF(OR('第 1 天'!D$5="停車費",'第 1 天'!D$5="其他"),'第 1 天'!D72,0),IF(OR('第 1 天'!F$5="停車費",'第 1 天'!F$5="其他"),'第 1 天'!F72,0),IF(OR('第 1 天'!H$5="停車費",'第 1 天'!H$5="其他"),'第 1 天'!H72,0),IF(OR('第 1 天'!J$5="停車費",'第 1 天'!J$5="其他"),'第 1 天'!J72,0),IF(OR('第 1 天'!L$5="停車費",'第 1 天'!L$5="其他"),'第 1 天'!L72,0),IF(OR('第 1 天'!N$5="停車費",'第 1 天'!N$5="其他"),'第 1 天'!N72,0),IF(OR('第 1 天'!P$5="停車費",'第 1 天'!P$5="其他"),'第 1 天'!P72,0))</f>
        <v>0</v>
      </c>
      <c r="G22" s="14" t="n">
        <f aca="false">SUM(C22:F22)</f>
        <v>0</v>
      </c>
      <c r="H22" s="14" t="n">
        <f aca="false">IF(LEN(TRIM(成員名單!$B25))=0,0,SUM(IF('第 1 天'!D$7=$B22,'第 1 天'!D46,0),IF('第 1 天'!F$7=$B22,'第 1 天'!F46,0),IF('第 1 天'!H$7=$B22,'第 1 天'!H46,0),IF('第 1 天'!J$7=$B22,'第 1 天'!J46,0),IF('第 1 天'!L$7=$B22,'第 1 天'!L46,0),IF('第 1 天'!N$7=$B22,'第 1 天'!N46,0),IF('第 1 天'!P$7=$B22,'第 1 天'!P46,0)))</f>
        <v>0</v>
      </c>
    </row>
    <row r="23" customFormat="false" ht="15" hidden="false" customHeight="false" outlineLevel="0" collapsed="false">
      <c r="A23" s="13" t="s">
        <v>58</v>
      </c>
      <c r="B23" s="13" t="s">
        <v>39</v>
      </c>
      <c r="C23" s="14" t="n">
        <f aca="false">SUM(IF(OR('第 1 天'!D$5="早餐",'第 1 天'!D$5="午餐",'第 1 天'!D$5="晚餐"),'第 1 天'!D73,0),IF(OR('第 1 天'!F$5="早餐",'第 1 天'!F$5="午餐",'第 1 天'!F$5="晚餐"),'第 1 天'!F73,0),IF(OR('第 1 天'!H$5="早餐",'第 1 天'!H$5="午餐",'第 1 天'!H$5="晚餐"),'第 1 天'!H73,0),IF(OR('第 1 天'!J$5="早餐",'第 1 天'!J$5="午餐",'第 1 天'!J$5="晚餐"),'第 1 天'!J73,0),IF(OR('第 1 天'!L$5="早餐",'第 1 天'!L$5="午餐",'第 1 天'!L$5="晚餐"),'第 1 天'!L73,0),IF(OR('第 1 天'!N$5="早餐",'第 1 天'!N$5="午餐",'第 1 天'!N$5="晚餐"),'第 1 天'!N73,0),IF(OR('第 1 天'!P$5="早餐",'第 1 天'!P$5="午餐",'第 1 天'!P$5="晚餐"),'第 1 天'!P73,0))</f>
        <v>0</v>
      </c>
      <c r="D23" s="14" t="n">
        <f aca="false">SUM(IF(OR('第 1 天'!D$5="油錢"),'第 1 天'!D73,0),IF(OR('第 1 天'!F$5="油錢"),'第 1 天'!F73,0),IF(OR('第 1 天'!H$5="油錢"),'第 1 天'!H73,0),IF(OR('第 1 天'!J$5="油錢"),'第 1 天'!J73,0),IF(OR('第 1 天'!L$5="油錢"),'第 1 天'!L73,0),IF(OR('第 1 天'!N$5="油錢"),'第 1 天'!N73,0),IF(OR('第 1 天'!P$5="油錢"),'第 1 天'!P73,0))</f>
        <v>0</v>
      </c>
      <c r="E23" s="14" t="n">
        <f aca="false">SUM(IF(OR('第 1 天'!D$5="租車費"),'第 1 天'!D73,0),IF(OR('第 1 天'!F$5="租車費"),'第 1 天'!F73,0),IF(OR('第 1 天'!H$5="租車費"),'第 1 天'!H73,0),IF(OR('第 1 天'!J$5="租車費"),'第 1 天'!J73,0),IF(OR('第 1 天'!L$5="租車費"),'第 1 天'!L73,0),IF(OR('第 1 天'!N$5="租車費"),'第 1 天'!N73,0),IF(OR('第 1 天'!P$5="租車費"),'第 1 天'!P73,0))</f>
        <v>0</v>
      </c>
      <c r="F23" s="14" t="n">
        <f aca="false">SUM(IF(OR('第 1 天'!D$5="停車費",'第 1 天'!D$5="其他"),'第 1 天'!D73,0),IF(OR('第 1 天'!F$5="停車費",'第 1 天'!F$5="其他"),'第 1 天'!F73,0),IF(OR('第 1 天'!H$5="停車費",'第 1 天'!H$5="其他"),'第 1 天'!H73,0),IF(OR('第 1 天'!J$5="停車費",'第 1 天'!J$5="其他"),'第 1 天'!J73,0),IF(OR('第 1 天'!L$5="停車費",'第 1 天'!L$5="其他"),'第 1 天'!L73,0),IF(OR('第 1 天'!N$5="停車費",'第 1 天'!N$5="其他"),'第 1 天'!N73,0),IF(OR('第 1 天'!P$5="停車費",'第 1 天'!P$5="其他"),'第 1 天'!P73,0))</f>
        <v>0</v>
      </c>
      <c r="G23" s="14" t="n">
        <f aca="false">SUM(C23:F23)</f>
        <v>0</v>
      </c>
      <c r="H23" s="14" t="n">
        <f aca="false">IF(LEN(TRIM(成員名單!$B26))=0,0,SUM(IF('第 1 天'!D$7=$B23,'第 1 天'!D46,0),IF('第 1 天'!F$7=$B23,'第 1 天'!F46,0),IF('第 1 天'!H$7=$B23,'第 1 天'!H46,0),IF('第 1 天'!J$7=$B23,'第 1 天'!J46,0),IF('第 1 天'!L$7=$B23,'第 1 天'!L46,0),IF('第 1 天'!N$7=$B23,'第 1 天'!N46,0),IF('第 1 天'!P$7=$B23,'第 1 天'!P46,0)))</f>
        <v>0</v>
      </c>
    </row>
    <row r="24" customFormat="false" ht="15" hidden="false" customHeight="false" outlineLevel="0" collapsed="false">
      <c r="A24" s="13" t="s">
        <v>58</v>
      </c>
      <c r="B24" s="13" t="s">
        <v>40</v>
      </c>
      <c r="C24" s="14" t="n">
        <f aca="false">SUM(IF(OR('第 1 天'!D$5="早餐",'第 1 天'!D$5="午餐",'第 1 天'!D$5="晚餐"),'第 1 天'!D74,0),IF(OR('第 1 天'!F$5="早餐",'第 1 天'!F$5="午餐",'第 1 天'!F$5="晚餐"),'第 1 天'!F74,0),IF(OR('第 1 天'!H$5="早餐",'第 1 天'!H$5="午餐",'第 1 天'!H$5="晚餐"),'第 1 天'!H74,0),IF(OR('第 1 天'!J$5="早餐",'第 1 天'!J$5="午餐",'第 1 天'!J$5="晚餐"),'第 1 天'!J74,0),IF(OR('第 1 天'!L$5="早餐",'第 1 天'!L$5="午餐",'第 1 天'!L$5="晚餐"),'第 1 天'!L74,0),IF(OR('第 1 天'!N$5="早餐",'第 1 天'!N$5="午餐",'第 1 天'!N$5="晚餐"),'第 1 天'!N74,0),IF(OR('第 1 天'!P$5="早餐",'第 1 天'!P$5="午餐",'第 1 天'!P$5="晚餐"),'第 1 天'!P74,0))</f>
        <v>0</v>
      </c>
      <c r="D24" s="14" t="n">
        <f aca="false">SUM(IF(OR('第 1 天'!D$5="油錢"),'第 1 天'!D74,0),IF(OR('第 1 天'!F$5="油錢"),'第 1 天'!F74,0),IF(OR('第 1 天'!H$5="油錢"),'第 1 天'!H74,0),IF(OR('第 1 天'!J$5="油錢"),'第 1 天'!J74,0),IF(OR('第 1 天'!L$5="油錢"),'第 1 天'!L74,0),IF(OR('第 1 天'!N$5="油錢"),'第 1 天'!N74,0),IF(OR('第 1 天'!P$5="油錢"),'第 1 天'!P74,0))</f>
        <v>0</v>
      </c>
      <c r="E24" s="14" t="n">
        <f aca="false">SUM(IF(OR('第 1 天'!D$5="租車費"),'第 1 天'!D74,0),IF(OR('第 1 天'!F$5="租車費"),'第 1 天'!F74,0),IF(OR('第 1 天'!H$5="租車費"),'第 1 天'!H74,0),IF(OR('第 1 天'!J$5="租車費"),'第 1 天'!J74,0),IF(OR('第 1 天'!L$5="租車費"),'第 1 天'!L74,0),IF(OR('第 1 天'!N$5="租車費"),'第 1 天'!N74,0),IF(OR('第 1 天'!P$5="租車費"),'第 1 天'!P74,0))</f>
        <v>0</v>
      </c>
      <c r="F24" s="14" t="n">
        <f aca="false">SUM(IF(OR('第 1 天'!D$5="停車費",'第 1 天'!D$5="其他"),'第 1 天'!D74,0),IF(OR('第 1 天'!F$5="停車費",'第 1 天'!F$5="其他"),'第 1 天'!F74,0),IF(OR('第 1 天'!H$5="停車費",'第 1 天'!H$5="其他"),'第 1 天'!H74,0),IF(OR('第 1 天'!J$5="停車費",'第 1 天'!J$5="其他"),'第 1 天'!J74,0),IF(OR('第 1 天'!L$5="停車費",'第 1 天'!L$5="其他"),'第 1 天'!L74,0),IF(OR('第 1 天'!N$5="停車費",'第 1 天'!N$5="其他"),'第 1 天'!N74,0),IF(OR('第 1 天'!P$5="停車費",'第 1 天'!P$5="其他"),'第 1 天'!P74,0))</f>
        <v>0</v>
      </c>
      <c r="G24" s="14" t="n">
        <f aca="false">SUM(C24:F24)</f>
        <v>0</v>
      </c>
      <c r="H24" s="14" t="n">
        <f aca="false">IF(LEN(TRIM(成員名單!$B27))=0,0,SUM(IF('第 1 天'!D$7=$B24,'第 1 天'!D46,0),IF('第 1 天'!F$7=$B24,'第 1 天'!F46,0),IF('第 1 天'!H$7=$B24,'第 1 天'!H46,0),IF('第 1 天'!J$7=$B24,'第 1 天'!J46,0),IF('第 1 天'!L$7=$B24,'第 1 天'!L46,0),IF('第 1 天'!N$7=$B24,'第 1 天'!N46,0),IF('第 1 天'!P$7=$B24,'第 1 天'!P46,0)))</f>
        <v>0</v>
      </c>
    </row>
    <row r="25" customFormat="false" ht="15" hidden="false" customHeight="false" outlineLevel="0" collapsed="false">
      <c r="A25" s="13" t="s">
        <v>58</v>
      </c>
      <c r="B25" s="13" t="s">
        <v>41</v>
      </c>
      <c r="C25" s="14" t="n">
        <f aca="false">SUM(IF(OR('第 1 天'!D$5="早餐",'第 1 天'!D$5="午餐",'第 1 天'!D$5="晚餐"),'第 1 天'!D75,0),IF(OR('第 1 天'!F$5="早餐",'第 1 天'!F$5="午餐",'第 1 天'!F$5="晚餐"),'第 1 天'!F75,0),IF(OR('第 1 天'!H$5="早餐",'第 1 天'!H$5="午餐",'第 1 天'!H$5="晚餐"),'第 1 天'!H75,0),IF(OR('第 1 天'!J$5="早餐",'第 1 天'!J$5="午餐",'第 1 天'!J$5="晚餐"),'第 1 天'!J75,0),IF(OR('第 1 天'!L$5="早餐",'第 1 天'!L$5="午餐",'第 1 天'!L$5="晚餐"),'第 1 天'!L75,0),IF(OR('第 1 天'!N$5="早餐",'第 1 天'!N$5="午餐",'第 1 天'!N$5="晚餐"),'第 1 天'!N75,0),IF(OR('第 1 天'!P$5="早餐",'第 1 天'!P$5="午餐",'第 1 天'!P$5="晚餐"),'第 1 天'!P75,0))</f>
        <v>0</v>
      </c>
      <c r="D25" s="14" t="n">
        <f aca="false">SUM(IF(OR('第 1 天'!D$5="油錢"),'第 1 天'!D75,0),IF(OR('第 1 天'!F$5="油錢"),'第 1 天'!F75,0),IF(OR('第 1 天'!H$5="油錢"),'第 1 天'!H75,0),IF(OR('第 1 天'!J$5="油錢"),'第 1 天'!J75,0),IF(OR('第 1 天'!L$5="油錢"),'第 1 天'!L75,0),IF(OR('第 1 天'!N$5="油錢"),'第 1 天'!N75,0),IF(OR('第 1 天'!P$5="油錢"),'第 1 天'!P75,0))</f>
        <v>0</v>
      </c>
      <c r="E25" s="14" t="n">
        <f aca="false">SUM(IF(OR('第 1 天'!D$5="租車費"),'第 1 天'!D75,0),IF(OR('第 1 天'!F$5="租車費"),'第 1 天'!F75,0),IF(OR('第 1 天'!H$5="租車費"),'第 1 天'!H75,0),IF(OR('第 1 天'!J$5="租車費"),'第 1 天'!J75,0),IF(OR('第 1 天'!L$5="租車費"),'第 1 天'!L75,0),IF(OR('第 1 天'!N$5="租車費"),'第 1 天'!N75,0),IF(OR('第 1 天'!P$5="租車費"),'第 1 天'!P75,0))</f>
        <v>0</v>
      </c>
      <c r="F25" s="14" t="n">
        <f aca="false">SUM(IF(OR('第 1 天'!D$5="停車費",'第 1 天'!D$5="其他"),'第 1 天'!D75,0),IF(OR('第 1 天'!F$5="停車費",'第 1 天'!F$5="其他"),'第 1 天'!F75,0),IF(OR('第 1 天'!H$5="停車費",'第 1 天'!H$5="其他"),'第 1 天'!H75,0),IF(OR('第 1 天'!J$5="停車費",'第 1 天'!J$5="其他"),'第 1 天'!J75,0),IF(OR('第 1 天'!L$5="停車費",'第 1 天'!L$5="其他"),'第 1 天'!L75,0),IF(OR('第 1 天'!N$5="停車費",'第 1 天'!N$5="其他"),'第 1 天'!N75,0),IF(OR('第 1 天'!P$5="停車費",'第 1 天'!P$5="其他"),'第 1 天'!P75,0))</f>
        <v>0</v>
      </c>
      <c r="G25" s="14" t="n">
        <f aca="false">SUM(C25:F25)</f>
        <v>0</v>
      </c>
      <c r="H25" s="14" t="n">
        <f aca="false">IF(LEN(TRIM(成員名單!$B28))=0,0,SUM(IF('第 1 天'!D$7=$B25,'第 1 天'!D46,0),IF('第 1 天'!F$7=$B25,'第 1 天'!F46,0),IF('第 1 天'!H$7=$B25,'第 1 天'!H46,0),IF('第 1 天'!J$7=$B25,'第 1 天'!J46,0),IF('第 1 天'!L$7=$B25,'第 1 天'!L46,0),IF('第 1 天'!N$7=$B25,'第 1 天'!N46,0),IF('第 1 天'!P$7=$B25,'第 1 天'!P46,0)))</f>
        <v>0</v>
      </c>
    </row>
    <row r="26" customFormat="false" ht="15" hidden="false" customHeight="false" outlineLevel="0" collapsed="false">
      <c r="A26" s="13" t="s">
        <v>58</v>
      </c>
      <c r="B26" s="13" t="s">
        <v>42</v>
      </c>
      <c r="C26" s="14" t="n">
        <f aca="false">SUM(IF(OR('第 1 天'!D$5="早餐",'第 1 天'!D$5="午餐",'第 1 天'!D$5="晚餐"),'第 1 天'!D76,0),IF(OR('第 1 天'!F$5="早餐",'第 1 天'!F$5="午餐",'第 1 天'!F$5="晚餐"),'第 1 天'!F76,0),IF(OR('第 1 天'!H$5="早餐",'第 1 天'!H$5="午餐",'第 1 天'!H$5="晚餐"),'第 1 天'!H76,0),IF(OR('第 1 天'!J$5="早餐",'第 1 天'!J$5="午餐",'第 1 天'!J$5="晚餐"),'第 1 天'!J76,0),IF(OR('第 1 天'!L$5="早餐",'第 1 天'!L$5="午餐",'第 1 天'!L$5="晚餐"),'第 1 天'!L76,0),IF(OR('第 1 天'!N$5="早餐",'第 1 天'!N$5="午餐",'第 1 天'!N$5="晚餐"),'第 1 天'!N76,0),IF(OR('第 1 天'!P$5="早餐",'第 1 天'!P$5="午餐",'第 1 天'!P$5="晚餐"),'第 1 天'!P76,0))</f>
        <v>0</v>
      </c>
      <c r="D26" s="14" t="n">
        <f aca="false">SUM(IF(OR('第 1 天'!D$5="油錢"),'第 1 天'!D76,0),IF(OR('第 1 天'!F$5="油錢"),'第 1 天'!F76,0),IF(OR('第 1 天'!H$5="油錢"),'第 1 天'!H76,0),IF(OR('第 1 天'!J$5="油錢"),'第 1 天'!J76,0),IF(OR('第 1 天'!L$5="油錢"),'第 1 天'!L76,0),IF(OR('第 1 天'!N$5="油錢"),'第 1 天'!N76,0),IF(OR('第 1 天'!P$5="油錢"),'第 1 天'!P76,0))</f>
        <v>0</v>
      </c>
      <c r="E26" s="14" t="n">
        <f aca="false">SUM(IF(OR('第 1 天'!D$5="租車費"),'第 1 天'!D76,0),IF(OR('第 1 天'!F$5="租車費"),'第 1 天'!F76,0),IF(OR('第 1 天'!H$5="租車費"),'第 1 天'!H76,0),IF(OR('第 1 天'!J$5="租車費"),'第 1 天'!J76,0),IF(OR('第 1 天'!L$5="租車費"),'第 1 天'!L76,0),IF(OR('第 1 天'!N$5="租車費"),'第 1 天'!N76,0),IF(OR('第 1 天'!P$5="租車費"),'第 1 天'!P76,0))</f>
        <v>0</v>
      </c>
      <c r="F26" s="14" t="n">
        <f aca="false">SUM(IF(OR('第 1 天'!D$5="停車費",'第 1 天'!D$5="其他"),'第 1 天'!D76,0),IF(OR('第 1 天'!F$5="停車費",'第 1 天'!F$5="其他"),'第 1 天'!F76,0),IF(OR('第 1 天'!H$5="停車費",'第 1 天'!H$5="其他"),'第 1 天'!H76,0),IF(OR('第 1 天'!J$5="停車費",'第 1 天'!J$5="其他"),'第 1 天'!J76,0),IF(OR('第 1 天'!L$5="停車費",'第 1 天'!L$5="其他"),'第 1 天'!L76,0),IF(OR('第 1 天'!N$5="停車費",'第 1 天'!N$5="其他"),'第 1 天'!N76,0),IF(OR('第 1 天'!P$5="停車費",'第 1 天'!P$5="其他"),'第 1 天'!P76,0))</f>
        <v>0</v>
      </c>
      <c r="G26" s="14" t="n">
        <f aca="false">SUM(C26:F26)</f>
        <v>0</v>
      </c>
      <c r="H26" s="14" t="n">
        <f aca="false">IF(LEN(TRIM(成員名單!$B29))=0,0,SUM(IF('第 1 天'!D$7=$B26,'第 1 天'!D46,0),IF('第 1 天'!F$7=$B26,'第 1 天'!F46,0),IF('第 1 天'!H$7=$B26,'第 1 天'!H46,0),IF('第 1 天'!J$7=$B26,'第 1 天'!J46,0),IF('第 1 天'!L$7=$B26,'第 1 天'!L46,0),IF('第 1 天'!N$7=$B26,'第 1 天'!N46,0),IF('第 1 天'!P$7=$B26,'第 1 天'!P46,0)))</f>
        <v>0</v>
      </c>
    </row>
    <row r="27" customFormat="false" ht="15" hidden="false" customHeight="false" outlineLevel="0" collapsed="false">
      <c r="A27" s="13" t="s">
        <v>58</v>
      </c>
      <c r="B27" s="13" t="s">
        <v>43</v>
      </c>
      <c r="C27" s="14" t="n">
        <f aca="false">SUM(IF(OR('第 1 天'!D$5="早餐",'第 1 天'!D$5="午餐",'第 1 天'!D$5="晚餐"),'第 1 天'!D77,0),IF(OR('第 1 天'!F$5="早餐",'第 1 天'!F$5="午餐",'第 1 天'!F$5="晚餐"),'第 1 天'!F77,0),IF(OR('第 1 天'!H$5="早餐",'第 1 天'!H$5="午餐",'第 1 天'!H$5="晚餐"),'第 1 天'!H77,0),IF(OR('第 1 天'!J$5="早餐",'第 1 天'!J$5="午餐",'第 1 天'!J$5="晚餐"),'第 1 天'!J77,0),IF(OR('第 1 天'!L$5="早餐",'第 1 天'!L$5="午餐",'第 1 天'!L$5="晚餐"),'第 1 天'!L77,0),IF(OR('第 1 天'!N$5="早餐",'第 1 天'!N$5="午餐",'第 1 天'!N$5="晚餐"),'第 1 天'!N77,0),IF(OR('第 1 天'!P$5="早餐",'第 1 天'!P$5="午餐",'第 1 天'!P$5="晚餐"),'第 1 天'!P77,0))</f>
        <v>0</v>
      </c>
      <c r="D27" s="14" t="n">
        <f aca="false">SUM(IF(OR('第 1 天'!D$5="油錢"),'第 1 天'!D77,0),IF(OR('第 1 天'!F$5="油錢"),'第 1 天'!F77,0),IF(OR('第 1 天'!H$5="油錢"),'第 1 天'!H77,0),IF(OR('第 1 天'!J$5="油錢"),'第 1 天'!J77,0),IF(OR('第 1 天'!L$5="油錢"),'第 1 天'!L77,0),IF(OR('第 1 天'!N$5="油錢"),'第 1 天'!N77,0),IF(OR('第 1 天'!P$5="油錢"),'第 1 天'!P77,0))</f>
        <v>0</v>
      </c>
      <c r="E27" s="14" t="n">
        <f aca="false">SUM(IF(OR('第 1 天'!D$5="租車費"),'第 1 天'!D77,0),IF(OR('第 1 天'!F$5="租車費"),'第 1 天'!F77,0),IF(OR('第 1 天'!H$5="租車費"),'第 1 天'!H77,0),IF(OR('第 1 天'!J$5="租車費"),'第 1 天'!J77,0),IF(OR('第 1 天'!L$5="租車費"),'第 1 天'!L77,0),IF(OR('第 1 天'!N$5="租車費"),'第 1 天'!N77,0),IF(OR('第 1 天'!P$5="租車費"),'第 1 天'!P77,0))</f>
        <v>0</v>
      </c>
      <c r="F27" s="14" t="n">
        <f aca="false">SUM(IF(OR('第 1 天'!D$5="停車費",'第 1 天'!D$5="其他"),'第 1 天'!D77,0),IF(OR('第 1 天'!F$5="停車費",'第 1 天'!F$5="其他"),'第 1 天'!F77,0),IF(OR('第 1 天'!H$5="停車費",'第 1 天'!H$5="其他"),'第 1 天'!H77,0),IF(OR('第 1 天'!J$5="停車費",'第 1 天'!J$5="其他"),'第 1 天'!J77,0),IF(OR('第 1 天'!L$5="停車費",'第 1 天'!L$5="其他"),'第 1 天'!L77,0),IF(OR('第 1 天'!N$5="停車費",'第 1 天'!N$5="其他"),'第 1 天'!N77,0),IF(OR('第 1 天'!P$5="停車費",'第 1 天'!P$5="其他"),'第 1 天'!P77,0))</f>
        <v>0</v>
      </c>
      <c r="G27" s="14" t="n">
        <f aca="false">SUM(C27:F27)</f>
        <v>0</v>
      </c>
      <c r="H27" s="14" t="n">
        <f aca="false">IF(LEN(TRIM(成員名單!$B30))=0,0,SUM(IF('第 1 天'!D$7=$B27,'第 1 天'!D46,0),IF('第 1 天'!F$7=$B27,'第 1 天'!F46,0),IF('第 1 天'!H$7=$B27,'第 1 天'!H46,0),IF('第 1 天'!J$7=$B27,'第 1 天'!J46,0),IF('第 1 天'!L$7=$B27,'第 1 天'!L46,0),IF('第 1 天'!N$7=$B27,'第 1 天'!N46,0),IF('第 1 天'!P$7=$B27,'第 1 天'!P46,0)))</f>
        <v>0</v>
      </c>
    </row>
    <row r="28" customFormat="false" ht="15" hidden="false" customHeight="false" outlineLevel="0" collapsed="false">
      <c r="A28" s="13" t="s">
        <v>58</v>
      </c>
      <c r="B28" s="13" t="s">
        <v>44</v>
      </c>
      <c r="C28" s="14" t="n">
        <f aca="false">SUM(IF(OR('第 1 天'!D$5="早餐",'第 1 天'!D$5="午餐",'第 1 天'!D$5="晚餐"),'第 1 天'!D78,0),IF(OR('第 1 天'!F$5="早餐",'第 1 天'!F$5="午餐",'第 1 天'!F$5="晚餐"),'第 1 天'!F78,0),IF(OR('第 1 天'!H$5="早餐",'第 1 天'!H$5="午餐",'第 1 天'!H$5="晚餐"),'第 1 天'!H78,0),IF(OR('第 1 天'!J$5="早餐",'第 1 天'!J$5="午餐",'第 1 天'!J$5="晚餐"),'第 1 天'!J78,0),IF(OR('第 1 天'!L$5="早餐",'第 1 天'!L$5="午餐",'第 1 天'!L$5="晚餐"),'第 1 天'!L78,0),IF(OR('第 1 天'!N$5="早餐",'第 1 天'!N$5="午餐",'第 1 天'!N$5="晚餐"),'第 1 天'!N78,0),IF(OR('第 1 天'!P$5="早餐",'第 1 天'!P$5="午餐",'第 1 天'!P$5="晚餐"),'第 1 天'!P78,0))</f>
        <v>0</v>
      </c>
      <c r="D28" s="14" t="n">
        <f aca="false">SUM(IF(OR('第 1 天'!D$5="油錢"),'第 1 天'!D78,0),IF(OR('第 1 天'!F$5="油錢"),'第 1 天'!F78,0),IF(OR('第 1 天'!H$5="油錢"),'第 1 天'!H78,0),IF(OR('第 1 天'!J$5="油錢"),'第 1 天'!J78,0),IF(OR('第 1 天'!L$5="油錢"),'第 1 天'!L78,0),IF(OR('第 1 天'!N$5="油錢"),'第 1 天'!N78,0),IF(OR('第 1 天'!P$5="油錢"),'第 1 天'!P78,0))</f>
        <v>0</v>
      </c>
      <c r="E28" s="14" t="n">
        <f aca="false">SUM(IF(OR('第 1 天'!D$5="租車費"),'第 1 天'!D78,0),IF(OR('第 1 天'!F$5="租車費"),'第 1 天'!F78,0),IF(OR('第 1 天'!H$5="租車費"),'第 1 天'!H78,0),IF(OR('第 1 天'!J$5="租車費"),'第 1 天'!J78,0),IF(OR('第 1 天'!L$5="租車費"),'第 1 天'!L78,0),IF(OR('第 1 天'!N$5="租車費"),'第 1 天'!N78,0),IF(OR('第 1 天'!P$5="租車費"),'第 1 天'!P78,0))</f>
        <v>0</v>
      </c>
      <c r="F28" s="14" t="n">
        <f aca="false">SUM(IF(OR('第 1 天'!D$5="停車費",'第 1 天'!D$5="其他"),'第 1 天'!D78,0),IF(OR('第 1 天'!F$5="停車費",'第 1 天'!F$5="其他"),'第 1 天'!F78,0),IF(OR('第 1 天'!H$5="停車費",'第 1 天'!H$5="其他"),'第 1 天'!H78,0),IF(OR('第 1 天'!J$5="停車費",'第 1 天'!J$5="其他"),'第 1 天'!J78,0),IF(OR('第 1 天'!L$5="停車費",'第 1 天'!L$5="其他"),'第 1 天'!L78,0),IF(OR('第 1 天'!N$5="停車費",'第 1 天'!N$5="其他"),'第 1 天'!N78,0),IF(OR('第 1 天'!P$5="停車費",'第 1 天'!P$5="其他"),'第 1 天'!P78,0))</f>
        <v>0</v>
      </c>
      <c r="G28" s="14" t="n">
        <f aca="false">SUM(C28:F28)</f>
        <v>0</v>
      </c>
      <c r="H28" s="14" t="n">
        <f aca="false">IF(LEN(TRIM(成員名單!$B31))=0,0,SUM(IF('第 1 天'!D$7=$B28,'第 1 天'!D46,0),IF('第 1 天'!F$7=$B28,'第 1 天'!F46,0),IF('第 1 天'!H$7=$B28,'第 1 天'!H46,0),IF('第 1 天'!J$7=$B28,'第 1 天'!J46,0),IF('第 1 天'!L$7=$B28,'第 1 天'!L46,0),IF('第 1 天'!N$7=$B28,'第 1 天'!N46,0),IF('第 1 天'!P$7=$B28,'第 1 天'!P46,0)))</f>
        <v>0</v>
      </c>
    </row>
    <row r="29" customFormat="false" ht="15" hidden="false" customHeight="false" outlineLevel="0" collapsed="false">
      <c r="A29" s="13" t="s">
        <v>58</v>
      </c>
      <c r="B29" s="13" t="s">
        <v>45</v>
      </c>
      <c r="C29" s="14" t="n">
        <f aca="false">SUM(IF(OR('第 1 天'!D$5="早餐",'第 1 天'!D$5="午餐",'第 1 天'!D$5="晚餐"),'第 1 天'!D79,0),IF(OR('第 1 天'!F$5="早餐",'第 1 天'!F$5="午餐",'第 1 天'!F$5="晚餐"),'第 1 天'!F79,0),IF(OR('第 1 天'!H$5="早餐",'第 1 天'!H$5="午餐",'第 1 天'!H$5="晚餐"),'第 1 天'!H79,0),IF(OR('第 1 天'!J$5="早餐",'第 1 天'!J$5="午餐",'第 1 天'!J$5="晚餐"),'第 1 天'!J79,0),IF(OR('第 1 天'!L$5="早餐",'第 1 天'!L$5="午餐",'第 1 天'!L$5="晚餐"),'第 1 天'!L79,0),IF(OR('第 1 天'!N$5="早餐",'第 1 天'!N$5="午餐",'第 1 天'!N$5="晚餐"),'第 1 天'!N79,0),IF(OR('第 1 天'!P$5="早餐",'第 1 天'!P$5="午餐",'第 1 天'!P$5="晚餐"),'第 1 天'!P79,0))</f>
        <v>0</v>
      </c>
      <c r="D29" s="14" t="n">
        <f aca="false">SUM(IF(OR('第 1 天'!D$5="油錢"),'第 1 天'!D79,0),IF(OR('第 1 天'!F$5="油錢"),'第 1 天'!F79,0),IF(OR('第 1 天'!H$5="油錢"),'第 1 天'!H79,0),IF(OR('第 1 天'!J$5="油錢"),'第 1 天'!J79,0),IF(OR('第 1 天'!L$5="油錢"),'第 1 天'!L79,0),IF(OR('第 1 天'!N$5="油錢"),'第 1 天'!N79,0),IF(OR('第 1 天'!P$5="油錢"),'第 1 天'!P79,0))</f>
        <v>0</v>
      </c>
      <c r="E29" s="14" t="n">
        <f aca="false">SUM(IF(OR('第 1 天'!D$5="租車費"),'第 1 天'!D79,0),IF(OR('第 1 天'!F$5="租車費"),'第 1 天'!F79,0),IF(OR('第 1 天'!H$5="租車費"),'第 1 天'!H79,0),IF(OR('第 1 天'!J$5="租車費"),'第 1 天'!J79,0),IF(OR('第 1 天'!L$5="租車費"),'第 1 天'!L79,0),IF(OR('第 1 天'!N$5="租車費"),'第 1 天'!N79,0),IF(OR('第 1 天'!P$5="租車費"),'第 1 天'!P79,0))</f>
        <v>0</v>
      </c>
      <c r="F29" s="14" t="n">
        <f aca="false">SUM(IF(OR('第 1 天'!D$5="停車費",'第 1 天'!D$5="其他"),'第 1 天'!D79,0),IF(OR('第 1 天'!F$5="停車費",'第 1 天'!F$5="其他"),'第 1 天'!F79,0),IF(OR('第 1 天'!H$5="停車費",'第 1 天'!H$5="其他"),'第 1 天'!H79,0),IF(OR('第 1 天'!J$5="停車費",'第 1 天'!J$5="其他"),'第 1 天'!J79,0),IF(OR('第 1 天'!L$5="停車費",'第 1 天'!L$5="其他"),'第 1 天'!L79,0),IF(OR('第 1 天'!N$5="停車費",'第 1 天'!N$5="其他"),'第 1 天'!N79,0),IF(OR('第 1 天'!P$5="停車費",'第 1 天'!P$5="其他"),'第 1 天'!P79,0))</f>
        <v>0</v>
      </c>
      <c r="G29" s="14" t="n">
        <f aca="false">SUM(C29:F29)</f>
        <v>0</v>
      </c>
      <c r="H29" s="14" t="n">
        <f aca="false">IF(LEN(TRIM(成員名單!$B32))=0,0,SUM(IF('第 1 天'!D$7=$B29,'第 1 天'!D46,0),IF('第 1 天'!F$7=$B29,'第 1 天'!F46,0),IF('第 1 天'!H$7=$B29,'第 1 天'!H46,0),IF('第 1 天'!J$7=$B29,'第 1 天'!J46,0),IF('第 1 天'!L$7=$B29,'第 1 天'!L46,0),IF('第 1 天'!N$7=$B29,'第 1 天'!N46,0),IF('第 1 天'!P$7=$B29,'第 1 天'!P46,0)))</f>
        <v>0</v>
      </c>
    </row>
    <row r="30" customFormat="false" ht="15" hidden="false" customHeight="false" outlineLevel="0" collapsed="false">
      <c r="A30" s="13" t="s">
        <v>58</v>
      </c>
      <c r="B30" s="13" t="s">
        <v>46</v>
      </c>
      <c r="C30" s="14" t="n">
        <f aca="false">SUM(IF(OR('第 1 天'!D$5="早餐",'第 1 天'!D$5="午餐",'第 1 天'!D$5="晚餐"),'第 1 天'!D80,0),IF(OR('第 1 天'!F$5="早餐",'第 1 天'!F$5="午餐",'第 1 天'!F$5="晚餐"),'第 1 天'!F80,0),IF(OR('第 1 天'!H$5="早餐",'第 1 天'!H$5="午餐",'第 1 天'!H$5="晚餐"),'第 1 天'!H80,0),IF(OR('第 1 天'!J$5="早餐",'第 1 天'!J$5="午餐",'第 1 天'!J$5="晚餐"),'第 1 天'!J80,0),IF(OR('第 1 天'!L$5="早餐",'第 1 天'!L$5="午餐",'第 1 天'!L$5="晚餐"),'第 1 天'!L80,0),IF(OR('第 1 天'!N$5="早餐",'第 1 天'!N$5="午餐",'第 1 天'!N$5="晚餐"),'第 1 天'!N80,0),IF(OR('第 1 天'!P$5="早餐",'第 1 天'!P$5="午餐",'第 1 天'!P$5="晚餐"),'第 1 天'!P80,0))</f>
        <v>0</v>
      </c>
      <c r="D30" s="14" t="n">
        <f aca="false">SUM(IF(OR('第 1 天'!D$5="油錢"),'第 1 天'!D80,0),IF(OR('第 1 天'!F$5="油錢"),'第 1 天'!F80,0),IF(OR('第 1 天'!H$5="油錢"),'第 1 天'!H80,0),IF(OR('第 1 天'!J$5="油錢"),'第 1 天'!J80,0),IF(OR('第 1 天'!L$5="油錢"),'第 1 天'!L80,0),IF(OR('第 1 天'!N$5="油錢"),'第 1 天'!N80,0),IF(OR('第 1 天'!P$5="油錢"),'第 1 天'!P80,0))</f>
        <v>0</v>
      </c>
      <c r="E30" s="14" t="n">
        <f aca="false">SUM(IF(OR('第 1 天'!D$5="租車費"),'第 1 天'!D80,0),IF(OR('第 1 天'!F$5="租車費"),'第 1 天'!F80,0),IF(OR('第 1 天'!H$5="租車費"),'第 1 天'!H80,0),IF(OR('第 1 天'!J$5="租車費"),'第 1 天'!J80,0),IF(OR('第 1 天'!L$5="租車費"),'第 1 天'!L80,0),IF(OR('第 1 天'!N$5="租車費"),'第 1 天'!N80,0),IF(OR('第 1 天'!P$5="租車費"),'第 1 天'!P80,0))</f>
        <v>0</v>
      </c>
      <c r="F30" s="14" t="n">
        <f aca="false">SUM(IF(OR('第 1 天'!D$5="停車費",'第 1 天'!D$5="其他"),'第 1 天'!D80,0),IF(OR('第 1 天'!F$5="停車費",'第 1 天'!F$5="其他"),'第 1 天'!F80,0),IF(OR('第 1 天'!H$5="停車費",'第 1 天'!H$5="其他"),'第 1 天'!H80,0),IF(OR('第 1 天'!J$5="停車費",'第 1 天'!J$5="其他"),'第 1 天'!J80,0),IF(OR('第 1 天'!L$5="停車費",'第 1 天'!L$5="其他"),'第 1 天'!L80,0),IF(OR('第 1 天'!N$5="停車費",'第 1 天'!N$5="其他"),'第 1 天'!N80,0),IF(OR('第 1 天'!P$5="停車費",'第 1 天'!P$5="其他"),'第 1 天'!P80,0))</f>
        <v>0</v>
      </c>
      <c r="G30" s="14" t="n">
        <f aca="false">SUM(C30:F30)</f>
        <v>0</v>
      </c>
      <c r="H30" s="14" t="n">
        <f aca="false">IF(LEN(TRIM(成員名單!$B33))=0,0,SUM(IF('第 1 天'!D$7=$B30,'第 1 天'!D46,0),IF('第 1 天'!F$7=$B30,'第 1 天'!F46,0),IF('第 1 天'!H$7=$B30,'第 1 天'!H46,0),IF('第 1 天'!J$7=$B30,'第 1 天'!J46,0),IF('第 1 天'!L$7=$B30,'第 1 天'!L46,0),IF('第 1 天'!N$7=$B30,'第 1 天'!N46,0),IF('第 1 天'!P$7=$B30,'第 1 天'!P46,0)))</f>
        <v>0</v>
      </c>
    </row>
    <row r="31" customFormat="false" ht="15" hidden="false" customHeight="false" outlineLevel="0" collapsed="false">
      <c r="A31" s="13" t="s">
        <v>58</v>
      </c>
      <c r="B31" s="13" t="s">
        <v>47</v>
      </c>
      <c r="C31" s="14" t="n">
        <f aca="false">SUM(IF(OR('第 1 天'!D$5="早餐",'第 1 天'!D$5="午餐",'第 1 天'!D$5="晚餐"),'第 1 天'!D81,0),IF(OR('第 1 天'!F$5="早餐",'第 1 天'!F$5="午餐",'第 1 天'!F$5="晚餐"),'第 1 天'!F81,0),IF(OR('第 1 天'!H$5="早餐",'第 1 天'!H$5="午餐",'第 1 天'!H$5="晚餐"),'第 1 天'!H81,0),IF(OR('第 1 天'!J$5="早餐",'第 1 天'!J$5="午餐",'第 1 天'!J$5="晚餐"),'第 1 天'!J81,0),IF(OR('第 1 天'!L$5="早餐",'第 1 天'!L$5="午餐",'第 1 天'!L$5="晚餐"),'第 1 天'!L81,0),IF(OR('第 1 天'!N$5="早餐",'第 1 天'!N$5="午餐",'第 1 天'!N$5="晚餐"),'第 1 天'!N81,0),IF(OR('第 1 天'!P$5="早餐",'第 1 天'!P$5="午餐",'第 1 天'!P$5="晚餐"),'第 1 天'!P81,0))</f>
        <v>0</v>
      </c>
      <c r="D31" s="14" t="n">
        <f aca="false">SUM(IF(OR('第 1 天'!D$5="油錢"),'第 1 天'!D81,0),IF(OR('第 1 天'!F$5="油錢"),'第 1 天'!F81,0),IF(OR('第 1 天'!H$5="油錢"),'第 1 天'!H81,0),IF(OR('第 1 天'!J$5="油錢"),'第 1 天'!J81,0),IF(OR('第 1 天'!L$5="油錢"),'第 1 天'!L81,0),IF(OR('第 1 天'!N$5="油錢"),'第 1 天'!N81,0),IF(OR('第 1 天'!P$5="油錢"),'第 1 天'!P81,0))</f>
        <v>0</v>
      </c>
      <c r="E31" s="14" t="n">
        <f aca="false">SUM(IF(OR('第 1 天'!D$5="租車費"),'第 1 天'!D81,0),IF(OR('第 1 天'!F$5="租車費"),'第 1 天'!F81,0),IF(OR('第 1 天'!H$5="租車費"),'第 1 天'!H81,0),IF(OR('第 1 天'!J$5="租車費"),'第 1 天'!J81,0),IF(OR('第 1 天'!L$5="租車費"),'第 1 天'!L81,0),IF(OR('第 1 天'!N$5="租車費"),'第 1 天'!N81,0),IF(OR('第 1 天'!P$5="租車費"),'第 1 天'!P81,0))</f>
        <v>0</v>
      </c>
      <c r="F31" s="14" t="n">
        <f aca="false">SUM(IF(OR('第 1 天'!D$5="停車費",'第 1 天'!D$5="其他"),'第 1 天'!D81,0),IF(OR('第 1 天'!F$5="停車費",'第 1 天'!F$5="其他"),'第 1 天'!F81,0),IF(OR('第 1 天'!H$5="停車費",'第 1 天'!H$5="其他"),'第 1 天'!H81,0),IF(OR('第 1 天'!J$5="停車費",'第 1 天'!J$5="其他"),'第 1 天'!J81,0),IF(OR('第 1 天'!L$5="停車費",'第 1 天'!L$5="其他"),'第 1 天'!L81,0),IF(OR('第 1 天'!N$5="停車費",'第 1 天'!N$5="其他"),'第 1 天'!N81,0),IF(OR('第 1 天'!P$5="停車費",'第 1 天'!P$5="其他"),'第 1 天'!P81,0))</f>
        <v>0</v>
      </c>
      <c r="G31" s="14" t="n">
        <f aca="false">SUM(C31:F31)</f>
        <v>0</v>
      </c>
      <c r="H31" s="14" t="n">
        <f aca="false">IF(LEN(TRIM(成員名單!$B34))=0,0,SUM(IF('第 1 天'!D$7=$B31,'第 1 天'!D46,0),IF('第 1 天'!F$7=$B31,'第 1 天'!F46,0),IF('第 1 天'!H$7=$B31,'第 1 天'!H46,0),IF('第 1 天'!J$7=$B31,'第 1 天'!J46,0),IF('第 1 天'!L$7=$B31,'第 1 天'!L46,0),IF('第 1 天'!N$7=$B31,'第 1 天'!N46,0),IF('第 1 天'!P$7=$B31,'第 1 天'!P46,0)))</f>
        <v>0</v>
      </c>
    </row>
    <row r="32" customFormat="false" ht="15" hidden="false" customHeight="false" outlineLevel="0" collapsed="false">
      <c r="A32" s="13" t="s">
        <v>89</v>
      </c>
      <c r="B32" s="13" t="s">
        <v>18</v>
      </c>
      <c r="C32" s="14" t="n">
        <f aca="false">SUM(IF(OR('第 2 天'!D$5="早餐",'第 2 天'!D$5="午餐",'第 2 天'!D$5="晚餐"),'第 2 天'!D52,0),IF(OR('第 2 天'!F$5="早餐",'第 2 天'!F$5="午餐",'第 2 天'!F$5="晚餐"),'第 2 天'!F52,0),IF(OR('第 2 天'!H$5="早餐",'第 2 天'!H$5="午餐",'第 2 天'!H$5="晚餐"),'第 2 天'!H52,0),IF(OR('第 2 天'!J$5="早餐",'第 2 天'!J$5="午餐",'第 2 天'!J$5="晚餐"),'第 2 天'!J52,0),IF(OR('第 2 天'!L$5="早餐",'第 2 天'!L$5="午餐",'第 2 天'!L$5="晚餐"),'第 2 天'!L52,0),IF(OR('第 2 天'!N$5="早餐",'第 2 天'!N$5="午餐",'第 2 天'!N$5="晚餐"),'第 2 天'!N52,0),IF(OR('第 2 天'!P$5="早餐",'第 2 天'!P$5="午餐",'第 2 天'!P$5="晚餐"),'第 2 天'!P52,0))</f>
        <v>0</v>
      </c>
      <c r="D32" s="14" t="n">
        <f aca="false">SUM(IF(OR('第 2 天'!D$5="油錢"),'第 2 天'!D52,0),IF(OR('第 2 天'!F$5="油錢"),'第 2 天'!F52,0),IF(OR('第 2 天'!H$5="油錢"),'第 2 天'!H52,0),IF(OR('第 2 天'!J$5="油錢"),'第 2 天'!J52,0),IF(OR('第 2 天'!L$5="油錢"),'第 2 天'!L52,0),IF(OR('第 2 天'!N$5="油錢"),'第 2 天'!N52,0),IF(OR('第 2 天'!P$5="油錢"),'第 2 天'!P52,0))</f>
        <v>0</v>
      </c>
      <c r="E32" s="14" t="n">
        <f aca="false">SUM(IF(OR('第 2 天'!D$5="租車費"),'第 2 天'!D52,0),IF(OR('第 2 天'!F$5="租車費"),'第 2 天'!F52,0),IF(OR('第 2 天'!H$5="租車費"),'第 2 天'!H52,0),IF(OR('第 2 天'!J$5="租車費"),'第 2 天'!J52,0),IF(OR('第 2 天'!L$5="租車費"),'第 2 天'!L52,0),IF(OR('第 2 天'!N$5="租車費"),'第 2 天'!N52,0),IF(OR('第 2 天'!P$5="租車費"),'第 2 天'!P52,0))</f>
        <v>0</v>
      </c>
      <c r="F32" s="14" t="n">
        <f aca="false">SUM(IF(OR('第 2 天'!D$5="停車費",'第 2 天'!D$5="其他"),'第 2 天'!D52,0),IF(OR('第 2 天'!F$5="停車費",'第 2 天'!F$5="其他"),'第 2 天'!F52,0),IF(OR('第 2 天'!H$5="停車費",'第 2 天'!H$5="其他"),'第 2 天'!H52,0),IF(OR('第 2 天'!J$5="停車費",'第 2 天'!J$5="其他"),'第 2 天'!J52,0),IF(OR('第 2 天'!L$5="停車費",'第 2 天'!L$5="其他"),'第 2 天'!L52,0),IF(OR('第 2 天'!N$5="停車費",'第 2 天'!N$5="其他"),'第 2 天'!N52,0),IF(OR('第 2 天'!P$5="停車費",'第 2 天'!P$5="其他"),'第 2 天'!P52,0))</f>
        <v>0</v>
      </c>
      <c r="G32" s="14" t="n">
        <f aca="false">SUM(C32:F32)</f>
        <v>0</v>
      </c>
      <c r="H32" s="14" t="n">
        <f aca="false">IF(LEN(TRIM(成員名單!$B5))=0,0,SUM(IF('第 2 天'!D$7=$B32,'第 2 天'!D46,0),IF('第 2 天'!F$7=$B32,'第 2 天'!F46,0),IF('第 2 天'!H$7=$B32,'第 2 天'!H46,0),IF('第 2 天'!J$7=$B32,'第 2 天'!J46,0),IF('第 2 天'!L$7=$B32,'第 2 天'!L46,0),IF('第 2 天'!N$7=$B32,'第 2 天'!N46,0),IF('第 2 天'!P$7=$B32,'第 2 天'!P46,0)))</f>
        <v>0</v>
      </c>
    </row>
    <row r="33" customFormat="false" ht="15" hidden="false" customHeight="false" outlineLevel="0" collapsed="false">
      <c r="A33" s="13" t="s">
        <v>89</v>
      </c>
      <c r="B33" s="13" t="s">
        <v>19</v>
      </c>
      <c r="C33" s="14" t="n">
        <f aca="false">SUM(IF(OR('第 2 天'!D$5="早餐",'第 2 天'!D$5="午餐",'第 2 天'!D$5="晚餐"),'第 2 天'!D53,0),IF(OR('第 2 天'!F$5="早餐",'第 2 天'!F$5="午餐",'第 2 天'!F$5="晚餐"),'第 2 天'!F53,0),IF(OR('第 2 天'!H$5="早餐",'第 2 天'!H$5="午餐",'第 2 天'!H$5="晚餐"),'第 2 天'!H53,0),IF(OR('第 2 天'!J$5="早餐",'第 2 天'!J$5="午餐",'第 2 天'!J$5="晚餐"),'第 2 天'!J53,0),IF(OR('第 2 天'!L$5="早餐",'第 2 天'!L$5="午餐",'第 2 天'!L$5="晚餐"),'第 2 天'!L53,0),IF(OR('第 2 天'!N$5="早餐",'第 2 天'!N$5="午餐",'第 2 天'!N$5="晚餐"),'第 2 天'!N53,0),IF(OR('第 2 天'!P$5="早餐",'第 2 天'!P$5="午餐",'第 2 天'!P$5="晚餐"),'第 2 天'!P53,0))</f>
        <v>0</v>
      </c>
      <c r="D33" s="14" t="n">
        <f aca="false">SUM(IF(OR('第 2 天'!D$5="油錢"),'第 2 天'!D53,0),IF(OR('第 2 天'!F$5="油錢"),'第 2 天'!F53,0),IF(OR('第 2 天'!H$5="油錢"),'第 2 天'!H53,0),IF(OR('第 2 天'!J$5="油錢"),'第 2 天'!J53,0),IF(OR('第 2 天'!L$5="油錢"),'第 2 天'!L53,0),IF(OR('第 2 天'!N$5="油錢"),'第 2 天'!N53,0),IF(OR('第 2 天'!P$5="油錢"),'第 2 天'!P53,0))</f>
        <v>0</v>
      </c>
      <c r="E33" s="14" t="n">
        <f aca="false">SUM(IF(OR('第 2 天'!D$5="租車費"),'第 2 天'!D53,0),IF(OR('第 2 天'!F$5="租車費"),'第 2 天'!F53,0),IF(OR('第 2 天'!H$5="租車費"),'第 2 天'!H53,0),IF(OR('第 2 天'!J$5="租車費"),'第 2 天'!J53,0),IF(OR('第 2 天'!L$5="租車費"),'第 2 天'!L53,0),IF(OR('第 2 天'!N$5="租車費"),'第 2 天'!N53,0),IF(OR('第 2 天'!P$5="租車費"),'第 2 天'!P53,0))</f>
        <v>0</v>
      </c>
      <c r="F33" s="14" t="n">
        <f aca="false">SUM(IF(OR('第 2 天'!D$5="停車費",'第 2 天'!D$5="其他"),'第 2 天'!D53,0),IF(OR('第 2 天'!F$5="停車費",'第 2 天'!F$5="其他"),'第 2 天'!F53,0),IF(OR('第 2 天'!H$5="停車費",'第 2 天'!H$5="其他"),'第 2 天'!H53,0),IF(OR('第 2 天'!J$5="停車費",'第 2 天'!J$5="其他"),'第 2 天'!J53,0),IF(OR('第 2 天'!L$5="停車費",'第 2 天'!L$5="其他"),'第 2 天'!L53,0),IF(OR('第 2 天'!N$5="停車費",'第 2 天'!N$5="其他"),'第 2 天'!N53,0),IF(OR('第 2 天'!P$5="停車費",'第 2 天'!P$5="其他"),'第 2 天'!P53,0))</f>
        <v>0</v>
      </c>
      <c r="G33" s="14" t="n">
        <f aca="false">SUM(C33:F33)</f>
        <v>0</v>
      </c>
      <c r="H33" s="14" t="n">
        <f aca="false">IF(LEN(TRIM(成員名單!$B6))=0,0,SUM(IF('第 2 天'!D$7=$B33,'第 2 天'!D46,0),IF('第 2 天'!F$7=$B33,'第 2 天'!F46,0),IF('第 2 天'!H$7=$B33,'第 2 天'!H46,0),IF('第 2 天'!J$7=$B33,'第 2 天'!J46,0),IF('第 2 天'!L$7=$B33,'第 2 天'!L46,0),IF('第 2 天'!N$7=$B33,'第 2 天'!N46,0),IF('第 2 天'!P$7=$B33,'第 2 天'!P46,0)))</f>
        <v>0</v>
      </c>
    </row>
    <row r="34" customFormat="false" ht="15" hidden="false" customHeight="false" outlineLevel="0" collapsed="false">
      <c r="A34" s="13" t="s">
        <v>89</v>
      </c>
      <c r="B34" s="13" t="s">
        <v>20</v>
      </c>
      <c r="C34" s="14" t="n">
        <f aca="false">SUM(IF(OR('第 2 天'!D$5="早餐",'第 2 天'!D$5="午餐",'第 2 天'!D$5="晚餐"),'第 2 天'!D54,0),IF(OR('第 2 天'!F$5="早餐",'第 2 天'!F$5="午餐",'第 2 天'!F$5="晚餐"),'第 2 天'!F54,0),IF(OR('第 2 天'!H$5="早餐",'第 2 天'!H$5="午餐",'第 2 天'!H$5="晚餐"),'第 2 天'!H54,0),IF(OR('第 2 天'!J$5="早餐",'第 2 天'!J$5="午餐",'第 2 天'!J$5="晚餐"),'第 2 天'!J54,0),IF(OR('第 2 天'!L$5="早餐",'第 2 天'!L$5="午餐",'第 2 天'!L$5="晚餐"),'第 2 天'!L54,0),IF(OR('第 2 天'!N$5="早餐",'第 2 天'!N$5="午餐",'第 2 天'!N$5="晚餐"),'第 2 天'!N54,0),IF(OR('第 2 天'!P$5="早餐",'第 2 天'!P$5="午餐",'第 2 天'!P$5="晚餐"),'第 2 天'!P54,0))</f>
        <v>0</v>
      </c>
      <c r="D34" s="14" t="n">
        <f aca="false">SUM(IF(OR('第 2 天'!D$5="油錢"),'第 2 天'!D54,0),IF(OR('第 2 天'!F$5="油錢"),'第 2 天'!F54,0),IF(OR('第 2 天'!H$5="油錢"),'第 2 天'!H54,0),IF(OR('第 2 天'!J$5="油錢"),'第 2 天'!J54,0),IF(OR('第 2 天'!L$5="油錢"),'第 2 天'!L54,0),IF(OR('第 2 天'!N$5="油錢"),'第 2 天'!N54,0),IF(OR('第 2 天'!P$5="油錢"),'第 2 天'!P54,0))</f>
        <v>0</v>
      </c>
      <c r="E34" s="14" t="n">
        <f aca="false">SUM(IF(OR('第 2 天'!D$5="租車費"),'第 2 天'!D54,0),IF(OR('第 2 天'!F$5="租車費"),'第 2 天'!F54,0),IF(OR('第 2 天'!H$5="租車費"),'第 2 天'!H54,0),IF(OR('第 2 天'!J$5="租車費"),'第 2 天'!J54,0),IF(OR('第 2 天'!L$5="租車費"),'第 2 天'!L54,0),IF(OR('第 2 天'!N$5="租車費"),'第 2 天'!N54,0),IF(OR('第 2 天'!P$5="租車費"),'第 2 天'!P54,0))</f>
        <v>0</v>
      </c>
      <c r="F34" s="14" t="n">
        <f aca="false">SUM(IF(OR('第 2 天'!D$5="停車費",'第 2 天'!D$5="其他"),'第 2 天'!D54,0),IF(OR('第 2 天'!F$5="停車費",'第 2 天'!F$5="其他"),'第 2 天'!F54,0),IF(OR('第 2 天'!H$5="停車費",'第 2 天'!H$5="其他"),'第 2 天'!H54,0),IF(OR('第 2 天'!J$5="停車費",'第 2 天'!J$5="其他"),'第 2 天'!J54,0),IF(OR('第 2 天'!L$5="停車費",'第 2 天'!L$5="其他"),'第 2 天'!L54,0),IF(OR('第 2 天'!N$5="停車費",'第 2 天'!N$5="其他"),'第 2 天'!N54,0),IF(OR('第 2 天'!P$5="停車費",'第 2 天'!P$5="其他"),'第 2 天'!P54,0))</f>
        <v>0</v>
      </c>
      <c r="G34" s="14" t="n">
        <f aca="false">SUM(C34:F34)</f>
        <v>0</v>
      </c>
      <c r="H34" s="14" t="n">
        <f aca="false">IF(LEN(TRIM(成員名單!$B7))=0,0,SUM(IF('第 2 天'!D$7=$B34,'第 2 天'!D46,0),IF('第 2 天'!F$7=$B34,'第 2 天'!F46,0),IF('第 2 天'!H$7=$B34,'第 2 天'!H46,0),IF('第 2 天'!J$7=$B34,'第 2 天'!J46,0),IF('第 2 天'!L$7=$B34,'第 2 天'!L46,0),IF('第 2 天'!N$7=$B34,'第 2 天'!N46,0),IF('第 2 天'!P$7=$B34,'第 2 天'!P46,0)))</f>
        <v>0</v>
      </c>
    </row>
    <row r="35" customFormat="false" ht="15" hidden="false" customHeight="false" outlineLevel="0" collapsed="false">
      <c r="A35" s="13" t="s">
        <v>89</v>
      </c>
      <c r="B35" s="13" t="s">
        <v>21</v>
      </c>
      <c r="C35" s="14" t="n">
        <f aca="false">SUM(IF(OR('第 2 天'!D$5="早餐",'第 2 天'!D$5="午餐",'第 2 天'!D$5="晚餐"),'第 2 天'!D55,0),IF(OR('第 2 天'!F$5="早餐",'第 2 天'!F$5="午餐",'第 2 天'!F$5="晚餐"),'第 2 天'!F55,0),IF(OR('第 2 天'!H$5="早餐",'第 2 天'!H$5="午餐",'第 2 天'!H$5="晚餐"),'第 2 天'!H55,0),IF(OR('第 2 天'!J$5="早餐",'第 2 天'!J$5="午餐",'第 2 天'!J$5="晚餐"),'第 2 天'!J55,0),IF(OR('第 2 天'!L$5="早餐",'第 2 天'!L$5="午餐",'第 2 天'!L$5="晚餐"),'第 2 天'!L55,0),IF(OR('第 2 天'!N$5="早餐",'第 2 天'!N$5="午餐",'第 2 天'!N$5="晚餐"),'第 2 天'!N55,0),IF(OR('第 2 天'!P$5="早餐",'第 2 天'!P$5="午餐",'第 2 天'!P$5="晚餐"),'第 2 天'!P55,0))</f>
        <v>0</v>
      </c>
      <c r="D35" s="14" t="n">
        <f aca="false">SUM(IF(OR('第 2 天'!D$5="油錢"),'第 2 天'!D55,0),IF(OR('第 2 天'!F$5="油錢"),'第 2 天'!F55,0),IF(OR('第 2 天'!H$5="油錢"),'第 2 天'!H55,0),IF(OR('第 2 天'!J$5="油錢"),'第 2 天'!J55,0),IF(OR('第 2 天'!L$5="油錢"),'第 2 天'!L55,0),IF(OR('第 2 天'!N$5="油錢"),'第 2 天'!N55,0),IF(OR('第 2 天'!P$5="油錢"),'第 2 天'!P55,0))</f>
        <v>0</v>
      </c>
      <c r="E35" s="14" t="n">
        <f aca="false">SUM(IF(OR('第 2 天'!D$5="租車費"),'第 2 天'!D55,0),IF(OR('第 2 天'!F$5="租車費"),'第 2 天'!F55,0),IF(OR('第 2 天'!H$5="租車費"),'第 2 天'!H55,0),IF(OR('第 2 天'!J$5="租車費"),'第 2 天'!J55,0),IF(OR('第 2 天'!L$5="租車費"),'第 2 天'!L55,0),IF(OR('第 2 天'!N$5="租車費"),'第 2 天'!N55,0),IF(OR('第 2 天'!P$5="租車費"),'第 2 天'!P55,0))</f>
        <v>0</v>
      </c>
      <c r="F35" s="14" t="n">
        <f aca="false">SUM(IF(OR('第 2 天'!D$5="停車費",'第 2 天'!D$5="其他"),'第 2 天'!D55,0),IF(OR('第 2 天'!F$5="停車費",'第 2 天'!F$5="其他"),'第 2 天'!F55,0),IF(OR('第 2 天'!H$5="停車費",'第 2 天'!H$5="其他"),'第 2 天'!H55,0),IF(OR('第 2 天'!J$5="停車費",'第 2 天'!J$5="其他"),'第 2 天'!J55,0),IF(OR('第 2 天'!L$5="停車費",'第 2 天'!L$5="其他"),'第 2 天'!L55,0),IF(OR('第 2 天'!N$5="停車費",'第 2 天'!N$5="其他"),'第 2 天'!N55,0),IF(OR('第 2 天'!P$5="停車費",'第 2 天'!P$5="其他"),'第 2 天'!P55,0))</f>
        <v>0</v>
      </c>
      <c r="G35" s="14" t="n">
        <f aca="false">SUM(C35:F35)</f>
        <v>0</v>
      </c>
      <c r="H35" s="14" t="n">
        <f aca="false">IF(LEN(TRIM(成員名單!$B8))=0,0,SUM(IF('第 2 天'!D$7=$B35,'第 2 天'!D46,0),IF('第 2 天'!F$7=$B35,'第 2 天'!F46,0),IF('第 2 天'!H$7=$B35,'第 2 天'!H46,0),IF('第 2 天'!J$7=$B35,'第 2 天'!J46,0),IF('第 2 天'!L$7=$B35,'第 2 天'!L46,0),IF('第 2 天'!N$7=$B35,'第 2 天'!N46,0),IF('第 2 天'!P$7=$B35,'第 2 天'!P46,0)))</f>
        <v>0</v>
      </c>
    </row>
    <row r="36" customFormat="false" ht="15" hidden="false" customHeight="false" outlineLevel="0" collapsed="false">
      <c r="A36" s="13" t="s">
        <v>89</v>
      </c>
      <c r="B36" s="13" t="s">
        <v>22</v>
      </c>
      <c r="C36" s="14" t="n">
        <f aca="false">SUM(IF(OR('第 2 天'!D$5="早餐",'第 2 天'!D$5="午餐",'第 2 天'!D$5="晚餐"),'第 2 天'!D56,0),IF(OR('第 2 天'!F$5="早餐",'第 2 天'!F$5="午餐",'第 2 天'!F$5="晚餐"),'第 2 天'!F56,0),IF(OR('第 2 天'!H$5="早餐",'第 2 天'!H$5="午餐",'第 2 天'!H$5="晚餐"),'第 2 天'!H56,0),IF(OR('第 2 天'!J$5="早餐",'第 2 天'!J$5="午餐",'第 2 天'!J$5="晚餐"),'第 2 天'!J56,0),IF(OR('第 2 天'!L$5="早餐",'第 2 天'!L$5="午餐",'第 2 天'!L$5="晚餐"),'第 2 天'!L56,0),IF(OR('第 2 天'!N$5="早餐",'第 2 天'!N$5="午餐",'第 2 天'!N$5="晚餐"),'第 2 天'!N56,0),IF(OR('第 2 天'!P$5="早餐",'第 2 天'!P$5="午餐",'第 2 天'!P$5="晚餐"),'第 2 天'!P56,0))</f>
        <v>0</v>
      </c>
      <c r="D36" s="14" t="n">
        <f aca="false">SUM(IF(OR('第 2 天'!D$5="油錢"),'第 2 天'!D56,0),IF(OR('第 2 天'!F$5="油錢"),'第 2 天'!F56,0),IF(OR('第 2 天'!H$5="油錢"),'第 2 天'!H56,0),IF(OR('第 2 天'!J$5="油錢"),'第 2 天'!J56,0),IF(OR('第 2 天'!L$5="油錢"),'第 2 天'!L56,0),IF(OR('第 2 天'!N$5="油錢"),'第 2 天'!N56,0),IF(OR('第 2 天'!P$5="油錢"),'第 2 天'!P56,0))</f>
        <v>0</v>
      </c>
      <c r="E36" s="14" t="n">
        <f aca="false">SUM(IF(OR('第 2 天'!D$5="租車費"),'第 2 天'!D56,0),IF(OR('第 2 天'!F$5="租車費"),'第 2 天'!F56,0),IF(OR('第 2 天'!H$5="租車費"),'第 2 天'!H56,0),IF(OR('第 2 天'!J$5="租車費"),'第 2 天'!J56,0),IF(OR('第 2 天'!L$5="租車費"),'第 2 天'!L56,0),IF(OR('第 2 天'!N$5="租車費"),'第 2 天'!N56,0),IF(OR('第 2 天'!P$5="租車費"),'第 2 天'!P56,0))</f>
        <v>0</v>
      </c>
      <c r="F36" s="14" t="n">
        <f aca="false">SUM(IF(OR('第 2 天'!D$5="停車費",'第 2 天'!D$5="其他"),'第 2 天'!D56,0),IF(OR('第 2 天'!F$5="停車費",'第 2 天'!F$5="其他"),'第 2 天'!F56,0),IF(OR('第 2 天'!H$5="停車費",'第 2 天'!H$5="其他"),'第 2 天'!H56,0),IF(OR('第 2 天'!J$5="停車費",'第 2 天'!J$5="其他"),'第 2 天'!J56,0),IF(OR('第 2 天'!L$5="停車費",'第 2 天'!L$5="其他"),'第 2 天'!L56,0),IF(OR('第 2 天'!N$5="停車費",'第 2 天'!N$5="其他"),'第 2 天'!N56,0),IF(OR('第 2 天'!P$5="停車費",'第 2 天'!P$5="其他"),'第 2 天'!P56,0))</f>
        <v>0</v>
      </c>
      <c r="G36" s="14" t="n">
        <f aca="false">SUM(C36:F36)</f>
        <v>0</v>
      </c>
      <c r="H36" s="14" t="n">
        <f aca="false">IF(LEN(TRIM(成員名單!$B9))=0,0,SUM(IF('第 2 天'!D$7=$B36,'第 2 天'!D46,0),IF('第 2 天'!F$7=$B36,'第 2 天'!F46,0),IF('第 2 天'!H$7=$B36,'第 2 天'!H46,0),IF('第 2 天'!J$7=$B36,'第 2 天'!J46,0),IF('第 2 天'!L$7=$B36,'第 2 天'!L46,0),IF('第 2 天'!N$7=$B36,'第 2 天'!N46,0),IF('第 2 天'!P$7=$B36,'第 2 天'!P46,0)))</f>
        <v>0</v>
      </c>
    </row>
    <row r="37" customFormat="false" ht="15" hidden="false" customHeight="false" outlineLevel="0" collapsed="false">
      <c r="A37" s="13" t="s">
        <v>89</v>
      </c>
      <c r="B37" s="13" t="s">
        <v>23</v>
      </c>
      <c r="C37" s="14" t="n">
        <f aca="false">SUM(IF(OR('第 2 天'!D$5="早餐",'第 2 天'!D$5="午餐",'第 2 天'!D$5="晚餐"),'第 2 天'!D57,0),IF(OR('第 2 天'!F$5="早餐",'第 2 天'!F$5="午餐",'第 2 天'!F$5="晚餐"),'第 2 天'!F57,0),IF(OR('第 2 天'!H$5="早餐",'第 2 天'!H$5="午餐",'第 2 天'!H$5="晚餐"),'第 2 天'!H57,0),IF(OR('第 2 天'!J$5="早餐",'第 2 天'!J$5="午餐",'第 2 天'!J$5="晚餐"),'第 2 天'!J57,0),IF(OR('第 2 天'!L$5="早餐",'第 2 天'!L$5="午餐",'第 2 天'!L$5="晚餐"),'第 2 天'!L57,0),IF(OR('第 2 天'!N$5="早餐",'第 2 天'!N$5="午餐",'第 2 天'!N$5="晚餐"),'第 2 天'!N57,0),IF(OR('第 2 天'!P$5="早餐",'第 2 天'!P$5="午餐",'第 2 天'!P$5="晚餐"),'第 2 天'!P57,0))</f>
        <v>0</v>
      </c>
      <c r="D37" s="14" t="n">
        <f aca="false">SUM(IF(OR('第 2 天'!D$5="油錢"),'第 2 天'!D57,0),IF(OR('第 2 天'!F$5="油錢"),'第 2 天'!F57,0),IF(OR('第 2 天'!H$5="油錢"),'第 2 天'!H57,0),IF(OR('第 2 天'!J$5="油錢"),'第 2 天'!J57,0),IF(OR('第 2 天'!L$5="油錢"),'第 2 天'!L57,0),IF(OR('第 2 天'!N$5="油錢"),'第 2 天'!N57,0),IF(OR('第 2 天'!P$5="油錢"),'第 2 天'!P57,0))</f>
        <v>0</v>
      </c>
      <c r="E37" s="14" t="n">
        <f aca="false">SUM(IF(OR('第 2 天'!D$5="租車費"),'第 2 天'!D57,0),IF(OR('第 2 天'!F$5="租車費"),'第 2 天'!F57,0),IF(OR('第 2 天'!H$5="租車費"),'第 2 天'!H57,0),IF(OR('第 2 天'!J$5="租車費"),'第 2 天'!J57,0),IF(OR('第 2 天'!L$5="租車費"),'第 2 天'!L57,0),IF(OR('第 2 天'!N$5="租車費"),'第 2 天'!N57,0),IF(OR('第 2 天'!P$5="租車費"),'第 2 天'!P57,0))</f>
        <v>0</v>
      </c>
      <c r="F37" s="14" t="n">
        <f aca="false">SUM(IF(OR('第 2 天'!D$5="停車費",'第 2 天'!D$5="其他"),'第 2 天'!D57,0),IF(OR('第 2 天'!F$5="停車費",'第 2 天'!F$5="其他"),'第 2 天'!F57,0),IF(OR('第 2 天'!H$5="停車費",'第 2 天'!H$5="其他"),'第 2 天'!H57,0),IF(OR('第 2 天'!J$5="停車費",'第 2 天'!J$5="其他"),'第 2 天'!J57,0),IF(OR('第 2 天'!L$5="停車費",'第 2 天'!L$5="其他"),'第 2 天'!L57,0),IF(OR('第 2 天'!N$5="停車費",'第 2 天'!N$5="其他"),'第 2 天'!N57,0),IF(OR('第 2 天'!P$5="停車費",'第 2 天'!P$5="其他"),'第 2 天'!P57,0))</f>
        <v>0</v>
      </c>
      <c r="G37" s="14" t="n">
        <f aca="false">SUM(C37:F37)</f>
        <v>0</v>
      </c>
      <c r="H37" s="14" t="n">
        <f aca="false">IF(LEN(TRIM(成員名單!$B10))=0,0,SUM(IF('第 2 天'!D$7=$B37,'第 2 天'!D46,0),IF('第 2 天'!F$7=$B37,'第 2 天'!F46,0),IF('第 2 天'!H$7=$B37,'第 2 天'!H46,0),IF('第 2 天'!J$7=$B37,'第 2 天'!J46,0),IF('第 2 天'!L$7=$B37,'第 2 天'!L46,0),IF('第 2 天'!N$7=$B37,'第 2 天'!N46,0),IF('第 2 天'!P$7=$B37,'第 2 天'!P46,0)))</f>
        <v>0</v>
      </c>
    </row>
    <row r="38" customFormat="false" ht="15" hidden="false" customHeight="false" outlineLevel="0" collapsed="false">
      <c r="A38" s="13" t="s">
        <v>89</v>
      </c>
      <c r="B38" s="13" t="s">
        <v>24</v>
      </c>
      <c r="C38" s="14" t="n">
        <f aca="false">SUM(IF(OR('第 2 天'!D$5="早餐",'第 2 天'!D$5="午餐",'第 2 天'!D$5="晚餐"),'第 2 天'!D58,0),IF(OR('第 2 天'!F$5="早餐",'第 2 天'!F$5="午餐",'第 2 天'!F$5="晚餐"),'第 2 天'!F58,0),IF(OR('第 2 天'!H$5="早餐",'第 2 天'!H$5="午餐",'第 2 天'!H$5="晚餐"),'第 2 天'!H58,0),IF(OR('第 2 天'!J$5="早餐",'第 2 天'!J$5="午餐",'第 2 天'!J$5="晚餐"),'第 2 天'!J58,0),IF(OR('第 2 天'!L$5="早餐",'第 2 天'!L$5="午餐",'第 2 天'!L$5="晚餐"),'第 2 天'!L58,0),IF(OR('第 2 天'!N$5="早餐",'第 2 天'!N$5="午餐",'第 2 天'!N$5="晚餐"),'第 2 天'!N58,0),IF(OR('第 2 天'!P$5="早餐",'第 2 天'!P$5="午餐",'第 2 天'!P$5="晚餐"),'第 2 天'!P58,0))</f>
        <v>0</v>
      </c>
      <c r="D38" s="14" t="n">
        <f aca="false">SUM(IF(OR('第 2 天'!D$5="油錢"),'第 2 天'!D58,0),IF(OR('第 2 天'!F$5="油錢"),'第 2 天'!F58,0),IF(OR('第 2 天'!H$5="油錢"),'第 2 天'!H58,0),IF(OR('第 2 天'!J$5="油錢"),'第 2 天'!J58,0),IF(OR('第 2 天'!L$5="油錢"),'第 2 天'!L58,0),IF(OR('第 2 天'!N$5="油錢"),'第 2 天'!N58,0),IF(OR('第 2 天'!P$5="油錢"),'第 2 天'!P58,0))</f>
        <v>0</v>
      </c>
      <c r="E38" s="14" t="n">
        <f aca="false">SUM(IF(OR('第 2 天'!D$5="租車費"),'第 2 天'!D58,0),IF(OR('第 2 天'!F$5="租車費"),'第 2 天'!F58,0),IF(OR('第 2 天'!H$5="租車費"),'第 2 天'!H58,0),IF(OR('第 2 天'!J$5="租車費"),'第 2 天'!J58,0),IF(OR('第 2 天'!L$5="租車費"),'第 2 天'!L58,0),IF(OR('第 2 天'!N$5="租車費"),'第 2 天'!N58,0),IF(OR('第 2 天'!P$5="租車費"),'第 2 天'!P58,0))</f>
        <v>0</v>
      </c>
      <c r="F38" s="14" t="n">
        <f aca="false">SUM(IF(OR('第 2 天'!D$5="停車費",'第 2 天'!D$5="其他"),'第 2 天'!D58,0),IF(OR('第 2 天'!F$5="停車費",'第 2 天'!F$5="其他"),'第 2 天'!F58,0),IF(OR('第 2 天'!H$5="停車費",'第 2 天'!H$5="其他"),'第 2 天'!H58,0),IF(OR('第 2 天'!J$5="停車費",'第 2 天'!J$5="其他"),'第 2 天'!J58,0),IF(OR('第 2 天'!L$5="停車費",'第 2 天'!L$5="其他"),'第 2 天'!L58,0),IF(OR('第 2 天'!N$5="停車費",'第 2 天'!N$5="其他"),'第 2 天'!N58,0),IF(OR('第 2 天'!P$5="停車費",'第 2 天'!P$5="其他"),'第 2 天'!P58,0))</f>
        <v>0</v>
      </c>
      <c r="G38" s="14" t="n">
        <f aca="false">SUM(C38:F38)</f>
        <v>0</v>
      </c>
      <c r="H38" s="14" t="n">
        <f aca="false">IF(LEN(TRIM(成員名單!$B11))=0,0,SUM(IF('第 2 天'!D$7=$B38,'第 2 天'!D46,0),IF('第 2 天'!F$7=$B38,'第 2 天'!F46,0),IF('第 2 天'!H$7=$B38,'第 2 天'!H46,0),IF('第 2 天'!J$7=$B38,'第 2 天'!J46,0),IF('第 2 天'!L$7=$B38,'第 2 天'!L46,0),IF('第 2 天'!N$7=$B38,'第 2 天'!N46,0),IF('第 2 天'!P$7=$B38,'第 2 天'!P46,0)))</f>
        <v>0</v>
      </c>
    </row>
    <row r="39" customFormat="false" ht="15" hidden="false" customHeight="false" outlineLevel="0" collapsed="false">
      <c r="A39" s="13" t="s">
        <v>89</v>
      </c>
      <c r="B39" s="13" t="s">
        <v>25</v>
      </c>
      <c r="C39" s="14" t="n">
        <f aca="false">SUM(IF(OR('第 2 天'!D$5="早餐",'第 2 天'!D$5="午餐",'第 2 天'!D$5="晚餐"),'第 2 天'!D59,0),IF(OR('第 2 天'!F$5="早餐",'第 2 天'!F$5="午餐",'第 2 天'!F$5="晚餐"),'第 2 天'!F59,0),IF(OR('第 2 天'!H$5="早餐",'第 2 天'!H$5="午餐",'第 2 天'!H$5="晚餐"),'第 2 天'!H59,0),IF(OR('第 2 天'!J$5="早餐",'第 2 天'!J$5="午餐",'第 2 天'!J$5="晚餐"),'第 2 天'!J59,0),IF(OR('第 2 天'!L$5="早餐",'第 2 天'!L$5="午餐",'第 2 天'!L$5="晚餐"),'第 2 天'!L59,0),IF(OR('第 2 天'!N$5="早餐",'第 2 天'!N$5="午餐",'第 2 天'!N$5="晚餐"),'第 2 天'!N59,0),IF(OR('第 2 天'!P$5="早餐",'第 2 天'!P$5="午餐",'第 2 天'!P$5="晚餐"),'第 2 天'!P59,0))</f>
        <v>0</v>
      </c>
      <c r="D39" s="14" t="n">
        <f aca="false">SUM(IF(OR('第 2 天'!D$5="油錢"),'第 2 天'!D59,0),IF(OR('第 2 天'!F$5="油錢"),'第 2 天'!F59,0),IF(OR('第 2 天'!H$5="油錢"),'第 2 天'!H59,0),IF(OR('第 2 天'!J$5="油錢"),'第 2 天'!J59,0),IF(OR('第 2 天'!L$5="油錢"),'第 2 天'!L59,0),IF(OR('第 2 天'!N$5="油錢"),'第 2 天'!N59,0),IF(OR('第 2 天'!P$5="油錢"),'第 2 天'!P59,0))</f>
        <v>0</v>
      </c>
      <c r="E39" s="14" t="n">
        <f aca="false">SUM(IF(OR('第 2 天'!D$5="租車費"),'第 2 天'!D59,0),IF(OR('第 2 天'!F$5="租車費"),'第 2 天'!F59,0),IF(OR('第 2 天'!H$5="租車費"),'第 2 天'!H59,0),IF(OR('第 2 天'!J$5="租車費"),'第 2 天'!J59,0),IF(OR('第 2 天'!L$5="租車費"),'第 2 天'!L59,0),IF(OR('第 2 天'!N$5="租車費"),'第 2 天'!N59,0),IF(OR('第 2 天'!P$5="租車費"),'第 2 天'!P59,0))</f>
        <v>0</v>
      </c>
      <c r="F39" s="14" t="n">
        <f aca="false">SUM(IF(OR('第 2 天'!D$5="停車費",'第 2 天'!D$5="其他"),'第 2 天'!D59,0),IF(OR('第 2 天'!F$5="停車費",'第 2 天'!F$5="其他"),'第 2 天'!F59,0),IF(OR('第 2 天'!H$5="停車費",'第 2 天'!H$5="其他"),'第 2 天'!H59,0),IF(OR('第 2 天'!J$5="停車費",'第 2 天'!J$5="其他"),'第 2 天'!J59,0),IF(OR('第 2 天'!L$5="停車費",'第 2 天'!L$5="其他"),'第 2 天'!L59,0),IF(OR('第 2 天'!N$5="停車費",'第 2 天'!N$5="其他"),'第 2 天'!N59,0),IF(OR('第 2 天'!P$5="停車費",'第 2 天'!P$5="其他"),'第 2 天'!P59,0))</f>
        <v>0</v>
      </c>
      <c r="G39" s="14" t="n">
        <f aca="false">SUM(C39:F39)</f>
        <v>0</v>
      </c>
      <c r="H39" s="14" t="n">
        <f aca="false">IF(LEN(TRIM(成員名單!$B12))=0,0,SUM(IF('第 2 天'!D$7=$B39,'第 2 天'!D46,0),IF('第 2 天'!F$7=$B39,'第 2 天'!F46,0),IF('第 2 天'!H$7=$B39,'第 2 天'!H46,0),IF('第 2 天'!J$7=$B39,'第 2 天'!J46,0),IF('第 2 天'!L$7=$B39,'第 2 天'!L46,0),IF('第 2 天'!N$7=$B39,'第 2 天'!N46,0),IF('第 2 天'!P$7=$B39,'第 2 天'!P46,0)))</f>
        <v>0</v>
      </c>
    </row>
    <row r="40" customFormat="false" ht="15" hidden="false" customHeight="false" outlineLevel="0" collapsed="false">
      <c r="A40" s="13" t="s">
        <v>89</v>
      </c>
      <c r="B40" s="13" t="s">
        <v>26</v>
      </c>
      <c r="C40" s="14" t="n">
        <f aca="false">SUM(IF(OR('第 2 天'!D$5="早餐",'第 2 天'!D$5="午餐",'第 2 天'!D$5="晚餐"),'第 2 天'!D60,0),IF(OR('第 2 天'!F$5="早餐",'第 2 天'!F$5="午餐",'第 2 天'!F$5="晚餐"),'第 2 天'!F60,0),IF(OR('第 2 天'!H$5="早餐",'第 2 天'!H$5="午餐",'第 2 天'!H$5="晚餐"),'第 2 天'!H60,0),IF(OR('第 2 天'!J$5="早餐",'第 2 天'!J$5="午餐",'第 2 天'!J$5="晚餐"),'第 2 天'!J60,0),IF(OR('第 2 天'!L$5="早餐",'第 2 天'!L$5="午餐",'第 2 天'!L$5="晚餐"),'第 2 天'!L60,0),IF(OR('第 2 天'!N$5="早餐",'第 2 天'!N$5="午餐",'第 2 天'!N$5="晚餐"),'第 2 天'!N60,0),IF(OR('第 2 天'!P$5="早餐",'第 2 天'!P$5="午餐",'第 2 天'!P$5="晚餐"),'第 2 天'!P60,0))</f>
        <v>0</v>
      </c>
      <c r="D40" s="14" t="n">
        <f aca="false">SUM(IF(OR('第 2 天'!D$5="油錢"),'第 2 天'!D60,0),IF(OR('第 2 天'!F$5="油錢"),'第 2 天'!F60,0),IF(OR('第 2 天'!H$5="油錢"),'第 2 天'!H60,0),IF(OR('第 2 天'!J$5="油錢"),'第 2 天'!J60,0),IF(OR('第 2 天'!L$5="油錢"),'第 2 天'!L60,0),IF(OR('第 2 天'!N$5="油錢"),'第 2 天'!N60,0),IF(OR('第 2 天'!P$5="油錢"),'第 2 天'!P60,0))</f>
        <v>0</v>
      </c>
      <c r="E40" s="14" t="n">
        <f aca="false">SUM(IF(OR('第 2 天'!D$5="租車費"),'第 2 天'!D60,0),IF(OR('第 2 天'!F$5="租車費"),'第 2 天'!F60,0),IF(OR('第 2 天'!H$5="租車費"),'第 2 天'!H60,0),IF(OR('第 2 天'!J$5="租車費"),'第 2 天'!J60,0),IF(OR('第 2 天'!L$5="租車費"),'第 2 天'!L60,0),IF(OR('第 2 天'!N$5="租車費"),'第 2 天'!N60,0),IF(OR('第 2 天'!P$5="租車費"),'第 2 天'!P60,0))</f>
        <v>0</v>
      </c>
      <c r="F40" s="14" t="n">
        <f aca="false">SUM(IF(OR('第 2 天'!D$5="停車費",'第 2 天'!D$5="其他"),'第 2 天'!D60,0),IF(OR('第 2 天'!F$5="停車費",'第 2 天'!F$5="其他"),'第 2 天'!F60,0),IF(OR('第 2 天'!H$5="停車費",'第 2 天'!H$5="其他"),'第 2 天'!H60,0),IF(OR('第 2 天'!J$5="停車費",'第 2 天'!J$5="其他"),'第 2 天'!J60,0),IF(OR('第 2 天'!L$5="停車費",'第 2 天'!L$5="其他"),'第 2 天'!L60,0),IF(OR('第 2 天'!N$5="停車費",'第 2 天'!N$5="其他"),'第 2 天'!N60,0),IF(OR('第 2 天'!P$5="停車費",'第 2 天'!P$5="其他"),'第 2 天'!P60,0))</f>
        <v>0</v>
      </c>
      <c r="G40" s="14" t="n">
        <f aca="false">SUM(C40:F40)</f>
        <v>0</v>
      </c>
      <c r="H40" s="14" t="n">
        <f aca="false">IF(LEN(TRIM(成員名單!$B13))=0,0,SUM(IF('第 2 天'!D$7=$B40,'第 2 天'!D46,0),IF('第 2 天'!F$7=$B40,'第 2 天'!F46,0),IF('第 2 天'!H$7=$B40,'第 2 天'!H46,0),IF('第 2 天'!J$7=$B40,'第 2 天'!J46,0),IF('第 2 天'!L$7=$B40,'第 2 天'!L46,0),IF('第 2 天'!N$7=$B40,'第 2 天'!N46,0),IF('第 2 天'!P$7=$B40,'第 2 天'!P46,0)))</f>
        <v>0</v>
      </c>
    </row>
    <row r="41" customFormat="false" ht="15" hidden="false" customHeight="false" outlineLevel="0" collapsed="false">
      <c r="A41" s="13" t="s">
        <v>89</v>
      </c>
      <c r="B41" s="13" t="s">
        <v>27</v>
      </c>
      <c r="C41" s="14" t="n">
        <f aca="false">SUM(IF(OR('第 2 天'!D$5="早餐",'第 2 天'!D$5="午餐",'第 2 天'!D$5="晚餐"),'第 2 天'!D61,0),IF(OR('第 2 天'!F$5="早餐",'第 2 天'!F$5="午餐",'第 2 天'!F$5="晚餐"),'第 2 天'!F61,0),IF(OR('第 2 天'!H$5="早餐",'第 2 天'!H$5="午餐",'第 2 天'!H$5="晚餐"),'第 2 天'!H61,0),IF(OR('第 2 天'!J$5="早餐",'第 2 天'!J$5="午餐",'第 2 天'!J$5="晚餐"),'第 2 天'!J61,0),IF(OR('第 2 天'!L$5="早餐",'第 2 天'!L$5="午餐",'第 2 天'!L$5="晚餐"),'第 2 天'!L61,0),IF(OR('第 2 天'!N$5="早餐",'第 2 天'!N$5="午餐",'第 2 天'!N$5="晚餐"),'第 2 天'!N61,0),IF(OR('第 2 天'!P$5="早餐",'第 2 天'!P$5="午餐",'第 2 天'!P$5="晚餐"),'第 2 天'!P61,0))</f>
        <v>0</v>
      </c>
      <c r="D41" s="14" t="n">
        <f aca="false">SUM(IF(OR('第 2 天'!D$5="油錢"),'第 2 天'!D61,0),IF(OR('第 2 天'!F$5="油錢"),'第 2 天'!F61,0),IF(OR('第 2 天'!H$5="油錢"),'第 2 天'!H61,0),IF(OR('第 2 天'!J$5="油錢"),'第 2 天'!J61,0),IF(OR('第 2 天'!L$5="油錢"),'第 2 天'!L61,0),IF(OR('第 2 天'!N$5="油錢"),'第 2 天'!N61,0),IF(OR('第 2 天'!P$5="油錢"),'第 2 天'!P61,0))</f>
        <v>0</v>
      </c>
      <c r="E41" s="14" t="n">
        <f aca="false">SUM(IF(OR('第 2 天'!D$5="租車費"),'第 2 天'!D61,0),IF(OR('第 2 天'!F$5="租車費"),'第 2 天'!F61,0),IF(OR('第 2 天'!H$5="租車費"),'第 2 天'!H61,0),IF(OR('第 2 天'!J$5="租車費"),'第 2 天'!J61,0),IF(OR('第 2 天'!L$5="租車費"),'第 2 天'!L61,0),IF(OR('第 2 天'!N$5="租車費"),'第 2 天'!N61,0),IF(OR('第 2 天'!P$5="租車費"),'第 2 天'!P61,0))</f>
        <v>0</v>
      </c>
      <c r="F41" s="14" t="n">
        <f aca="false">SUM(IF(OR('第 2 天'!D$5="停車費",'第 2 天'!D$5="其他"),'第 2 天'!D61,0),IF(OR('第 2 天'!F$5="停車費",'第 2 天'!F$5="其他"),'第 2 天'!F61,0),IF(OR('第 2 天'!H$5="停車費",'第 2 天'!H$5="其他"),'第 2 天'!H61,0),IF(OR('第 2 天'!J$5="停車費",'第 2 天'!J$5="其他"),'第 2 天'!J61,0),IF(OR('第 2 天'!L$5="停車費",'第 2 天'!L$5="其他"),'第 2 天'!L61,0),IF(OR('第 2 天'!N$5="停車費",'第 2 天'!N$5="其他"),'第 2 天'!N61,0),IF(OR('第 2 天'!P$5="停車費",'第 2 天'!P$5="其他"),'第 2 天'!P61,0))</f>
        <v>0</v>
      </c>
      <c r="G41" s="14" t="n">
        <f aca="false">SUM(C41:F41)</f>
        <v>0</v>
      </c>
      <c r="H41" s="14" t="n">
        <f aca="false">IF(LEN(TRIM(成員名單!$B14))=0,0,SUM(IF('第 2 天'!D$7=$B41,'第 2 天'!D46,0),IF('第 2 天'!F$7=$B41,'第 2 天'!F46,0),IF('第 2 天'!H$7=$B41,'第 2 天'!H46,0),IF('第 2 天'!J$7=$B41,'第 2 天'!J46,0),IF('第 2 天'!L$7=$B41,'第 2 天'!L46,0),IF('第 2 天'!N$7=$B41,'第 2 天'!N46,0),IF('第 2 天'!P$7=$B41,'第 2 天'!P46,0)))</f>
        <v>0</v>
      </c>
    </row>
    <row r="42" customFormat="false" ht="15" hidden="false" customHeight="false" outlineLevel="0" collapsed="false">
      <c r="A42" s="13" t="s">
        <v>89</v>
      </c>
      <c r="B42" s="13" t="s">
        <v>28</v>
      </c>
      <c r="C42" s="14" t="n">
        <f aca="false">SUM(IF(OR('第 2 天'!D$5="早餐",'第 2 天'!D$5="午餐",'第 2 天'!D$5="晚餐"),'第 2 天'!D62,0),IF(OR('第 2 天'!F$5="早餐",'第 2 天'!F$5="午餐",'第 2 天'!F$5="晚餐"),'第 2 天'!F62,0),IF(OR('第 2 天'!H$5="早餐",'第 2 天'!H$5="午餐",'第 2 天'!H$5="晚餐"),'第 2 天'!H62,0),IF(OR('第 2 天'!J$5="早餐",'第 2 天'!J$5="午餐",'第 2 天'!J$5="晚餐"),'第 2 天'!J62,0),IF(OR('第 2 天'!L$5="早餐",'第 2 天'!L$5="午餐",'第 2 天'!L$5="晚餐"),'第 2 天'!L62,0),IF(OR('第 2 天'!N$5="早餐",'第 2 天'!N$5="午餐",'第 2 天'!N$5="晚餐"),'第 2 天'!N62,0),IF(OR('第 2 天'!P$5="早餐",'第 2 天'!P$5="午餐",'第 2 天'!P$5="晚餐"),'第 2 天'!P62,0))</f>
        <v>0</v>
      </c>
      <c r="D42" s="14" t="n">
        <f aca="false">SUM(IF(OR('第 2 天'!D$5="油錢"),'第 2 天'!D62,0),IF(OR('第 2 天'!F$5="油錢"),'第 2 天'!F62,0),IF(OR('第 2 天'!H$5="油錢"),'第 2 天'!H62,0),IF(OR('第 2 天'!J$5="油錢"),'第 2 天'!J62,0),IF(OR('第 2 天'!L$5="油錢"),'第 2 天'!L62,0),IF(OR('第 2 天'!N$5="油錢"),'第 2 天'!N62,0),IF(OR('第 2 天'!P$5="油錢"),'第 2 天'!P62,0))</f>
        <v>0</v>
      </c>
      <c r="E42" s="14" t="n">
        <f aca="false">SUM(IF(OR('第 2 天'!D$5="租車費"),'第 2 天'!D62,0),IF(OR('第 2 天'!F$5="租車費"),'第 2 天'!F62,0),IF(OR('第 2 天'!H$5="租車費"),'第 2 天'!H62,0),IF(OR('第 2 天'!J$5="租車費"),'第 2 天'!J62,0),IF(OR('第 2 天'!L$5="租車費"),'第 2 天'!L62,0),IF(OR('第 2 天'!N$5="租車費"),'第 2 天'!N62,0),IF(OR('第 2 天'!P$5="租車費"),'第 2 天'!P62,0))</f>
        <v>0</v>
      </c>
      <c r="F42" s="14" t="n">
        <f aca="false">SUM(IF(OR('第 2 天'!D$5="停車費",'第 2 天'!D$5="其他"),'第 2 天'!D62,0),IF(OR('第 2 天'!F$5="停車費",'第 2 天'!F$5="其他"),'第 2 天'!F62,0),IF(OR('第 2 天'!H$5="停車費",'第 2 天'!H$5="其他"),'第 2 天'!H62,0),IF(OR('第 2 天'!J$5="停車費",'第 2 天'!J$5="其他"),'第 2 天'!J62,0),IF(OR('第 2 天'!L$5="停車費",'第 2 天'!L$5="其他"),'第 2 天'!L62,0),IF(OR('第 2 天'!N$5="停車費",'第 2 天'!N$5="其他"),'第 2 天'!N62,0),IF(OR('第 2 天'!P$5="停車費",'第 2 天'!P$5="其他"),'第 2 天'!P62,0))</f>
        <v>0</v>
      </c>
      <c r="G42" s="14" t="n">
        <f aca="false">SUM(C42:F42)</f>
        <v>0</v>
      </c>
      <c r="H42" s="14" t="n">
        <f aca="false">IF(LEN(TRIM(成員名單!$B15))=0,0,SUM(IF('第 2 天'!D$7=$B42,'第 2 天'!D46,0),IF('第 2 天'!F$7=$B42,'第 2 天'!F46,0),IF('第 2 天'!H$7=$B42,'第 2 天'!H46,0),IF('第 2 天'!J$7=$B42,'第 2 天'!J46,0),IF('第 2 天'!L$7=$B42,'第 2 天'!L46,0),IF('第 2 天'!N$7=$B42,'第 2 天'!N46,0),IF('第 2 天'!P$7=$B42,'第 2 天'!P46,0)))</f>
        <v>0</v>
      </c>
    </row>
    <row r="43" customFormat="false" ht="15" hidden="false" customHeight="false" outlineLevel="0" collapsed="false">
      <c r="A43" s="13" t="s">
        <v>89</v>
      </c>
      <c r="B43" s="13" t="s">
        <v>29</v>
      </c>
      <c r="C43" s="14" t="n">
        <f aca="false">SUM(IF(OR('第 2 天'!D$5="早餐",'第 2 天'!D$5="午餐",'第 2 天'!D$5="晚餐"),'第 2 天'!D63,0),IF(OR('第 2 天'!F$5="早餐",'第 2 天'!F$5="午餐",'第 2 天'!F$5="晚餐"),'第 2 天'!F63,0),IF(OR('第 2 天'!H$5="早餐",'第 2 天'!H$5="午餐",'第 2 天'!H$5="晚餐"),'第 2 天'!H63,0),IF(OR('第 2 天'!J$5="早餐",'第 2 天'!J$5="午餐",'第 2 天'!J$5="晚餐"),'第 2 天'!J63,0),IF(OR('第 2 天'!L$5="早餐",'第 2 天'!L$5="午餐",'第 2 天'!L$5="晚餐"),'第 2 天'!L63,0),IF(OR('第 2 天'!N$5="早餐",'第 2 天'!N$5="午餐",'第 2 天'!N$5="晚餐"),'第 2 天'!N63,0),IF(OR('第 2 天'!P$5="早餐",'第 2 天'!P$5="午餐",'第 2 天'!P$5="晚餐"),'第 2 天'!P63,0))</f>
        <v>0</v>
      </c>
      <c r="D43" s="14" t="n">
        <f aca="false">SUM(IF(OR('第 2 天'!D$5="油錢"),'第 2 天'!D63,0),IF(OR('第 2 天'!F$5="油錢"),'第 2 天'!F63,0),IF(OR('第 2 天'!H$5="油錢"),'第 2 天'!H63,0),IF(OR('第 2 天'!J$5="油錢"),'第 2 天'!J63,0),IF(OR('第 2 天'!L$5="油錢"),'第 2 天'!L63,0),IF(OR('第 2 天'!N$5="油錢"),'第 2 天'!N63,0),IF(OR('第 2 天'!P$5="油錢"),'第 2 天'!P63,0))</f>
        <v>0</v>
      </c>
      <c r="E43" s="14" t="n">
        <f aca="false">SUM(IF(OR('第 2 天'!D$5="租車費"),'第 2 天'!D63,0),IF(OR('第 2 天'!F$5="租車費"),'第 2 天'!F63,0),IF(OR('第 2 天'!H$5="租車費"),'第 2 天'!H63,0),IF(OR('第 2 天'!J$5="租車費"),'第 2 天'!J63,0),IF(OR('第 2 天'!L$5="租車費"),'第 2 天'!L63,0),IF(OR('第 2 天'!N$5="租車費"),'第 2 天'!N63,0),IF(OR('第 2 天'!P$5="租車費"),'第 2 天'!P63,0))</f>
        <v>0</v>
      </c>
      <c r="F43" s="14" t="n">
        <f aca="false">SUM(IF(OR('第 2 天'!D$5="停車費",'第 2 天'!D$5="其他"),'第 2 天'!D63,0),IF(OR('第 2 天'!F$5="停車費",'第 2 天'!F$5="其他"),'第 2 天'!F63,0),IF(OR('第 2 天'!H$5="停車費",'第 2 天'!H$5="其他"),'第 2 天'!H63,0),IF(OR('第 2 天'!J$5="停車費",'第 2 天'!J$5="其他"),'第 2 天'!J63,0),IF(OR('第 2 天'!L$5="停車費",'第 2 天'!L$5="其他"),'第 2 天'!L63,0),IF(OR('第 2 天'!N$5="停車費",'第 2 天'!N$5="其他"),'第 2 天'!N63,0),IF(OR('第 2 天'!P$5="停車費",'第 2 天'!P$5="其他"),'第 2 天'!P63,0))</f>
        <v>0</v>
      </c>
      <c r="G43" s="14" t="n">
        <f aca="false">SUM(C43:F43)</f>
        <v>0</v>
      </c>
      <c r="H43" s="14" t="n">
        <f aca="false">IF(LEN(TRIM(成員名單!$B16))=0,0,SUM(IF('第 2 天'!D$7=$B43,'第 2 天'!D46,0),IF('第 2 天'!F$7=$B43,'第 2 天'!F46,0),IF('第 2 天'!H$7=$B43,'第 2 天'!H46,0),IF('第 2 天'!J$7=$B43,'第 2 天'!J46,0),IF('第 2 天'!L$7=$B43,'第 2 天'!L46,0),IF('第 2 天'!N$7=$B43,'第 2 天'!N46,0),IF('第 2 天'!P$7=$B43,'第 2 天'!P46,0)))</f>
        <v>0</v>
      </c>
    </row>
    <row r="44" customFormat="false" ht="15" hidden="false" customHeight="false" outlineLevel="0" collapsed="false">
      <c r="A44" s="13" t="s">
        <v>89</v>
      </c>
      <c r="B44" s="13" t="s">
        <v>30</v>
      </c>
      <c r="C44" s="14" t="n">
        <f aca="false">SUM(IF(OR('第 2 天'!D$5="早餐",'第 2 天'!D$5="午餐",'第 2 天'!D$5="晚餐"),'第 2 天'!D64,0),IF(OR('第 2 天'!F$5="早餐",'第 2 天'!F$5="午餐",'第 2 天'!F$5="晚餐"),'第 2 天'!F64,0),IF(OR('第 2 天'!H$5="早餐",'第 2 天'!H$5="午餐",'第 2 天'!H$5="晚餐"),'第 2 天'!H64,0),IF(OR('第 2 天'!J$5="早餐",'第 2 天'!J$5="午餐",'第 2 天'!J$5="晚餐"),'第 2 天'!J64,0),IF(OR('第 2 天'!L$5="早餐",'第 2 天'!L$5="午餐",'第 2 天'!L$5="晚餐"),'第 2 天'!L64,0),IF(OR('第 2 天'!N$5="早餐",'第 2 天'!N$5="午餐",'第 2 天'!N$5="晚餐"),'第 2 天'!N64,0),IF(OR('第 2 天'!P$5="早餐",'第 2 天'!P$5="午餐",'第 2 天'!P$5="晚餐"),'第 2 天'!P64,0))</f>
        <v>0</v>
      </c>
      <c r="D44" s="14" t="n">
        <f aca="false">SUM(IF(OR('第 2 天'!D$5="油錢"),'第 2 天'!D64,0),IF(OR('第 2 天'!F$5="油錢"),'第 2 天'!F64,0),IF(OR('第 2 天'!H$5="油錢"),'第 2 天'!H64,0),IF(OR('第 2 天'!J$5="油錢"),'第 2 天'!J64,0),IF(OR('第 2 天'!L$5="油錢"),'第 2 天'!L64,0),IF(OR('第 2 天'!N$5="油錢"),'第 2 天'!N64,0),IF(OR('第 2 天'!P$5="油錢"),'第 2 天'!P64,0))</f>
        <v>0</v>
      </c>
      <c r="E44" s="14" t="n">
        <f aca="false">SUM(IF(OR('第 2 天'!D$5="租車費"),'第 2 天'!D64,0),IF(OR('第 2 天'!F$5="租車費"),'第 2 天'!F64,0),IF(OR('第 2 天'!H$5="租車費"),'第 2 天'!H64,0),IF(OR('第 2 天'!J$5="租車費"),'第 2 天'!J64,0),IF(OR('第 2 天'!L$5="租車費"),'第 2 天'!L64,0),IF(OR('第 2 天'!N$5="租車費"),'第 2 天'!N64,0),IF(OR('第 2 天'!P$5="租車費"),'第 2 天'!P64,0))</f>
        <v>0</v>
      </c>
      <c r="F44" s="14" t="n">
        <f aca="false">SUM(IF(OR('第 2 天'!D$5="停車費",'第 2 天'!D$5="其他"),'第 2 天'!D64,0),IF(OR('第 2 天'!F$5="停車費",'第 2 天'!F$5="其他"),'第 2 天'!F64,0),IF(OR('第 2 天'!H$5="停車費",'第 2 天'!H$5="其他"),'第 2 天'!H64,0),IF(OR('第 2 天'!J$5="停車費",'第 2 天'!J$5="其他"),'第 2 天'!J64,0),IF(OR('第 2 天'!L$5="停車費",'第 2 天'!L$5="其他"),'第 2 天'!L64,0),IF(OR('第 2 天'!N$5="停車費",'第 2 天'!N$5="其他"),'第 2 天'!N64,0),IF(OR('第 2 天'!P$5="停車費",'第 2 天'!P$5="其他"),'第 2 天'!P64,0))</f>
        <v>0</v>
      </c>
      <c r="G44" s="14" t="n">
        <f aca="false">SUM(C44:F44)</f>
        <v>0</v>
      </c>
      <c r="H44" s="14" t="n">
        <f aca="false">IF(LEN(TRIM(成員名單!$B17))=0,0,SUM(IF('第 2 天'!D$7=$B44,'第 2 天'!D46,0),IF('第 2 天'!F$7=$B44,'第 2 天'!F46,0),IF('第 2 天'!H$7=$B44,'第 2 天'!H46,0),IF('第 2 天'!J$7=$B44,'第 2 天'!J46,0),IF('第 2 天'!L$7=$B44,'第 2 天'!L46,0),IF('第 2 天'!N$7=$B44,'第 2 天'!N46,0),IF('第 2 天'!P$7=$B44,'第 2 天'!P46,0)))</f>
        <v>0</v>
      </c>
    </row>
    <row r="45" customFormat="false" ht="15" hidden="false" customHeight="false" outlineLevel="0" collapsed="false">
      <c r="A45" s="13" t="s">
        <v>89</v>
      </c>
      <c r="B45" s="13" t="s">
        <v>31</v>
      </c>
      <c r="C45" s="14" t="n">
        <f aca="false">SUM(IF(OR('第 2 天'!D$5="早餐",'第 2 天'!D$5="午餐",'第 2 天'!D$5="晚餐"),'第 2 天'!D65,0),IF(OR('第 2 天'!F$5="早餐",'第 2 天'!F$5="午餐",'第 2 天'!F$5="晚餐"),'第 2 天'!F65,0),IF(OR('第 2 天'!H$5="早餐",'第 2 天'!H$5="午餐",'第 2 天'!H$5="晚餐"),'第 2 天'!H65,0),IF(OR('第 2 天'!J$5="早餐",'第 2 天'!J$5="午餐",'第 2 天'!J$5="晚餐"),'第 2 天'!J65,0),IF(OR('第 2 天'!L$5="早餐",'第 2 天'!L$5="午餐",'第 2 天'!L$5="晚餐"),'第 2 天'!L65,0),IF(OR('第 2 天'!N$5="早餐",'第 2 天'!N$5="午餐",'第 2 天'!N$5="晚餐"),'第 2 天'!N65,0),IF(OR('第 2 天'!P$5="早餐",'第 2 天'!P$5="午餐",'第 2 天'!P$5="晚餐"),'第 2 天'!P65,0))</f>
        <v>0</v>
      </c>
      <c r="D45" s="14" t="n">
        <f aca="false">SUM(IF(OR('第 2 天'!D$5="油錢"),'第 2 天'!D65,0),IF(OR('第 2 天'!F$5="油錢"),'第 2 天'!F65,0),IF(OR('第 2 天'!H$5="油錢"),'第 2 天'!H65,0),IF(OR('第 2 天'!J$5="油錢"),'第 2 天'!J65,0),IF(OR('第 2 天'!L$5="油錢"),'第 2 天'!L65,0),IF(OR('第 2 天'!N$5="油錢"),'第 2 天'!N65,0),IF(OR('第 2 天'!P$5="油錢"),'第 2 天'!P65,0))</f>
        <v>0</v>
      </c>
      <c r="E45" s="14" t="n">
        <f aca="false">SUM(IF(OR('第 2 天'!D$5="租車費"),'第 2 天'!D65,0),IF(OR('第 2 天'!F$5="租車費"),'第 2 天'!F65,0),IF(OR('第 2 天'!H$5="租車費"),'第 2 天'!H65,0),IF(OR('第 2 天'!J$5="租車費"),'第 2 天'!J65,0),IF(OR('第 2 天'!L$5="租車費"),'第 2 天'!L65,0),IF(OR('第 2 天'!N$5="租車費"),'第 2 天'!N65,0),IF(OR('第 2 天'!P$5="租車費"),'第 2 天'!P65,0))</f>
        <v>0</v>
      </c>
      <c r="F45" s="14" t="n">
        <f aca="false">SUM(IF(OR('第 2 天'!D$5="停車費",'第 2 天'!D$5="其他"),'第 2 天'!D65,0),IF(OR('第 2 天'!F$5="停車費",'第 2 天'!F$5="其他"),'第 2 天'!F65,0),IF(OR('第 2 天'!H$5="停車費",'第 2 天'!H$5="其他"),'第 2 天'!H65,0),IF(OR('第 2 天'!J$5="停車費",'第 2 天'!J$5="其他"),'第 2 天'!J65,0),IF(OR('第 2 天'!L$5="停車費",'第 2 天'!L$5="其他"),'第 2 天'!L65,0),IF(OR('第 2 天'!N$5="停車費",'第 2 天'!N$5="其他"),'第 2 天'!N65,0),IF(OR('第 2 天'!P$5="停車費",'第 2 天'!P$5="其他"),'第 2 天'!P65,0))</f>
        <v>0</v>
      </c>
      <c r="G45" s="14" t="n">
        <f aca="false">SUM(C45:F45)</f>
        <v>0</v>
      </c>
      <c r="H45" s="14" t="n">
        <f aca="false">IF(LEN(TRIM(成員名單!$B18))=0,0,SUM(IF('第 2 天'!D$7=$B45,'第 2 天'!D46,0),IF('第 2 天'!F$7=$B45,'第 2 天'!F46,0),IF('第 2 天'!H$7=$B45,'第 2 天'!H46,0),IF('第 2 天'!J$7=$B45,'第 2 天'!J46,0),IF('第 2 天'!L$7=$B45,'第 2 天'!L46,0),IF('第 2 天'!N$7=$B45,'第 2 天'!N46,0),IF('第 2 天'!P$7=$B45,'第 2 天'!P46,0)))</f>
        <v>0</v>
      </c>
    </row>
    <row r="46" customFormat="false" ht="15" hidden="false" customHeight="false" outlineLevel="0" collapsed="false">
      <c r="A46" s="13" t="s">
        <v>89</v>
      </c>
      <c r="B46" s="13" t="s">
        <v>32</v>
      </c>
      <c r="C46" s="14" t="n">
        <f aca="false">SUM(IF(OR('第 2 天'!D$5="早餐",'第 2 天'!D$5="午餐",'第 2 天'!D$5="晚餐"),'第 2 天'!D66,0),IF(OR('第 2 天'!F$5="早餐",'第 2 天'!F$5="午餐",'第 2 天'!F$5="晚餐"),'第 2 天'!F66,0),IF(OR('第 2 天'!H$5="早餐",'第 2 天'!H$5="午餐",'第 2 天'!H$5="晚餐"),'第 2 天'!H66,0),IF(OR('第 2 天'!J$5="早餐",'第 2 天'!J$5="午餐",'第 2 天'!J$5="晚餐"),'第 2 天'!J66,0),IF(OR('第 2 天'!L$5="早餐",'第 2 天'!L$5="午餐",'第 2 天'!L$5="晚餐"),'第 2 天'!L66,0),IF(OR('第 2 天'!N$5="早餐",'第 2 天'!N$5="午餐",'第 2 天'!N$5="晚餐"),'第 2 天'!N66,0),IF(OR('第 2 天'!P$5="早餐",'第 2 天'!P$5="午餐",'第 2 天'!P$5="晚餐"),'第 2 天'!P66,0))</f>
        <v>0</v>
      </c>
      <c r="D46" s="14" t="n">
        <f aca="false">SUM(IF(OR('第 2 天'!D$5="油錢"),'第 2 天'!D66,0),IF(OR('第 2 天'!F$5="油錢"),'第 2 天'!F66,0),IF(OR('第 2 天'!H$5="油錢"),'第 2 天'!H66,0),IF(OR('第 2 天'!J$5="油錢"),'第 2 天'!J66,0),IF(OR('第 2 天'!L$5="油錢"),'第 2 天'!L66,0),IF(OR('第 2 天'!N$5="油錢"),'第 2 天'!N66,0),IF(OR('第 2 天'!P$5="油錢"),'第 2 天'!P66,0))</f>
        <v>0</v>
      </c>
      <c r="E46" s="14" t="n">
        <f aca="false">SUM(IF(OR('第 2 天'!D$5="租車費"),'第 2 天'!D66,0),IF(OR('第 2 天'!F$5="租車費"),'第 2 天'!F66,0),IF(OR('第 2 天'!H$5="租車費"),'第 2 天'!H66,0),IF(OR('第 2 天'!J$5="租車費"),'第 2 天'!J66,0),IF(OR('第 2 天'!L$5="租車費"),'第 2 天'!L66,0),IF(OR('第 2 天'!N$5="租車費"),'第 2 天'!N66,0),IF(OR('第 2 天'!P$5="租車費"),'第 2 天'!P66,0))</f>
        <v>0</v>
      </c>
      <c r="F46" s="14" t="n">
        <f aca="false">SUM(IF(OR('第 2 天'!D$5="停車費",'第 2 天'!D$5="其他"),'第 2 天'!D66,0),IF(OR('第 2 天'!F$5="停車費",'第 2 天'!F$5="其他"),'第 2 天'!F66,0),IF(OR('第 2 天'!H$5="停車費",'第 2 天'!H$5="其他"),'第 2 天'!H66,0),IF(OR('第 2 天'!J$5="停車費",'第 2 天'!J$5="其他"),'第 2 天'!J66,0),IF(OR('第 2 天'!L$5="停車費",'第 2 天'!L$5="其他"),'第 2 天'!L66,0),IF(OR('第 2 天'!N$5="停車費",'第 2 天'!N$5="其他"),'第 2 天'!N66,0),IF(OR('第 2 天'!P$5="停車費",'第 2 天'!P$5="其他"),'第 2 天'!P66,0))</f>
        <v>0</v>
      </c>
      <c r="G46" s="14" t="n">
        <f aca="false">SUM(C46:F46)</f>
        <v>0</v>
      </c>
      <c r="H46" s="14" t="n">
        <f aca="false">IF(LEN(TRIM(成員名單!$B19))=0,0,SUM(IF('第 2 天'!D$7=$B46,'第 2 天'!D46,0),IF('第 2 天'!F$7=$B46,'第 2 天'!F46,0),IF('第 2 天'!H$7=$B46,'第 2 天'!H46,0),IF('第 2 天'!J$7=$B46,'第 2 天'!J46,0),IF('第 2 天'!L$7=$B46,'第 2 天'!L46,0),IF('第 2 天'!N$7=$B46,'第 2 天'!N46,0),IF('第 2 天'!P$7=$B46,'第 2 天'!P46,0)))</f>
        <v>0</v>
      </c>
    </row>
    <row r="47" customFormat="false" ht="15" hidden="false" customHeight="false" outlineLevel="0" collapsed="false">
      <c r="A47" s="13" t="s">
        <v>89</v>
      </c>
      <c r="B47" s="13" t="s">
        <v>33</v>
      </c>
      <c r="C47" s="14" t="n">
        <f aca="false">SUM(IF(OR('第 2 天'!D$5="早餐",'第 2 天'!D$5="午餐",'第 2 天'!D$5="晚餐"),'第 2 天'!D67,0),IF(OR('第 2 天'!F$5="早餐",'第 2 天'!F$5="午餐",'第 2 天'!F$5="晚餐"),'第 2 天'!F67,0),IF(OR('第 2 天'!H$5="早餐",'第 2 天'!H$5="午餐",'第 2 天'!H$5="晚餐"),'第 2 天'!H67,0),IF(OR('第 2 天'!J$5="早餐",'第 2 天'!J$5="午餐",'第 2 天'!J$5="晚餐"),'第 2 天'!J67,0),IF(OR('第 2 天'!L$5="早餐",'第 2 天'!L$5="午餐",'第 2 天'!L$5="晚餐"),'第 2 天'!L67,0),IF(OR('第 2 天'!N$5="早餐",'第 2 天'!N$5="午餐",'第 2 天'!N$5="晚餐"),'第 2 天'!N67,0),IF(OR('第 2 天'!P$5="早餐",'第 2 天'!P$5="午餐",'第 2 天'!P$5="晚餐"),'第 2 天'!P67,0))</f>
        <v>0</v>
      </c>
      <c r="D47" s="14" t="n">
        <f aca="false">SUM(IF(OR('第 2 天'!D$5="油錢"),'第 2 天'!D67,0),IF(OR('第 2 天'!F$5="油錢"),'第 2 天'!F67,0),IF(OR('第 2 天'!H$5="油錢"),'第 2 天'!H67,0),IF(OR('第 2 天'!J$5="油錢"),'第 2 天'!J67,0),IF(OR('第 2 天'!L$5="油錢"),'第 2 天'!L67,0),IF(OR('第 2 天'!N$5="油錢"),'第 2 天'!N67,0),IF(OR('第 2 天'!P$5="油錢"),'第 2 天'!P67,0))</f>
        <v>0</v>
      </c>
      <c r="E47" s="14" t="n">
        <f aca="false">SUM(IF(OR('第 2 天'!D$5="租車費"),'第 2 天'!D67,0),IF(OR('第 2 天'!F$5="租車費"),'第 2 天'!F67,0),IF(OR('第 2 天'!H$5="租車費"),'第 2 天'!H67,0),IF(OR('第 2 天'!J$5="租車費"),'第 2 天'!J67,0),IF(OR('第 2 天'!L$5="租車費"),'第 2 天'!L67,0),IF(OR('第 2 天'!N$5="租車費"),'第 2 天'!N67,0),IF(OR('第 2 天'!P$5="租車費"),'第 2 天'!P67,0))</f>
        <v>0</v>
      </c>
      <c r="F47" s="14" t="n">
        <f aca="false">SUM(IF(OR('第 2 天'!D$5="停車費",'第 2 天'!D$5="其他"),'第 2 天'!D67,0),IF(OR('第 2 天'!F$5="停車費",'第 2 天'!F$5="其他"),'第 2 天'!F67,0),IF(OR('第 2 天'!H$5="停車費",'第 2 天'!H$5="其他"),'第 2 天'!H67,0),IF(OR('第 2 天'!J$5="停車費",'第 2 天'!J$5="其他"),'第 2 天'!J67,0),IF(OR('第 2 天'!L$5="停車費",'第 2 天'!L$5="其他"),'第 2 天'!L67,0),IF(OR('第 2 天'!N$5="停車費",'第 2 天'!N$5="其他"),'第 2 天'!N67,0),IF(OR('第 2 天'!P$5="停車費",'第 2 天'!P$5="其他"),'第 2 天'!P67,0))</f>
        <v>0</v>
      </c>
      <c r="G47" s="14" t="n">
        <f aca="false">SUM(C47:F47)</f>
        <v>0</v>
      </c>
      <c r="H47" s="14" t="n">
        <f aca="false">IF(LEN(TRIM(成員名單!$B20))=0,0,SUM(IF('第 2 天'!D$7=$B47,'第 2 天'!D46,0),IF('第 2 天'!F$7=$B47,'第 2 天'!F46,0),IF('第 2 天'!H$7=$B47,'第 2 天'!H46,0),IF('第 2 天'!J$7=$B47,'第 2 天'!J46,0),IF('第 2 天'!L$7=$B47,'第 2 天'!L46,0),IF('第 2 天'!N$7=$B47,'第 2 天'!N46,0),IF('第 2 天'!P$7=$B47,'第 2 天'!P46,0)))</f>
        <v>0</v>
      </c>
    </row>
    <row r="48" customFormat="false" ht="15" hidden="false" customHeight="false" outlineLevel="0" collapsed="false">
      <c r="A48" s="13" t="s">
        <v>89</v>
      </c>
      <c r="B48" s="13" t="s">
        <v>34</v>
      </c>
      <c r="C48" s="14" t="n">
        <f aca="false">SUM(IF(OR('第 2 天'!D$5="早餐",'第 2 天'!D$5="午餐",'第 2 天'!D$5="晚餐"),'第 2 天'!D68,0),IF(OR('第 2 天'!F$5="早餐",'第 2 天'!F$5="午餐",'第 2 天'!F$5="晚餐"),'第 2 天'!F68,0),IF(OR('第 2 天'!H$5="早餐",'第 2 天'!H$5="午餐",'第 2 天'!H$5="晚餐"),'第 2 天'!H68,0),IF(OR('第 2 天'!J$5="早餐",'第 2 天'!J$5="午餐",'第 2 天'!J$5="晚餐"),'第 2 天'!J68,0),IF(OR('第 2 天'!L$5="早餐",'第 2 天'!L$5="午餐",'第 2 天'!L$5="晚餐"),'第 2 天'!L68,0),IF(OR('第 2 天'!N$5="早餐",'第 2 天'!N$5="午餐",'第 2 天'!N$5="晚餐"),'第 2 天'!N68,0),IF(OR('第 2 天'!P$5="早餐",'第 2 天'!P$5="午餐",'第 2 天'!P$5="晚餐"),'第 2 天'!P68,0))</f>
        <v>0</v>
      </c>
      <c r="D48" s="14" t="n">
        <f aca="false">SUM(IF(OR('第 2 天'!D$5="油錢"),'第 2 天'!D68,0),IF(OR('第 2 天'!F$5="油錢"),'第 2 天'!F68,0),IF(OR('第 2 天'!H$5="油錢"),'第 2 天'!H68,0),IF(OR('第 2 天'!J$5="油錢"),'第 2 天'!J68,0),IF(OR('第 2 天'!L$5="油錢"),'第 2 天'!L68,0),IF(OR('第 2 天'!N$5="油錢"),'第 2 天'!N68,0),IF(OR('第 2 天'!P$5="油錢"),'第 2 天'!P68,0))</f>
        <v>0</v>
      </c>
      <c r="E48" s="14" t="n">
        <f aca="false">SUM(IF(OR('第 2 天'!D$5="租車費"),'第 2 天'!D68,0),IF(OR('第 2 天'!F$5="租車費"),'第 2 天'!F68,0),IF(OR('第 2 天'!H$5="租車費"),'第 2 天'!H68,0),IF(OR('第 2 天'!J$5="租車費"),'第 2 天'!J68,0),IF(OR('第 2 天'!L$5="租車費"),'第 2 天'!L68,0),IF(OR('第 2 天'!N$5="租車費"),'第 2 天'!N68,0),IF(OR('第 2 天'!P$5="租車費"),'第 2 天'!P68,0))</f>
        <v>0</v>
      </c>
      <c r="F48" s="14" t="n">
        <f aca="false">SUM(IF(OR('第 2 天'!D$5="停車費",'第 2 天'!D$5="其他"),'第 2 天'!D68,0),IF(OR('第 2 天'!F$5="停車費",'第 2 天'!F$5="其他"),'第 2 天'!F68,0),IF(OR('第 2 天'!H$5="停車費",'第 2 天'!H$5="其他"),'第 2 天'!H68,0),IF(OR('第 2 天'!J$5="停車費",'第 2 天'!J$5="其他"),'第 2 天'!J68,0),IF(OR('第 2 天'!L$5="停車費",'第 2 天'!L$5="其他"),'第 2 天'!L68,0),IF(OR('第 2 天'!N$5="停車費",'第 2 天'!N$5="其他"),'第 2 天'!N68,0),IF(OR('第 2 天'!P$5="停車費",'第 2 天'!P$5="其他"),'第 2 天'!P68,0))</f>
        <v>0</v>
      </c>
      <c r="G48" s="14" t="n">
        <f aca="false">SUM(C48:F48)</f>
        <v>0</v>
      </c>
      <c r="H48" s="14" t="n">
        <f aca="false">IF(LEN(TRIM(成員名單!$B21))=0,0,SUM(IF('第 2 天'!D$7=$B48,'第 2 天'!D46,0),IF('第 2 天'!F$7=$B48,'第 2 天'!F46,0),IF('第 2 天'!H$7=$B48,'第 2 天'!H46,0),IF('第 2 天'!J$7=$B48,'第 2 天'!J46,0),IF('第 2 天'!L$7=$B48,'第 2 天'!L46,0),IF('第 2 天'!N$7=$B48,'第 2 天'!N46,0),IF('第 2 天'!P$7=$B48,'第 2 天'!P46,0)))</f>
        <v>0</v>
      </c>
    </row>
    <row r="49" customFormat="false" ht="15" hidden="false" customHeight="false" outlineLevel="0" collapsed="false">
      <c r="A49" s="13" t="s">
        <v>89</v>
      </c>
      <c r="B49" s="13" t="s">
        <v>35</v>
      </c>
      <c r="C49" s="14" t="n">
        <f aca="false">SUM(IF(OR('第 2 天'!D$5="早餐",'第 2 天'!D$5="午餐",'第 2 天'!D$5="晚餐"),'第 2 天'!D69,0),IF(OR('第 2 天'!F$5="早餐",'第 2 天'!F$5="午餐",'第 2 天'!F$5="晚餐"),'第 2 天'!F69,0),IF(OR('第 2 天'!H$5="早餐",'第 2 天'!H$5="午餐",'第 2 天'!H$5="晚餐"),'第 2 天'!H69,0),IF(OR('第 2 天'!J$5="早餐",'第 2 天'!J$5="午餐",'第 2 天'!J$5="晚餐"),'第 2 天'!J69,0),IF(OR('第 2 天'!L$5="早餐",'第 2 天'!L$5="午餐",'第 2 天'!L$5="晚餐"),'第 2 天'!L69,0),IF(OR('第 2 天'!N$5="早餐",'第 2 天'!N$5="午餐",'第 2 天'!N$5="晚餐"),'第 2 天'!N69,0),IF(OR('第 2 天'!P$5="早餐",'第 2 天'!P$5="午餐",'第 2 天'!P$5="晚餐"),'第 2 天'!P69,0))</f>
        <v>0</v>
      </c>
      <c r="D49" s="14" t="n">
        <f aca="false">SUM(IF(OR('第 2 天'!D$5="油錢"),'第 2 天'!D69,0),IF(OR('第 2 天'!F$5="油錢"),'第 2 天'!F69,0),IF(OR('第 2 天'!H$5="油錢"),'第 2 天'!H69,0),IF(OR('第 2 天'!J$5="油錢"),'第 2 天'!J69,0),IF(OR('第 2 天'!L$5="油錢"),'第 2 天'!L69,0),IF(OR('第 2 天'!N$5="油錢"),'第 2 天'!N69,0),IF(OR('第 2 天'!P$5="油錢"),'第 2 天'!P69,0))</f>
        <v>0</v>
      </c>
      <c r="E49" s="14" t="n">
        <f aca="false">SUM(IF(OR('第 2 天'!D$5="租車費"),'第 2 天'!D69,0),IF(OR('第 2 天'!F$5="租車費"),'第 2 天'!F69,0),IF(OR('第 2 天'!H$5="租車費"),'第 2 天'!H69,0),IF(OR('第 2 天'!J$5="租車費"),'第 2 天'!J69,0),IF(OR('第 2 天'!L$5="租車費"),'第 2 天'!L69,0),IF(OR('第 2 天'!N$5="租車費"),'第 2 天'!N69,0),IF(OR('第 2 天'!P$5="租車費"),'第 2 天'!P69,0))</f>
        <v>0</v>
      </c>
      <c r="F49" s="14" t="n">
        <f aca="false">SUM(IF(OR('第 2 天'!D$5="停車費",'第 2 天'!D$5="其他"),'第 2 天'!D69,0),IF(OR('第 2 天'!F$5="停車費",'第 2 天'!F$5="其他"),'第 2 天'!F69,0),IF(OR('第 2 天'!H$5="停車費",'第 2 天'!H$5="其他"),'第 2 天'!H69,0),IF(OR('第 2 天'!J$5="停車費",'第 2 天'!J$5="其他"),'第 2 天'!J69,0),IF(OR('第 2 天'!L$5="停車費",'第 2 天'!L$5="其他"),'第 2 天'!L69,0),IF(OR('第 2 天'!N$5="停車費",'第 2 天'!N$5="其他"),'第 2 天'!N69,0),IF(OR('第 2 天'!P$5="停車費",'第 2 天'!P$5="其他"),'第 2 天'!P69,0))</f>
        <v>0</v>
      </c>
      <c r="G49" s="14" t="n">
        <f aca="false">SUM(C49:F49)</f>
        <v>0</v>
      </c>
      <c r="H49" s="14" t="n">
        <f aca="false">IF(LEN(TRIM(成員名單!$B22))=0,0,SUM(IF('第 2 天'!D$7=$B49,'第 2 天'!D46,0),IF('第 2 天'!F$7=$B49,'第 2 天'!F46,0),IF('第 2 天'!H$7=$B49,'第 2 天'!H46,0),IF('第 2 天'!J$7=$B49,'第 2 天'!J46,0),IF('第 2 天'!L$7=$B49,'第 2 天'!L46,0),IF('第 2 天'!N$7=$B49,'第 2 天'!N46,0),IF('第 2 天'!P$7=$B49,'第 2 天'!P46,0)))</f>
        <v>0</v>
      </c>
    </row>
    <row r="50" customFormat="false" ht="15" hidden="false" customHeight="false" outlineLevel="0" collapsed="false">
      <c r="A50" s="13" t="s">
        <v>89</v>
      </c>
      <c r="B50" s="13" t="s">
        <v>36</v>
      </c>
      <c r="C50" s="14" t="n">
        <f aca="false">SUM(IF(OR('第 2 天'!D$5="早餐",'第 2 天'!D$5="午餐",'第 2 天'!D$5="晚餐"),'第 2 天'!D70,0),IF(OR('第 2 天'!F$5="早餐",'第 2 天'!F$5="午餐",'第 2 天'!F$5="晚餐"),'第 2 天'!F70,0),IF(OR('第 2 天'!H$5="早餐",'第 2 天'!H$5="午餐",'第 2 天'!H$5="晚餐"),'第 2 天'!H70,0),IF(OR('第 2 天'!J$5="早餐",'第 2 天'!J$5="午餐",'第 2 天'!J$5="晚餐"),'第 2 天'!J70,0),IF(OR('第 2 天'!L$5="早餐",'第 2 天'!L$5="午餐",'第 2 天'!L$5="晚餐"),'第 2 天'!L70,0),IF(OR('第 2 天'!N$5="早餐",'第 2 天'!N$5="午餐",'第 2 天'!N$5="晚餐"),'第 2 天'!N70,0),IF(OR('第 2 天'!P$5="早餐",'第 2 天'!P$5="午餐",'第 2 天'!P$5="晚餐"),'第 2 天'!P70,0))</f>
        <v>0</v>
      </c>
      <c r="D50" s="14" t="n">
        <f aca="false">SUM(IF(OR('第 2 天'!D$5="油錢"),'第 2 天'!D70,0),IF(OR('第 2 天'!F$5="油錢"),'第 2 天'!F70,0),IF(OR('第 2 天'!H$5="油錢"),'第 2 天'!H70,0),IF(OR('第 2 天'!J$5="油錢"),'第 2 天'!J70,0),IF(OR('第 2 天'!L$5="油錢"),'第 2 天'!L70,0),IF(OR('第 2 天'!N$5="油錢"),'第 2 天'!N70,0),IF(OR('第 2 天'!P$5="油錢"),'第 2 天'!P70,0))</f>
        <v>0</v>
      </c>
      <c r="E50" s="14" t="n">
        <f aca="false">SUM(IF(OR('第 2 天'!D$5="租車費"),'第 2 天'!D70,0),IF(OR('第 2 天'!F$5="租車費"),'第 2 天'!F70,0),IF(OR('第 2 天'!H$5="租車費"),'第 2 天'!H70,0),IF(OR('第 2 天'!J$5="租車費"),'第 2 天'!J70,0),IF(OR('第 2 天'!L$5="租車費"),'第 2 天'!L70,0),IF(OR('第 2 天'!N$5="租車費"),'第 2 天'!N70,0),IF(OR('第 2 天'!P$5="租車費"),'第 2 天'!P70,0))</f>
        <v>0</v>
      </c>
      <c r="F50" s="14" t="n">
        <f aca="false">SUM(IF(OR('第 2 天'!D$5="停車費",'第 2 天'!D$5="其他"),'第 2 天'!D70,0),IF(OR('第 2 天'!F$5="停車費",'第 2 天'!F$5="其他"),'第 2 天'!F70,0),IF(OR('第 2 天'!H$5="停車費",'第 2 天'!H$5="其他"),'第 2 天'!H70,0),IF(OR('第 2 天'!J$5="停車費",'第 2 天'!J$5="其他"),'第 2 天'!J70,0),IF(OR('第 2 天'!L$5="停車費",'第 2 天'!L$5="其他"),'第 2 天'!L70,0),IF(OR('第 2 天'!N$5="停車費",'第 2 天'!N$5="其他"),'第 2 天'!N70,0),IF(OR('第 2 天'!P$5="停車費",'第 2 天'!P$5="其他"),'第 2 天'!P70,0))</f>
        <v>0</v>
      </c>
      <c r="G50" s="14" t="n">
        <f aca="false">SUM(C50:F50)</f>
        <v>0</v>
      </c>
      <c r="H50" s="14" t="n">
        <f aca="false">IF(LEN(TRIM(成員名單!$B23))=0,0,SUM(IF('第 2 天'!D$7=$B50,'第 2 天'!D46,0),IF('第 2 天'!F$7=$B50,'第 2 天'!F46,0),IF('第 2 天'!H$7=$B50,'第 2 天'!H46,0),IF('第 2 天'!J$7=$B50,'第 2 天'!J46,0),IF('第 2 天'!L$7=$B50,'第 2 天'!L46,0),IF('第 2 天'!N$7=$B50,'第 2 天'!N46,0),IF('第 2 天'!P$7=$B50,'第 2 天'!P46,0)))</f>
        <v>0</v>
      </c>
    </row>
    <row r="51" customFormat="false" ht="15" hidden="false" customHeight="false" outlineLevel="0" collapsed="false">
      <c r="A51" s="13" t="s">
        <v>89</v>
      </c>
      <c r="B51" s="13" t="s">
        <v>37</v>
      </c>
      <c r="C51" s="14" t="n">
        <f aca="false">SUM(IF(OR('第 2 天'!D$5="早餐",'第 2 天'!D$5="午餐",'第 2 天'!D$5="晚餐"),'第 2 天'!D71,0),IF(OR('第 2 天'!F$5="早餐",'第 2 天'!F$5="午餐",'第 2 天'!F$5="晚餐"),'第 2 天'!F71,0),IF(OR('第 2 天'!H$5="早餐",'第 2 天'!H$5="午餐",'第 2 天'!H$5="晚餐"),'第 2 天'!H71,0),IF(OR('第 2 天'!J$5="早餐",'第 2 天'!J$5="午餐",'第 2 天'!J$5="晚餐"),'第 2 天'!J71,0),IF(OR('第 2 天'!L$5="早餐",'第 2 天'!L$5="午餐",'第 2 天'!L$5="晚餐"),'第 2 天'!L71,0),IF(OR('第 2 天'!N$5="早餐",'第 2 天'!N$5="午餐",'第 2 天'!N$5="晚餐"),'第 2 天'!N71,0),IF(OR('第 2 天'!P$5="早餐",'第 2 天'!P$5="午餐",'第 2 天'!P$5="晚餐"),'第 2 天'!P71,0))</f>
        <v>0</v>
      </c>
      <c r="D51" s="14" t="n">
        <f aca="false">SUM(IF(OR('第 2 天'!D$5="油錢"),'第 2 天'!D71,0),IF(OR('第 2 天'!F$5="油錢"),'第 2 天'!F71,0),IF(OR('第 2 天'!H$5="油錢"),'第 2 天'!H71,0),IF(OR('第 2 天'!J$5="油錢"),'第 2 天'!J71,0),IF(OR('第 2 天'!L$5="油錢"),'第 2 天'!L71,0),IF(OR('第 2 天'!N$5="油錢"),'第 2 天'!N71,0),IF(OR('第 2 天'!P$5="油錢"),'第 2 天'!P71,0))</f>
        <v>0</v>
      </c>
      <c r="E51" s="14" t="n">
        <f aca="false">SUM(IF(OR('第 2 天'!D$5="租車費"),'第 2 天'!D71,0),IF(OR('第 2 天'!F$5="租車費"),'第 2 天'!F71,0),IF(OR('第 2 天'!H$5="租車費"),'第 2 天'!H71,0),IF(OR('第 2 天'!J$5="租車費"),'第 2 天'!J71,0),IF(OR('第 2 天'!L$5="租車費"),'第 2 天'!L71,0),IF(OR('第 2 天'!N$5="租車費"),'第 2 天'!N71,0),IF(OR('第 2 天'!P$5="租車費"),'第 2 天'!P71,0))</f>
        <v>0</v>
      </c>
      <c r="F51" s="14" t="n">
        <f aca="false">SUM(IF(OR('第 2 天'!D$5="停車費",'第 2 天'!D$5="其他"),'第 2 天'!D71,0),IF(OR('第 2 天'!F$5="停車費",'第 2 天'!F$5="其他"),'第 2 天'!F71,0),IF(OR('第 2 天'!H$5="停車費",'第 2 天'!H$5="其他"),'第 2 天'!H71,0),IF(OR('第 2 天'!J$5="停車費",'第 2 天'!J$5="其他"),'第 2 天'!J71,0),IF(OR('第 2 天'!L$5="停車費",'第 2 天'!L$5="其他"),'第 2 天'!L71,0),IF(OR('第 2 天'!N$5="停車費",'第 2 天'!N$5="其他"),'第 2 天'!N71,0),IF(OR('第 2 天'!P$5="停車費",'第 2 天'!P$5="其他"),'第 2 天'!P71,0))</f>
        <v>0</v>
      </c>
      <c r="G51" s="14" t="n">
        <f aca="false">SUM(C51:F51)</f>
        <v>0</v>
      </c>
      <c r="H51" s="14" t="n">
        <f aca="false">IF(LEN(TRIM(成員名單!$B24))=0,0,SUM(IF('第 2 天'!D$7=$B51,'第 2 天'!D46,0),IF('第 2 天'!F$7=$B51,'第 2 天'!F46,0),IF('第 2 天'!H$7=$B51,'第 2 天'!H46,0),IF('第 2 天'!J$7=$B51,'第 2 天'!J46,0),IF('第 2 天'!L$7=$B51,'第 2 天'!L46,0),IF('第 2 天'!N$7=$B51,'第 2 天'!N46,0),IF('第 2 天'!P$7=$B51,'第 2 天'!P46,0)))</f>
        <v>0</v>
      </c>
    </row>
    <row r="52" customFormat="false" ht="15" hidden="false" customHeight="false" outlineLevel="0" collapsed="false">
      <c r="A52" s="13" t="s">
        <v>89</v>
      </c>
      <c r="B52" s="13" t="s">
        <v>38</v>
      </c>
      <c r="C52" s="14" t="n">
        <f aca="false">SUM(IF(OR('第 2 天'!D$5="早餐",'第 2 天'!D$5="午餐",'第 2 天'!D$5="晚餐"),'第 2 天'!D72,0),IF(OR('第 2 天'!F$5="早餐",'第 2 天'!F$5="午餐",'第 2 天'!F$5="晚餐"),'第 2 天'!F72,0),IF(OR('第 2 天'!H$5="早餐",'第 2 天'!H$5="午餐",'第 2 天'!H$5="晚餐"),'第 2 天'!H72,0),IF(OR('第 2 天'!J$5="早餐",'第 2 天'!J$5="午餐",'第 2 天'!J$5="晚餐"),'第 2 天'!J72,0),IF(OR('第 2 天'!L$5="早餐",'第 2 天'!L$5="午餐",'第 2 天'!L$5="晚餐"),'第 2 天'!L72,0),IF(OR('第 2 天'!N$5="早餐",'第 2 天'!N$5="午餐",'第 2 天'!N$5="晚餐"),'第 2 天'!N72,0),IF(OR('第 2 天'!P$5="早餐",'第 2 天'!P$5="午餐",'第 2 天'!P$5="晚餐"),'第 2 天'!P72,0))</f>
        <v>0</v>
      </c>
      <c r="D52" s="14" t="n">
        <f aca="false">SUM(IF(OR('第 2 天'!D$5="油錢"),'第 2 天'!D72,0),IF(OR('第 2 天'!F$5="油錢"),'第 2 天'!F72,0),IF(OR('第 2 天'!H$5="油錢"),'第 2 天'!H72,0),IF(OR('第 2 天'!J$5="油錢"),'第 2 天'!J72,0),IF(OR('第 2 天'!L$5="油錢"),'第 2 天'!L72,0),IF(OR('第 2 天'!N$5="油錢"),'第 2 天'!N72,0),IF(OR('第 2 天'!P$5="油錢"),'第 2 天'!P72,0))</f>
        <v>0</v>
      </c>
      <c r="E52" s="14" t="n">
        <f aca="false">SUM(IF(OR('第 2 天'!D$5="租車費"),'第 2 天'!D72,0),IF(OR('第 2 天'!F$5="租車費"),'第 2 天'!F72,0),IF(OR('第 2 天'!H$5="租車費"),'第 2 天'!H72,0),IF(OR('第 2 天'!J$5="租車費"),'第 2 天'!J72,0),IF(OR('第 2 天'!L$5="租車費"),'第 2 天'!L72,0),IF(OR('第 2 天'!N$5="租車費"),'第 2 天'!N72,0),IF(OR('第 2 天'!P$5="租車費"),'第 2 天'!P72,0))</f>
        <v>0</v>
      </c>
      <c r="F52" s="14" t="n">
        <f aca="false">SUM(IF(OR('第 2 天'!D$5="停車費",'第 2 天'!D$5="其他"),'第 2 天'!D72,0),IF(OR('第 2 天'!F$5="停車費",'第 2 天'!F$5="其他"),'第 2 天'!F72,0),IF(OR('第 2 天'!H$5="停車費",'第 2 天'!H$5="其他"),'第 2 天'!H72,0),IF(OR('第 2 天'!J$5="停車費",'第 2 天'!J$5="其他"),'第 2 天'!J72,0),IF(OR('第 2 天'!L$5="停車費",'第 2 天'!L$5="其他"),'第 2 天'!L72,0),IF(OR('第 2 天'!N$5="停車費",'第 2 天'!N$5="其他"),'第 2 天'!N72,0),IF(OR('第 2 天'!P$5="停車費",'第 2 天'!P$5="其他"),'第 2 天'!P72,0))</f>
        <v>0</v>
      </c>
      <c r="G52" s="14" t="n">
        <f aca="false">SUM(C52:F52)</f>
        <v>0</v>
      </c>
      <c r="H52" s="14" t="n">
        <f aca="false">IF(LEN(TRIM(成員名單!$B25))=0,0,SUM(IF('第 2 天'!D$7=$B52,'第 2 天'!D46,0),IF('第 2 天'!F$7=$B52,'第 2 天'!F46,0),IF('第 2 天'!H$7=$B52,'第 2 天'!H46,0),IF('第 2 天'!J$7=$B52,'第 2 天'!J46,0),IF('第 2 天'!L$7=$B52,'第 2 天'!L46,0),IF('第 2 天'!N$7=$B52,'第 2 天'!N46,0),IF('第 2 天'!P$7=$B52,'第 2 天'!P46,0)))</f>
        <v>0</v>
      </c>
    </row>
    <row r="53" customFormat="false" ht="15" hidden="false" customHeight="false" outlineLevel="0" collapsed="false">
      <c r="A53" s="13" t="s">
        <v>89</v>
      </c>
      <c r="B53" s="13" t="s">
        <v>39</v>
      </c>
      <c r="C53" s="14" t="n">
        <f aca="false">SUM(IF(OR('第 2 天'!D$5="早餐",'第 2 天'!D$5="午餐",'第 2 天'!D$5="晚餐"),'第 2 天'!D73,0),IF(OR('第 2 天'!F$5="早餐",'第 2 天'!F$5="午餐",'第 2 天'!F$5="晚餐"),'第 2 天'!F73,0),IF(OR('第 2 天'!H$5="早餐",'第 2 天'!H$5="午餐",'第 2 天'!H$5="晚餐"),'第 2 天'!H73,0),IF(OR('第 2 天'!J$5="早餐",'第 2 天'!J$5="午餐",'第 2 天'!J$5="晚餐"),'第 2 天'!J73,0),IF(OR('第 2 天'!L$5="早餐",'第 2 天'!L$5="午餐",'第 2 天'!L$5="晚餐"),'第 2 天'!L73,0),IF(OR('第 2 天'!N$5="早餐",'第 2 天'!N$5="午餐",'第 2 天'!N$5="晚餐"),'第 2 天'!N73,0),IF(OR('第 2 天'!P$5="早餐",'第 2 天'!P$5="午餐",'第 2 天'!P$5="晚餐"),'第 2 天'!P73,0))</f>
        <v>0</v>
      </c>
      <c r="D53" s="14" t="n">
        <f aca="false">SUM(IF(OR('第 2 天'!D$5="油錢"),'第 2 天'!D73,0),IF(OR('第 2 天'!F$5="油錢"),'第 2 天'!F73,0),IF(OR('第 2 天'!H$5="油錢"),'第 2 天'!H73,0),IF(OR('第 2 天'!J$5="油錢"),'第 2 天'!J73,0),IF(OR('第 2 天'!L$5="油錢"),'第 2 天'!L73,0),IF(OR('第 2 天'!N$5="油錢"),'第 2 天'!N73,0),IF(OR('第 2 天'!P$5="油錢"),'第 2 天'!P73,0))</f>
        <v>0</v>
      </c>
      <c r="E53" s="14" t="n">
        <f aca="false">SUM(IF(OR('第 2 天'!D$5="租車費"),'第 2 天'!D73,0),IF(OR('第 2 天'!F$5="租車費"),'第 2 天'!F73,0),IF(OR('第 2 天'!H$5="租車費"),'第 2 天'!H73,0),IF(OR('第 2 天'!J$5="租車費"),'第 2 天'!J73,0),IF(OR('第 2 天'!L$5="租車費"),'第 2 天'!L73,0),IF(OR('第 2 天'!N$5="租車費"),'第 2 天'!N73,0),IF(OR('第 2 天'!P$5="租車費"),'第 2 天'!P73,0))</f>
        <v>0</v>
      </c>
      <c r="F53" s="14" t="n">
        <f aca="false">SUM(IF(OR('第 2 天'!D$5="停車費",'第 2 天'!D$5="其他"),'第 2 天'!D73,0),IF(OR('第 2 天'!F$5="停車費",'第 2 天'!F$5="其他"),'第 2 天'!F73,0),IF(OR('第 2 天'!H$5="停車費",'第 2 天'!H$5="其他"),'第 2 天'!H73,0),IF(OR('第 2 天'!J$5="停車費",'第 2 天'!J$5="其他"),'第 2 天'!J73,0),IF(OR('第 2 天'!L$5="停車費",'第 2 天'!L$5="其他"),'第 2 天'!L73,0),IF(OR('第 2 天'!N$5="停車費",'第 2 天'!N$5="其他"),'第 2 天'!N73,0),IF(OR('第 2 天'!P$5="停車費",'第 2 天'!P$5="其他"),'第 2 天'!P73,0))</f>
        <v>0</v>
      </c>
      <c r="G53" s="14" t="n">
        <f aca="false">SUM(C53:F53)</f>
        <v>0</v>
      </c>
      <c r="H53" s="14" t="n">
        <f aca="false">IF(LEN(TRIM(成員名單!$B26))=0,0,SUM(IF('第 2 天'!D$7=$B53,'第 2 天'!D46,0),IF('第 2 天'!F$7=$B53,'第 2 天'!F46,0),IF('第 2 天'!H$7=$B53,'第 2 天'!H46,0),IF('第 2 天'!J$7=$B53,'第 2 天'!J46,0),IF('第 2 天'!L$7=$B53,'第 2 天'!L46,0),IF('第 2 天'!N$7=$B53,'第 2 天'!N46,0),IF('第 2 天'!P$7=$B53,'第 2 天'!P46,0)))</f>
        <v>0</v>
      </c>
    </row>
    <row r="54" customFormat="false" ht="15" hidden="false" customHeight="false" outlineLevel="0" collapsed="false">
      <c r="A54" s="13" t="s">
        <v>89</v>
      </c>
      <c r="B54" s="13" t="s">
        <v>40</v>
      </c>
      <c r="C54" s="14" t="n">
        <f aca="false">SUM(IF(OR('第 2 天'!D$5="早餐",'第 2 天'!D$5="午餐",'第 2 天'!D$5="晚餐"),'第 2 天'!D74,0),IF(OR('第 2 天'!F$5="早餐",'第 2 天'!F$5="午餐",'第 2 天'!F$5="晚餐"),'第 2 天'!F74,0),IF(OR('第 2 天'!H$5="早餐",'第 2 天'!H$5="午餐",'第 2 天'!H$5="晚餐"),'第 2 天'!H74,0),IF(OR('第 2 天'!J$5="早餐",'第 2 天'!J$5="午餐",'第 2 天'!J$5="晚餐"),'第 2 天'!J74,0),IF(OR('第 2 天'!L$5="早餐",'第 2 天'!L$5="午餐",'第 2 天'!L$5="晚餐"),'第 2 天'!L74,0),IF(OR('第 2 天'!N$5="早餐",'第 2 天'!N$5="午餐",'第 2 天'!N$5="晚餐"),'第 2 天'!N74,0),IF(OR('第 2 天'!P$5="早餐",'第 2 天'!P$5="午餐",'第 2 天'!P$5="晚餐"),'第 2 天'!P74,0))</f>
        <v>0</v>
      </c>
      <c r="D54" s="14" t="n">
        <f aca="false">SUM(IF(OR('第 2 天'!D$5="油錢"),'第 2 天'!D74,0),IF(OR('第 2 天'!F$5="油錢"),'第 2 天'!F74,0),IF(OR('第 2 天'!H$5="油錢"),'第 2 天'!H74,0),IF(OR('第 2 天'!J$5="油錢"),'第 2 天'!J74,0),IF(OR('第 2 天'!L$5="油錢"),'第 2 天'!L74,0),IF(OR('第 2 天'!N$5="油錢"),'第 2 天'!N74,0),IF(OR('第 2 天'!P$5="油錢"),'第 2 天'!P74,0))</f>
        <v>0</v>
      </c>
      <c r="E54" s="14" t="n">
        <f aca="false">SUM(IF(OR('第 2 天'!D$5="租車費"),'第 2 天'!D74,0),IF(OR('第 2 天'!F$5="租車費"),'第 2 天'!F74,0),IF(OR('第 2 天'!H$5="租車費"),'第 2 天'!H74,0),IF(OR('第 2 天'!J$5="租車費"),'第 2 天'!J74,0),IF(OR('第 2 天'!L$5="租車費"),'第 2 天'!L74,0),IF(OR('第 2 天'!N$5="租車費"),'第 2 天'!N74,0),IF(OR('第 2 天'!P$5="租車費"),'第 2 天'!P74,0))</f>
        <v>0</v>
      </c>
      <c r="F54" s="14" t="n">
        <f aca="false">SUM(IF(OR('第 2 天'!D$5="停車費",'第 2 天'!D$5="其他"),'第 2 天'!D74,0),IF(OR('第 2 天'!F$5="停車費",'第 2 天'!F$5="其他"),'第 2 天'!F74,0),IF(OR('第 2 天'!H$5="停車費",'第 2 天'!H$5="其他"),'第 2 天'!H74,0),IF(OR('第 2 天'!J$5="停車費",'第 2 天'!J$5="其他"),'第 2 天'!J74,0),IF(OR('第 2 天'!L$5="停車費",'第 2 天'!L$5="其他"),'第 2 天'!L74,0),IF(OR('第 2 天'!N$5="停車費",'第 2 天'!N$5="其他"),'第 2 天'!N74,0),IF(OR('第 2 天'!P$5="停車費",'第 2 天'!P$5="其他"),'第 2 天'!P74,0))</f>
        <v>0</v>
      </c>
      <c r="G54" s="14" t="n">
        <f aca="false">SUM(C54:F54)</f>
        <v>0</v>
      </c>
      <c r="H54" s="14" t="n">
        <f aca="false">IF(LEN(TRIM(成員名單!$B27))=0,0,SUM(IF('第 2 天'!D$7=$B54,'第 2 天'!D46,0),IF('第 2 天'!F$7=$B54,'第 2 天'!F46,0),IF('第 2 天'!H$7=$B54,'第 2 天'!H46,0),IF('第 2 天'!J$7=$B54,'第 2 天'!J46,0),IF('第 2 天'!L$7=$B54,'第 2 天'!L46,0),IF('第 2 天'!N$7=$B54,'第 2 天'!N46,0),IF('第 2 天'!P$7=$B54,'第 2 天'!P46,0)))</f>
        <v>0</v>
      </c>
    </row>
    <row r="55" customFormat="false" ht="15" hidden="false" customHeight="false" outlineLevel="0" collapsed="false">
      <c r="A55" s="13" t="s">
        <v>89</v>
      </c>
      <c r="B55" s="13" t="s">
        <v>41</v>
      </c>
      <c r="C55" s="14" t="n">
        <f aca="false">SUM(IF(OR('第 2 天'!D$5="早餐",'第 2 天'!D$5="午餐",'第 2 天'!D$5="晚餐"),'第 2 天'!D75,0),IF(OR('第 2 天'!F$5="早餐",'第 2 天'!F$5="午餐",'第 2 天'!F$5="晚餐"),'第 2 天'!F75,0),IF(OR('第 2 天'!H$5="早餐",'第 2 天'!H$5="午餐",'第 2 天'!H$5="晚餐"),'第 2 天'!H75,0),IF(OR('第 2 天'!J$5="早餐",'第 2 天'!J$5="午餐",'第 2 天'!J$5="晚餐"),'第 2 天'!J75,0),IF(OR('第 2 天'!L$5="早餐",'第 2 天'!L$5="午餐",'第 2 天'!L$5="晚餐"),'第 2 天'!L75,0),IF(OR('第 2 天'!N$5="早餐",'第 2 天'!N$5="午餐",'第 2 天'!N$5="晚餐"),'第 2 天'!N75,0),IF(OR('第 2 天'!P$5="早餐",'第 2 天'!P$5="午餐",'第 2 天'!P$5="晚餐"),'第 2 天'!P75,0))</f>
        <v>0</v>
      </c>
      <c r="D55" s="14" t="n">
        <f aca="false">SUM(IF(OR('第 2 天'!D$5="油錢"),'第 2 天'!D75,0),IF(OR('第 2 天'!F$5="油錢"),'第 2 天'!F75,0),IF(OR('第 2 天'!H$5="油錢"),'第 2 天'!H75,0),IF(OR('第 2 天'!J$5="油錢"),'第 2 天'!J75,0),IF(OR('第 2 天'!L$5="油錢"),'第 2 天'!L75,0),IF(OR('第 2 天'!N$5="油錢"),'第 2 天'!N75,0),IF(OR('第 2 天'!P$5="油錢"),'第 2 天'!P75,0))</f>
        <v>0</v>
      </c>
      <c r="E55" s="14" t="n">
        <f aca="false">SUM(IF(OR('第 2 天'!D$5="租車費"),'第 2 天'!D75,0),IF(OR('第 2 天'!F$5="租車費"),'第 2 天'!F75,0),IF(OR('第 2 天'!H$5="租車費"),'第 2 天'!H75,0),IF(OR('第 2 天'!J$5="租車費"),'第 2 天'!J75,0),IF(OR('第 2 天'!L$5="租車費"),'第 2 天'!L75,0),IF(OR('第 2 天'!N$5="租車費"),'第 2 天'!N75,0),IF(OR('第 2 天'!P$5="租車費"),'第 2 天'!P75,0))</f>
        <v>0</v>
      </c>
      <c r="F55" s="14" t="n">
        <f aca="false">SUM(IF(OR('第 2 天'!D$5="停車費",'第 2 天'!D$5="其他"),'第 2 天'!D75,0),IF(OR('第 2 天'!F$5="停車費",'第 2 天'!F$5="其他"),'第 2 天'!F75,0),IF(OR('第 2 天'!H$5="停車費",'第 2 天'!H$5="其他"),'第 2 天'!H75,0),IF(OR('第 2 天'!J$5="停車費",'第 2 天'!J$5="其他"),'第 2 天'!J75,0),IF(OR('第 2 天'!L$5="停車費",'第 2 天'!L$5="其他"),'第 2 天'!L75,0),IF(OR('第 2 天'!N$5="停車費",'第 2 天'!N$5="其他"),'第 2 天'!N75,0),IF(OR('第 2 天'!P$5="停車費",'第 2 天'!P$5="其他"),'第 2 天'!P75,0))</f>
        <v>0</v>
      </c>
      <c r="G55" s="14" t="n">
        <f aca="false">SUM(C55:F55)</f>
        <v>0</v>
      </c>
      <c r="H55" s="14" t="n">
        <f aca="false">IF(LEN(TRIM(成員名單!$B28))=0,0,SUM(IF('第 2 天'!D$7=$B55,'第 2 天'!D46,0),IF('第 2 天'!F$7=$B55,'第 2 天'!F46,0),IF('第 2 天'!H$7=$B55,'第 2 天'!H46,0),IF('第 2 天'!J$7=$B55,'第 2 天'!J46,0),IF('第 2 天'!L$7=$B55,'第 2 天'!L46,0),IF('第 2 天'!N$7=$B55,'第 2 天'!N46,0),IF('第 2 天'!P$7=$B55,'第 2 天'!P46,0)))</f>
        <v>0</v>
      </c>
    </row>
    <row r="56" customFormat="false" ht="15" hidden="false" customHeight="false" outlineLevel="0" collapsed="false">
      <c r="A56" s="13" t="s">
        <v>89</v>
      </c>
      <c r="B56" s="13" t="s">
        <v>42</v>
      </c>
      <c r="C56" s="14" t="n">
        <f aca="false">SUM(IF(OR('第 2 天'!D$5="早餐",'第 2 天'!D$5="午餐",'第 2 天'!D$5="晚餐"),'第 2 天'!D76,0),IF(OR('第 2 天'!F$5="早餐",'第 2 天'!F$5="午餐",'第 2 天'!F$5="晚餐"),'第 2 天'!F76,0),IF(OR('第 2 天'!H$5="早餐",'第 2 天'!H$5="午餐",'第 2 天'!H$5="晚餐"),'第 2 天'!H76,0),IF(OR('第 2 天'!J$5="早餐",'第 2 天'!J$5="午餐",'第 2 天'!J$5="晚餐"),'第 2 天'!J76,0),IF(OR('第 2 天'!L$5="早餐",'第 2 天'!L$5="午餐",'第 2 天'!L$5="晚餐"),'第 2 天'!L76,0),IF(OR('第 2 天'!N$5="早餐",'第 2 天'!N$5="午餐",'第 2 天'!N$5="晚餐"),'第 2 天'!N76,0),IF(OR('第 2 天'!P$5="早餐",'第 2 天'!P$5="午餐",'第 2 天'!P$5="晚餐"),'第 2 天'!P76,0))</f>
        <v>0</v>
      </c>
      <c r="D56" s="14" t="n">
        <f aca="false">SUM(IF(OR('第 2 天'!D$5="油錢"),'第 2 天'!D76,0),IF(OR('第 2 天'!F$5="油錢"),'第 2 天'!F76,0),IF(OR('第 2 天'!H$5="油錢"),'第 2 天'!H76,0),IF(OR('第 2 天'!J$5="油錢"),'第 2 天'!J76,0),IF(OR('第 2 天'!L$5="油錢"),'第 2 天'!L76,0),IF(OR('第 2 天'!N$5="油錢"),'第 2 天'!N76,0),IF(OR('第 2 天'!P$5="油錢"),'第 2 天'!P76,0))</f>
        <v>0</v>
      </c>
      <c r="E56" s="14" t="n">
        <f aca="false">SUM(IF(OR('第 2 天'!D$5="租車費"),'第 2 天'!D76,0),IF(OR('第 2 天'!F$5="租車費"),'第 2 天'!F76,0),IF(OR('第 2 天'!H$5="租車費"),'第 2 天'!H76,0),IF(OR('第 2 天'!J$5="租車費"),'第 2 天'!J76,0),IF(OR('第 2 天'!L$5="租車費"),'第 2 天'!L76,0),IF(OR('第 2 天'!N$5="租車費"),'第 2 天'!N76,0),IF(OR('第 2 天'!P$5="租車費"),'第 2 天'!P76,0))</f>
        <v>0</v>
      </c>
      <c r="F56" s="14" t="n">
        <f aca="false">SUM(IF(OR('第 2 天'!D$5="停車費",'第 2 天'!D$5="其他"),'第 2 天'!D76,0),IF(OR('第 2 天'!F$5="停車費",'第 2 天'!F$5="其他"),'第 2 天'!F76,0),IF(OR('第 2 天'!H$5="停車費",'第 2 天'!H$5="其他"),'第 2 天'!H76,0),IF(OR('第 2 天'!J$5="停車費",'第 2 天'!J$5="其他"),'第 2 天'!J76,0),IF(OR('第 2 天'!L$5="停車費",'第 2 天'!L$5="其他"),'第 2 天'!L76,0),IF(OR('第 2 天'!N$5="停車費",'第 2 天'!N$5="其他"),'第 2 天'!N76,0),IF(OR('第 2 天'!P$5="停車費",'第 2 天'!P$5="其他"),'第 2 天'!P76,0))</f>
        <v>0</v>
      </c>
      <c r="G56" s="14" t="n">
        <f aca="false">SUM(C56:F56)</f>
        <v>0</v>
      </c>
      <c r="H56" s="14" t="n">
        <f aca="false">IF(LEN(TRIM(成員名單!$B29))=0,0,SUM(IF('第 2 天'!D$7=$B56,'第 2 天'!D46,0),IF('第 2 天'!F$7=$B56,'第 2 天'!F46,0),IF('第 2 天'!H$7=$B56,'第 2 天'!H46,0),IF('第 2 天'!J$7=$B56,'第 2 天'!J46,0),IF('第 2 天'!L$7=$B56,'第 2 天'!L46,0),IF('第 2 天'!N$7=$B56,'第 2 天'!N46,0),IF('第 2 天'!P$7=$B56,'第 2 天'!P46,0)))</f>
        <v>0</v>
      </c>
    </row>
    <row r="57" customFormat="false" ht="15" hidden="false" customHeight="false" outlineLevel="0" collapsed="false">
      <c r="A57" s="13" t="s">
        <v>89</v>
      </c>
      <c r="B57" s="13" t="s">
        <v>43</v>
      </c>
      <c r="C57" s="14" t="n">
        <f aca="false">SUM(IF(OR('第 2 天'!D$5="早餐",'第 2 天'!D$5="午餐",'第 2 天'!D$5="晚餐"),'第 2 天'!D77,0),IF(OR('第 2 天'!F$5="早餐",'第 2 天'!F$5="午餐",'第 2 天'!F$5="晚餐"),'第 2 天'!F77,0),IF(OR('第 2 天'!H$5="早餐",'第 2 天'!H$5="午餐",'第 2 天'!H$5="晚餐"),'第 2 天'!H77,0),IF(OR('第 2 天'!J$5="早餐",'第 2 天'!J$5="午餐",'第 2 天'!J$5="晚餐"),'第 2 天'!J77,0),IF(OR('第 2 天'!L$5="早餐",'第 2 天'!L$5="午餐",'第 2 天'!L$5="晚餐"),'第 2 天'!L77,0),IF(OR('第 2 天'!N$5="早餐",'第 2 天'!N$5="午餐",'第 2 天'!N$5="晚餐"),'第 2 天'!N77,0),IF(OR('第 2 天'!P$5="早餐",'第 2 天'!P$5="午餐",'第 2 天'!P$5="晚餐"),'第 2 天'!P77,0))</f>
        <v>0</v>
      </c>
      <c r="D57" s="14" t="n">
        <f aca="false">SUM(IF(OR('第 2 天'!D$5="油錢"),'第 2 天'!D77,0),IF(OR('第 2 天'!F$5="油錢"),'第 2 天'!F77,0),IF(OR('第 2 天'!H$5="油錢"),'第 2 天'!H77,0),IF(OR('第 2 天'!J$5="油錢"),'第 2 天'!J77,0),IF(OR('第 2 天'!L$5="油錢"),'第 2 天'!L77,0),IF(OR('第 2 天'!N$5="油錢"),'第 2 天'!N77,0),IF(OR('第 2 天'!P$5="油錢"),'第 2 天'!P77,0))</f>
        <v>0</v>
      </c>
      <c r="E57" s="14" t="n">
        <f aca="false">SUM(IF(OR('第 2 天'!D$5="租車費"),'第 2 天'!D77,0),IF(OR('第 2 天'!F$5="租車費"),'第 2 天'!F77,0),IF(OR('第 2 天'!H$5="租車費"),'第 2 天'!H77,0),IF(OR('第 2 天'!J$5="租車費"),'第 2 天'!J77,0),IF(OR('第 2 天'!L$5="租車費"),'第 2 天'!L77,0),IF(OR('第 2 天'!N$5="租車費"),'第 2 天'!N77,0),IF(OR('第 2 天'!P$5="租車費"),'第 2 天'!P77,0))</f>
        <v>0</v>
      </c>
      <c r="F57" s="14" t="n">
        <f aca="false">SUM(IF(OR('第 2 天'!D$5="停車費",'第 2 天'!D$5="其他"),'第 2 天'!D77,0),IF(OR('第 2 天'!F$5="停車費",'第 2 天'!F$5="其他"),'第 2 天'!F77,0),IF(OR('第 2 天'!H$5="停車費",'第 2 天'!H$5="其他"),'第 2 天'!H77,0),IF(OR('第 2 天'!J$5="停車費",'第 2 天'!J$5="其他"),'第 2 天'!J77,0),IF(OR('第 2 天'!L$5="停車費",'第 2 天'!L$5="其他"),'第 2 天'!L77,0),IF(OR('第 2 天'!N$5="停車費",'第 2 天'!N$5="其他"),'第 2 天'!N77,0),IF(OR('第 2 天'!P$5="停車費",'第 2 天'!P$5="其他"),'第 2 天'!P77,0))</f>
        <v>0</v>
      </c>
      <c r="G57" s="14" t="n">
        <f aca="false">SUM(C57:F57)</f>
        <v>0</v>
      </c>
      <c r="H57" s="14" t="n">
        <f aca="false">IF(LEN(TRIM(成員名單!$B30))=0,0,SUM(IF('第 2 天'!D$7=$B57,'第 2 天'!D46,0),IF('第 2 天'!F$7=$B57,'第 2 天'!F46,0),IF('第 2 天'!H$7=$B57,'第 2 天'!H46,0),IF('第 2 天'!J$7=$B57,'第 2 天'!J46,0),IF('第 2 天'!L$7=$B57,'第 2 天'!L46,0),IF('第 2 天'!N$7=$B57,'第 2 天'!N46,0),IF('第 2 天'!P$7=$B57,'第 2 天'!P46,0)))</f>
        <v>0</v>
      </c>
    </row>
    <row r="58" customFormat="false" ht="15" hidden="false" customHeight="false" outlineLevel="0" collapsed="false">
      <c r="A58" s="13" t="s">
        <v>89</v>
      </c>
      <c r="B58" s="13" t="s">
        <v>44</v>
      </c>
      <c r="C58" s="14" t="n">
        <f aca="false">SUM(IF(OR('第 2 天'!D$5="早餐",'第 2 天'!D$5="午餐",'第 2 天'!D$5="晚餐"),'第 2 天'!D78,0),IF(OR('第 2 天'!F$5="早餐",'第 2 天'!F$5="午餐",'第 2 天'!F$5="晚餐"),'第 2 天'!F78,0),IF(OR('第 2 天'!H$5="早餐",'第 2 天'!H$5="午餐",'第 2 天'!H$5="晚餐"),'第 2 天'!H78,0),IF(OR('第 2 天'!J$5="早餐",'第 2 天'!J$5="午餐",'第 2 天'!J$5="晚餐"),'第 2 天'!J78,0),IF(OR('第 2 天'!L$5="早餐",'第 2 天'!L$5="午餐",'第 2 天'!L$5="晚餐"),'第 2 天'!L78,0),IF(OR('第 2 天'!N$5="早餐",'第 2 天'!N$5="午餐",'第 2 天'!N$5="晚餐"),'第 2 天'!N78,0),IF(OR('第 2 天'!P$5="早餐",'第 2 天'!P$5="午餐",'第 2 天'!P$5="晚餐"),'第 2 天'!P78,0))</f>
        <v>0</v>
      </c>
      <c r="D58" s="14" t="n">
        <f aca="false">SUM(IF(OR('第 2 天'!D$5="油錢"),'第 2 天'!D78,0),IF(OR('第 2 天'!F$5="油錢"),'第 2 天'!F78,0),IF(OR('第 2 天'!H$5="油錢"),'第 2 天'!H78,0),IF(OR('第 2 天'!J$5="油錢"),'第 2 天'!J78,0),IF(OR('第 2 天'!L$5="油錢"),'第 2 天'!L78,0),IF(OR('第 2 天'!N$5="油錢"),'第 2 天'!N78,0),IF(OR('第 2 天'!P$5="油錢"),'第 2 天'!P78,0))</f>
        <v>0</v>
      </c>
      <c r="E58" s="14" t="n">
        <f aca="false">SUM(IF(OR('第 2 天'!D$5="租車費"),'第 2 天'!D78,0),IF(OR('第 2 天'!F$5="租車費"),'第 2 天'!F78,0),IF(OR('第 2 天'!H$5="租車費"),'第 2 天'!H78,0),IF(OR('第 2 天'!J$5="租車費"),'第 2 天'!J78,0),IF(OR('第 2 天'!L$5="租車費"),'第 2 天'!L78,0),IF(OR('第 2 天'!N$5="租車費"),'第 2 天'!N78,0),IF(OR('第 2 天'!P$5="租車費"),'第 2 天'!P78,0))</f>
        <v>0</v>
      </c>
      <c r="F58" s="14" t="n">
        <f aca="false">SUM(IF(OR('第 2 天'!D$5="停車費",'第 2 天'!D$5="其他"),'第 2 天'!D78,0),IF(OR('第 2 天'!F$5="停車費",'第 2 天'!F$5="其他"),'第 2 天'!F78,0),IF(OR('第 2 天'!H$5="停車費",'第 2 天'!H$5="其他"),'第 2 天'!H78,0),IF(OR('第 2 天'!J$5="停車費",'第 2 天'!J$5="其他"),'第 2 天'!J78,0),IF(OR('第 2 天'!L$5="停車費",'第 2 天'!L$5="其他"),'第 2 天'!L78,0),IF(OR('第 2 天'!N$5="停車費",'第 2 天'!N$5="其他"),'第 2 天'!N78,0),IF(OR('第 2 天'!P$5="停車費",'第 2 天'!P$5="其他"),'第 2 天'!P78,0))</f>
        <v>0</v>
      </c>
      <c r="G58" s="14" t="n">
        <f aca="false">SUM(C58:F58)</f>
        <v>0</v>
      </c>
      <c r="H58" s="14" t="n">
        <f aca="false">IF(LEN(TRIM(成員名單!$B31))=0,0,SUM(IF('第 2 天'!D$7=$B58,'第 2 天'!D46,0),IF('第 2 天'!F$7=$B58,'第 2 天'!F46,0),IF('第 2 天'!H$7=$B58,'第 2 天'!H46,0),IF('第 2 天'!J$7=$B58,'第 2 天'!J46,0),IF('第 2 天'!L$7=$B58,'第 2 天'!L46,0),IF('第 2 天'!N$7=$B58,'第 2 天'!N46,0),IF('第 2 天'!P$7=$B58,'第 2 天'!P46,0)))</f>
        <v>0</v>
      </c>
    </row>
    <row r="59" customFormat="false" ht="15" hidden="false" customHeight="false" outlineLevel="0" collapsed="false">
      <c r="A59" s="13" t="s">
        <v>89</v>
      </c>
      <c r="B59" s="13" t="s">
        <v>45</v>
      </c>
      <c r="C59" s="14" t="n">
        <f aca="false">SUM(IF(OR('第 2 天'!D$5="早餐",'第 2 天'!D$5="午餐",'第 2 天'!D$5="晚餐"),'第 2 天'!D79,0),IF(OR('第 2 天'!F$5="早餐",'第 2 天'!F$5="午餐",'第 2 天'!F$5="晚餐"),'第 2 天'!F79,0),IF(OR('第 2 天'!H$5="早餐",'第 2 天'!H$5="午餐",'第 2 天'!H$5="晚餐"),'第 2 天'!H79,0),IF(OR('第 2 天'!J$5="早餐",'第 2 天'!J$5="午餐",'第 2 天'!J$5="晚餐"),'第 2 天'!J79,0),IF(OR('第 2 天'!L$5="早餐",'第 2 天'!L$5="午餐",'第 2 天'!L$5="晚餐"),'第 2 天'!L79,0),IF(OR('第 2 天'!N$5="早餐",'第 2 天'!N$5="午餐",'第 2 天'!N$5="晚餐"),'第 2 天'!N79,0),IF(OR('第 2 天'!P$5="早餐",'第 2 天'!P$5="午餐",'第 2 天'!P$5="晚餐"),'第 2 天'!P79,0))</f>
        <v>0</v>
      </c>
      <c r="D59" s="14" t="n">
        <f aca="false">SUM(IF(OR('第 2 天'!D$5="油錢"),'第 2 天'!D79,0),IF(OR('第 2 天'!F$5="油錢"),'第 2 天'!F79,0),IF(OR('第 2 天'!H$5="油錢"),'第 2 天'!H79,0),IF(OR('第 2 天'!J$5="油錢"),'第 2 天'!J79,0),IF(OR('第 2 天'!L$5="油錢"),'第 2 天'!L79,0),IF(OR('第 2 天'!N$5="油錢"),'第 2 天'!N79,0),IF(OR('第 2 天'!P$5="油錢"),'第 2 天'!P79,0))</f>
        <v>0</v>
      </c>
      <c r="E59" s="14" t="n">
        <f aca="false">SUM(IF(OR('第 2 天'!D$5="租車費"),'第 2 天'!D79,0),IF(OR('第 2 天'!F$5="租車費"),'第 2 天'!F79,0),IF(OR('第 2 天'!H$5="租車費"),'第 2 天'!H79,0),IF(OR('第 2 天'!J$5="租車費"),'第 2 天'!J79,0),IF(OR('第 2 天'!L$5="租車費"),'第 2 天'!L79,0),IF(OR('第 2 天'!N$5="租車費"),'第 2 天'!N79,0),IF(OR('第 2 天'!P$5="租車費"),'第 2 天'!P79,0))</f>
        <v>0</v>
      </c>
      <c r="F59" s="14" t="n">
        <f aca="false">SUM(IF(OR('第 2 天'!D$5="停車費",'第 2 天'!D$5="其他"),'第 2 天'!D79,0),IF(OR('第 2 天'!F$5="停車費",'第 2 天'!F$5="其他"),'第 2 天'!F79,0),IF(OR('第 2 天'!H$5="停車費",'第 2 天'!H$5="其他"),'第 2 天'!H79,0),IF(OR('第 2 天'!J$5="停車費",'第 2 天'!J$5="其他"),'第 2 天'!J79,0),IF(OR('第 2 天'!L$5="停車費",'第 2 天'!L$5="其他"),'第 2 天'!L79,0),IF(OR('第 2 天'!N$5="停車費",'第 2 天'!N$5="其他"),'第 2 天'!N79,0),IF(OR('第 2 天'!P$5="停車費",'第 2 天'!P$5="其他"),'第 2 天'!P79,0))</f>
        <v>0</v>
      </c>
      <c r="G59" s="14" t="n">
        <f aca="false">SUM(C59:F59)</f>
        <v>0</v>
      </c>
      <c r="H59" s="14" t="n">
        <f aca="false">IF(LEN(TRIM(成員名單!$B32))=0,0,SUM(IF('第 2 天'!D$7=$B59,'第 2 天'!D46,0),IF('第 2 天'!F$7=$B59,'第 2 天'!F46,0),IF('第 2 天'!H$7=$B59,'第 2 天'!H46,0),IF('第 2 天'!J$7=$B59,'第 2 天'!J46,0),IF('第 2 天'!L$7=$B59,'第 2 天'!L46,0),IF('第 2 天'!N$7=$B59,'第 2 天'!N46,0),IF('第 2 天'!P$7=$B59,'第 2 天'!P46,0)))</f>
        <v>0</v>
      </c>
    </row>
    <row r="60" customFormat="false" ht="15" hidden="false" customHeight="false" outlineLevel="0" collapsed="false">
      <c r="A60" s="13" t="s">
        <v>89</v>
      </c>
      <c r="B60" s="13" t="s">
        <v>46</v>
      </c>
      <c r="C60" s="14" t="n">
        <f aca="false">SUM(IF(OR('第 2 天'!D$5="早餐",'第 2 天'!D$5="午餐",'第 2 天'!D$5="晚餐"),'第 2 天'!D80,0),IF(OR('第 2 天'!F$5="早餐",'第 2 天'!F$5="午餐",'第 2 天'!F$5="晚餐"),'第 2 天'!F80,0),IF(OR('第 2 天'!H$5="早餐",'第 2 天'!H$5="午餐",'第 2 天'!H$5="晚餐"),'第 2 天'!H80,0),IF(OR('第 2 天'!J$5="早餐",'第 2 天'!J$5="午餐",'第 2 天'!J$5="晚餐"),'第 2 天'!J80,0),IF(OR('第 2 天'!L$5="早餐",'第 2 天'!L$5="午餐",'第 2 天'!L$5="晚餐"),'第 2 天'!L80,0),IF(OR('第 2 天'!N$5="早餐",'第 2 天'!N$5="午餐",'第 2 天'!N$5="晚餐"),'第 2 天'!N80,0),IF(OR('第 2 天'!P$5="早餐",'第 2 天'!P$5="午餐",'第 2 天'!P$5="晚餐"),'第 2 天'!P80,0))</f>
        <v>0</v>
      </c>
      <c r="D60" s="14" t="n">
        <f aca="false">SUM(IF(OR('第 2 天'!D$5="油錢"),'第 2 天'!D80,0),IF(OR('第 2 天'!F$5="油錢"),'第 2 天'!F80,0),IF(OR('第 2 天'!H$5="油錢"),'第 2 天'!H80,0),IF(OR('第 2 天'!J$5="油錢"),'第 2 天'!J80,0),IF(OR('第 2 天'!L$5="油錢"),'第 2 天'!L80,0),IF(OR('第 2 天'!N$5="油錢"),'第 2 天'!N80,0),IF(OR('第 2 天'!P$5="油錢"),'第 2 天'!P80,0))</f>
        <v>0</v>
      </c>
      <c r="E60" s="14" t="n">
        <f aca="false">SUM(IF(OR('第 2 天'!D$5="租車費"),'第 2 天'!D80,0),IF(OR('第 2 天'!F$5="租車費"),'第 2 天'!F80,0),IF(OR('第 2 天'!H$5="租車費"),'第 2 天'!H80,0),IF(OR('第 2 天'!J$5="租車費"),'第 2 天'!J80,0),IF(OR('第 2 天'!L$5="租車費"),'第 2 天'!L80,0),IF(OR('第 2 天'!N$5="租車費"),'第 2 天'!N80,0),IF(OR('第 2 天'!P$5="租車費"),'第 2 天'!P80,0))</f>
        <v>0</v>
      </c>
      <c r="F60" s="14" t="n">
        <f aca="false">SUM(IF(OR('第 2 天'!D$5="停車費",'第 2 天'!D$5="其他"),'第 2 天'!D80,0),IF(OR('第 2 天'!F$5="停車費",'第 2 天'!F$5="其他"),'第 2 天'!F80,0),IF(OR('第 2 天'!H$5="停車費",'第 2 天'!H$5="其他"),'第 2 天'!H80,0),IF(OR('第 2 天'!J$5="停車費",'第 2 天'!J$5="其他"),'第 2 天'!J80,0),IF(OR('第 2 天'!L$5="停車費",'第 2 天'!L$5="其他"),'第 2 天'!L80,0),IF(OR('第 2 天'!N$5="停車費",'第 2 天'!N$5="其他"),'第 2 天'!N80,0),IF(OR('第 2 天'!P$5="停車費",'第 2 天'!P$5="其他"),'第 2 天'!P80,0))</f>
        <v>0</v>
      </c>
      <c r="G60" s="14" t="n">
        <f aca="false">SUM(C60:F60)</f>
        <v>0</v>
      </c>
      <c r="H60" s="14" t="n">
        <f aca="false">IF(LEN(TRIM(成員名單!$B33))=0,0,SUM(IF('第 2 天'!D$7=$B60,'第 2 天'!D46,0),IF('第 2 天'!F$7=$B60,'第 2 天'!F46,0),IF('第 2 天'!H$7=$B60,'第 2 天'!H46,0),IF('第 2 天'!J$7=$B60,'第 2 天'!J46,0),IF('第 2 天'!L$7=$B60,'第 2 天'!L46,0),IF('第 2 天'!N$7=$B60,'第 2 天'!N46,0),IF('第 2 天'!P$7=$B60,'第 2 天'!P46,0)))</f>
        <v>0</v>
      </c>
    </row>
    <row r="61" customFormat="false" ht="15" hidden="false" customHeight="false" outlineLevel="0" collapsed="false">
      <c r="A61" s="13" t="s">
        <v>89</v>
      </c>
      <c r="B61" s="13" t="s">
        <v>47</v>
      </c>
      <c r="C61" s="14" t="n">
        <f aca="false">SUM(IF(OR('第 2 天'!D$5="早餐",'第 2 天'!D$5="午餐",'第 2 天'!D$5="晚餐"),'第 2 天'!D81,0),IF(OR('第 2 天'!F$5="早餐",'第 2 天'!F$5="午餐",'第 2 天'!F$5="晚餐"),'第 2 天'!F81,0),IF(OR('第 2 天'!H$5="早餐",'第 2 天'!H$5="午餐",'第 2 天'!H$5="晚餐"),'第 2 天'!H81,0),IF(OR('第 2 天'!J$5="早餐",'第 2 天'!J$5="午餐",'第 2 天'!J$5="晚餐"),'第 2 天'!J81,0),IF(OR('第 2 天'!L$5="早餐",'第 2 天'!L$5="午餐",'第 2 天'!L$5="晚餐"),'第 2 天'!L81,0),IF(OR('第 2 天'!N$5="早餐",'第 2 天'!N$5="午餐",'第 2 天'!N$5="晚餐"),'第 2 天'!N81,0),IF(OR('第 2 天'!P$5="早餐",'第 2 天'!P$5="午餐",'第 2 天'!P$5="晚餐"),'第 2 天'!P81,0))</f>
        <v>0</v>
      </c>
      <c r="D61" s="14" t="n">
        <f aca="false">SUM(IF(OR('第 2 天'!D$5="油錢"),'第 2 天'!D81,0),IF(OR('第 2 天'!F$5="油錢"),'第 2 天'!F81,0),IF(OR('第 2 天'!H$5="油錢"),'第 2 天'!H81,0),IF(OR('第 2 天'!J$5="油錢"),'第 2 天'!J81,0),IF(OR('第 2 天'!L$5="油錢"),'第 2 天'!L81,0),IF(OR('第 2 天'!N$5="油錢"),'第 2 天'!N81,0),IF(OR('第 2 天'!P$5="油錢"),'第 2 天'!P81,0))</f>
        <v>0</v>
      </c>
      <c r="E61" s="14" t="n">
        <f aca="false">SUM(IF(OR('第 2 天'!D$5="租車費"),'第 2 天'!D81,0),IF(OR('第 2 天'!F$5="租車費"),'第 2 天'!F81,0),IF(OR('第 2 天'!H$5="租車費"),'第 2 天'!H81,0),IF(OR('第 2 天'!J$5="租車費"),'第 2 天'!J81,0),IF(OR('第 2 天'!L$5="租車費"),'第 2 天'!L81,0),IF(OR('第 2 天'!N$5="租車費"),'第 2 天'!N81,0),IF(OR('第 2 天'!P$5="租車費"),'第 2 天'!P81,0))</f>
        <v>0</v>
      </c>
      <c r="F61" s="14" t="n">
        <f aca="false">SUM(IF(OR('第 2 天'!D$5="停車費",'第 2 天'!D$5="其他"),'第 2 天'!D81,0),IF(OR('第 2 天'!F$5="停車費",'第 2 天'!F$5="其他"),'第 2 天'!F81,0),IF(OR('第 2 天'!H$5="停車費",'第 2 天'!H$5="其他"),'第 2 天'!H81,0),IF(OR('第 2 天'!J$5="停車費",'第 2 天'!J$5="其他"),'第 2 天'!J81,0),IF(OR('第 2 天'!L$5="停車費",'第 2 天'!L$5="其他"),'第 2 天'!L81,0),IF(OR('第 2 天'!N$5="停車費",'第 2 天'!N$5="其他"),'第 2 天'!N81,0),IF(OR('第 2 天'!P$5="停車費",'第 2 天'!P$5="其他"),'第 2 天'!P81,0))</f>
        <v>0</v>
      </c>
      <c r="G61" s="14" t="n">
        <f aca="false">SUM(C61:F61)</f>
        <v>0</v>
      </c>
      <c r="H61" s="14" t="n">
        <f aca="false">IF(LEN(TRIM(成員名單!$B34))=0,0,SUM(IF('第 2 天'!D$7=$B61,'第 2 天'!D46,0),IF('第 2 天'!F$7=$B61,'第 2 天'!F46,0),IF('第 2 天'!H$7=$B61,'第 2 天'!H46,0),IF('第 2 天'!J$7=$B61,'第 2 天'!J46,0),IF('第 2 天'!L$7=$B61,'第 2 天'!L46,0),IF('第 2 天'!N$7=$B61,'第 2 天'!N46,0),IF('第 2 天'!P$7=$B61,'第 2 天'!P46,0)))</f>
        <v>0</v>
      </c>
    </row>
    <row r="62" customFormat="false" ht="15" hidden="false" customHeight="false" outlineLevel="0" collapsed="false">
      <c r="A62" s="13" t="s">
        <v>98</v>
      </c>
      <c r="B62" s="13" t="s">
        <v>18</v>
      </c>
      <c r="C62" s="14" t="n">
        <f aca="false">SUM(IF(OR('第 3 天'!D$5="早餐",'第 3 天'!D$5="午餐",'第 3 天'!D$5="晚餐"),'第 3 天'!D52,0),IF(OR('第 3 天'!F$5="早餐",'第 3 天'!F$5="午餐",'第 3 天'!F$5="晚餐"),'第 3 天'!F52,0),IF(OR('第 3 天'!H$5="早餐",'第 3 天'!H$5="午餐",'第 3 天'!H$5="晚餐"),'第 3 天'!H52,0),IF(OR('第 3 天'!J$5="早餐",'第 3 天'!J$5="午餐",'第 3 天'!J$5="晚餐"),'第 3 天'!J52,0),IF(OR('第 3 天'!L$5="早餐",'第 3 天'!L$5="午餐",'第 3 天'!L$5="晚餐"),'第 3 天'!L52,0),IF(OR('第 3 天'!N$5="早餐",'第 3 天'!N$5="午餐",'第 3 天'!N$5="晚餐"),'第 3 天'!N52,0),IF(OR('第 3 天'!P$5="早餐",'第 3 天'!P$5="午餐",'第 3 天'!P$5="晚餐"),'第 3 天'!P52,0))</f>
        <v>0</v>
      </c>
      <c r="D62" s="14" t="n">
        <f aca="false">SUM(IF(OR('第 3 天'!D$5="油錢"),'第 3 天'!D52,0),IF(OR('第 3 天'!F$5="油錢"),'第 3 天'!F52,0),IF(OR('第 3 天'!H$5="油錢"),'第 3 天'!H52,0),IF(OR('第 3 天'!J$5="油錢"),'第 3 天'!J52,0),IF(OR('第 3 天'!L$5="油錢"),'第 3 天'!L52,0),IF(OR('第 3 天'!N$5="油錢"),'第 3 天'!N52,0),IF(OR('第 3 天'!P$5="油錢"),'第 3 天'!P52,0))</f>
        <v>0</v>
      </c>
      <c r="E62" s="14" t="n">
        <f aca="false">SUM(IF(OR('第 3 天'!D$5="租車費"),'第 3 天'!D52,0),IF(OR('第 3 天'!F$5="租車費"),'第 3 天'!F52,0),IF(OR('第 3 天'!H$5="租車費"),'第 3 天'!H52,0),IF(OR('第 3 天'!J$5="租車費"),'第 3 天'!J52,0),IF(OR('第 3 天'!L$5="租車費"),'第 3 天'!L52,0),IF(OR('第 3 天'!N$5="租車費"),'第 3 天'!N52,0),IF(OR('第 3 天'!P$5="租車費"),'第 3 天'!P52,0))</f>
        <v>0</v>
      </c>
      <c r="F62" s="14" t="n">
        <f aca="false">SUM(IF(OR('第 3 天'!D$5="停車費",'第 3 天'!D$5="其他"),'第 3 天'!D52,0),IF(OR('第 3 天'!F$5="停車費",'第 3 天'!F$5="其他"),'第 3 天'!F52,0),IF(OR('第 3 天'!H$5="停車費",'第 3 天'!H$5="其他"),'第 3 天'!H52,0),IF(OR('第 3 天'!J$5="停車費",'第 3 天'!J$5="其他"),'第 3 天'!J52,0),IF(OR('第 3 天'!L$5="停車費",'第 3 天'!L$5="其他"),'第 3 天'!L52,0),IF(OR('第 3 天'!N$5="停車費",'第 3 天'!N$5="其他"),'第 3 天'!N52,0),IF(OR('第 3 天'!P$5="停車費",'第 3 天'!P$5="其他"),'第 3 天'!P52,0))</f>
        <v>0</v>
      </c>
      <c r="G62" s="14" t="n">
        <f aca="false">SUM(C62:F62)</f>
        <v>0</v>
      </c>
      <c r="H62" s="14" t="n">
        <f aca="false">IF(LEN(TRIM(成員名單!$B5))=0,0,SUM(IF('第 3 天'!D$7=$B62,'第 3 天'!D46,0),IF('第 3 天'!F$7=$B62,'第 3 天'!F46,0),IF('第 3 天'!H$7=$B62,'第 3 天'!H46,0),IF('第 3 天'!J$7=$B62,'第 3 天'!J46,0),IF('第 3 天'!L$7=$B62,'第 3 天'!L46,0),IF('第 3 天'!N$7=$B62,'第 3 天'!N46,0),IF('第 3 天'!P$7=$B62,'第 3 天'!P46,0)))</f>
        <v>0</v>
      </c>
    </row>
    <row r="63" customFormat="false" ht="15" hidden="false" customHeight="false" outlineLevel="0" collapsed="false">
      <c r="A63" s="13" t="s">
        <v>98</v>
      </c>
      <c r="B63" s="13" t="s">
        <v>19</v>
      </c>
      <c r="C63" s="14" t="n">
        <f aca="false">SUM(IF(OR('第 3 天'!D$5="早餐",'第 3 天'!D$5="午餐",'第 3 天'!D$5="晚餐"),'第 3 天'!D53,0),IF(OR('第 3 天'!F$5="早餐",'第 3 天'!F$5="午餐",'第 3 天'!F$5="晚餐"),'第 3 天'!F53,0),IF(OR('第 3 天'!H$5="早餐",'第 3 天'!H$5="午餐",'第 3 天'!H$5="晚餐"),'第 3 天'!H53,0),IF(OR('第 3 天'!J$5="早餐",'第 3 天'!J$5="午餐",'第 3 天'!J$5="晚餐"),'第 3 天'!J53,0),IF(OR('第 3 天'!L$5="早餐",'第 3 天'!L$5="午餐",'第 3 天'!L$5="晚餐"),'第 3 天'!L53,0),IF(OR('第 3 天'!N$5="早餐",'第 3 天'!N$5="午餐",'第 3 天'!N$5="晚餐"),'第 3 天'!N53,0),IF(OR('第 3 天'!P$5="早餐",'第 3 天'!P$5="午餐",'第 3 天'!P$5="晚餐"),'第 3 天'!P53,0))</f>
        <v>0</v>
      </c>
      <c r="D63" s="14" t="n">
        <f aca="false">SUM(IF(OR('第 3 天'!D$5="油錢"),'第 3 天'!D53,0),IF(OR('第 3 天'!F$5="油錢"),'第 3 天'!F53,0),IF(OR('第 3 天'!H$5="油錢"),'第 3 天'!H53,0),IF(OR('第 3 天'!J$5="油錢"),'第 3 天'!J53,0),IF(OR('第 3 天'!L$5="油錢"),'第 3 天'!L53,0),IF(OR('第 3 天'!N$5="油錢"),'第 3 天'!N53,0),IF(OR('第 3 天'!P$5="油錢"),'第 3 天'!P53,0))</f>
        <v>0</v>
      </c>
      <c r="E63" s="14" t="n">
        <f aca="false">SUM(IF(OR('第 3 天'!D$5="租車費"),'第 3 天'!D53,0),IF(OR('第 3 天'!F$5="租車費"),'第 3 天'!F53,0),IF(OR('第 3 天'!H$5="租車費"),'第 3 天'!H53,0),IF(OR('第 3 天'!J$5="租車費"),'第 3 天'!J53,0),IF(OR('第 3 天'!L$5="租車費"),'第 3 天'!L53,0),IF(OR('第 3 天'!N$5="租車費"),'第 3 天'!N53,0),IF(OR('第 3 天'!P$5="租車費"),'第 3 天'!P53,0))</f>
        <v>0</v>
      </c>
      <c r="F63" s="14" t="n">
        <f aca="false">SUM(IF(OR('第 3 天'!D$5="停車費",'第 3 天'!D$5="其他"),'第 3 天'!D53,0),IF(OR('第 3 天'!F$5="停車費",'第 3 天'!F$5="其他"),'第 3 天'!F53,0),IF(OR('第 3 天'!H$5="停車費",'第 3 天'!H$5="其他"),'第 3 天'!H53,0),IF(OR('第 3 天'!J$5="停車費",'第 3 天'!J$5="其他"),'第 3 天'!J53,0),IF(OR('第 3 天'!L$5="停車費",'第 3 天'!L$5="其他"),'第 3 天'!L53,0),IF(OR('第 3 天'!N$5="停車費",'第 3 天'!N$5="其他"),'第 3 天'!N53,0),IF(OR('第 3 天'!P$5="停車費",'第 3 天'!P$5="其他"),'第 3 天'!P53,0))</f>
        <v>0</v>
      </c>
      <c r="G63" s="14" t="n">
        <f aca="false">SUM(C63:F63)</f>
        <v>0</v>
      </c>
      <c r="H63" s="14" t="n">
        <f aca="false">IF(LEN(TRIM(成員名單!$B6))=0,0,SUM(IF('第 3 天'!D$7=$B63,'第 3 天'!D46,0),IF('第 3 天'!F$7=$B63,'第 3 天'!F46,0),IF('第 3 天'!H$7=$B63,'第 3 天'!H46,0),IF('第 3 天'!J$7=$B63,'第 3 天'!J46,0),IF('第 3 天'!L$7=$B63,'第 3 天'!L46,0),IF('第 3 天'!N$7=$B63,'第 3 天'!N46,0),IF('第 3 天'!P$7=$B63,'第 3 天'!P46,0)))</f>
        <v>0</v>
      </c>
    </row>
    <row r="64" customFormat="false" ht="15" hidden="false" customHeight="false" outlineLevel="0" collapsed="false">
      <c r="A64" s="13" t="s">
        <v>98</v>
      </c>
      <c r="B64" s="13" t="s">
        <v>20</v>
      </c>
      <c r="C64" s="14" t="n">
        <f aca="false">SUM(IF(OR('第 3 天'!D$5="早餐",'第 3 天'!D$5="午餐",'第 3 天'!D$5="晚餐"),'第 3 天'!D54,0),IF(OR('第 3 天'!F$5="早餐",'第 3 天'!F$5="午餐",'第 3 天'!F$5="晚餐"),'第 3 天'!F54,0),IF(OR('第 3 天'!H$5="早餐",'第 3 天'!H$5="午餐",'第 3 天'!H$5="晚餐"),'第 3 天'!H54,0),IF(OR('第 3 天'!J$5="早餐",'第 3 天'!J$5="午餐",'第 3 天'!J$5="晚餐"),'第 3 天'!J54,0),IF(OR('第 3 天'!L$5="早餐",'第 3 天'!L$5="午餐",'第 3 天'!L$5="晚餐"),'第 3 天'!L54,0),IF(OR('第 3 天'!N$5="早餐",'第 3 天'!N$5="午餐",'第 3 天'!N$5="晚餐"),'第 3 天'!N54,0),IF(OR('第 3 天'!P$5="早餐",'第 3 天'!P$5="午餐",'第 3 天'!P$5="晚餐"),'第 3 天'!P54,0))</f>
        <v>0</v>
      </c>
      <c r="D64" s="14" t="n">
        <f aca="false">SUM(IF(OR('第 3 天'!D$5="油錢"),'第 3 天'!D54,0),IF(OR('第 3 天'!F$5="油錢"),'第 3 天'!F54,0),IF(OR('第 3 天'!H$5="油錢"),'第 3 天'!H54,0),IF(OR('第 3 天'!J$5="油錢"),'第 3 天'!J54,0),IF(OR('第 3 天'!L$5="油錢"),'第 3 天'!L54,0),IF(OR('第 3 天'!N$5="油錢"),'第 3 天'!N54,0),IF(OR('第 3 天'!P$5="油錢"),'第 3 天'!P54,0))</f>
        <v>0</v>
      </c>
      <c r="E64" s="14" t="n">
        <f aca="false">SUM(IF(OR('第 3 天'!D$5="租車費"),'第 3 天'!D54,0),IF(OR('第 3 天'!F$5="租車費"),'第 3 天'!F54,0),IF(OR('第 3 天'!H$5="租車費"),'第 3 天'!H54,0),IF(OR('第 3 天'!J$5="租車費"),'第 3 天'!J54,0),IF(OR('第 3 天'!L$5="租車費"),'第 3 天'!L54,0),IF(OR('第 3 天'!N$5="租車費"),'第 3 天'!N54,0),IF(OR('第 3 天'!P$5="租車費"),'第 3 天'!P54,0))</f>
        <v>0</v>
      </c>
      <c r="F64" s="14" t="n">
        <f aca="false">SUM(IF(OR('第 3 天'!D$5="停車費",'第 3 天'!D$5="其他"),'第 3 天'!D54,0),IF(OR('第 3 天'!F$5="停車費",'第 3 天'!F$5="其他"),'第 3 天'!F54,0),IF(OR('第 3 天'!H$5="停車費",'第 3 天'!H$5="其他"),'第 3 天'!H54,0),IF(OR('第 3 天'!J$5="停車費",'第 3 天'!J$5="其他"),'第 3 天'!J54,0),IF(OR('第 3 天'!L$5="停車費",'第 3 天'!L$5="其他"),'第 3 天'!L54,0),IF(OR('第 3 天'!N$5="停車費",'第 3 天'!N$5="其他"),'第 3 天'!N54,0),IF(OR('第 3 天'!P$5="停車費",'第 3 天'!P$5="其他"),'第 3 天'!P54,0))</f>
        <v>0</v>
      </c>
      <c r="G64" s="14" t="n">
        <f aca="false">SUM(C64:F64)</f>
        <v>0</v>
      </c>
      <c r="H64" s="14" t="n">
        <f aca="false">IF(LEN(TRIM(成員名單!$B7))=0,0,SUM(IF('第 3 天'!D$7=$B64,'第 3 天'!D46,0),IF('第 3 天'!F$7=$B64,'第 3 天'!F46,0),IF('第 3 天'!H$7=$B64,'第 3 天'!H46,0),IF('第 3 天'!J$7=$B64,'第 3 天'!J46,0),IF('第 3 天'!L$7=$B64,'第 3 天'!L46,0),IF('第 3 天'!N$7=$B64,'第 3 天'!N46,0),IF('第 3 天'!P$7=$B64,'第 3 天'!P46,0)))</f>
        <v>0</v>
      </c>
    </row>
    <row r="65" customFormat="false" ht="15" hidden="false" customHeight="false" outlineLevel="0" collapsed="false">
      <c r="A65" s="13" t="s">
        <v>98</v>
      </c>
      <c r="B65" s="13" t="s">
        <v>21</v>
      </c>
      <c r="C65" s="14" t="n">
        <f aca="false">SUM(IF(OR('第 3 天'!D$5="早餐",'第 3 天'!D$5="午餐",'第 3 天'!D$5="晚餐"),'第 3 天'!D55,0),IF(OR('第 3 天'!F$5="早餐",'第 3 天'!F$5="午餐",'第 3 天'!F$5="晚餐"),'第 3 天'!F55,0),IF(OR('第 3 天'!H$5="早餐",'第 3 天'!H$5="午餐",'第 3 天'!H$5="晚餐"),'第 3 天'!H55,0),IF(OR('第 3 天'!J$5="早餐",'第 3 天'!J$5="午餐",'第 3 天'!J$5="晚餐"),'第 3 天'!J55,0),IF(OR('第 3 天'!L$5="早餐",'第 3 天'!L$5="午餐",'第 3 天'!L$5="晚餐"),'第 3 天'!L55,0),IF(OR('第 3 天'!N$5="早餐",'第 3 天'!N$5="午餐",'第 3 天'!N$5="晚餐"),'第 3 天'!N55,0),IF(OR('第 3 天'!P$5="早餐",'第 3 天'!P$5="午餐",'第 3 天'!P$5="晚餐"),'第 3 天'!P55,0))</f>
        <v>0</v>
      </c>
      <c r="D65" s="14" t="n">
        <f aca="false">SUM(IF(OR('第 3 天'!D$5="油錢"),'第 3 天'!D55,0),IF(OR('第 3 天'!F$5="油錢"),'第 3 天'!F55,0),IF(OR('第 3 天'!H$5="油錢"),'第 3 天'!H55,0),IF(OR('第 3 天'!J$5="油錢"),'第 3 天'!J55,0),IF(OR('第 3 天'!L$5="油錢"),'第 3 天'!L55,0),IF(OR('第 3 天'!N$5="油錢"),'第 3 天'!N55,0),IF(OR('第 3 天'!P$5="油錢"),'第 3 天'!P55,0))</f>
        <v>0</v>
      </c>
      <c r="E65" s="14" t="n">
        <f aca="false">SUM(IF(OR('第 3 天'!D$5="租車費"),'第 3 天'!D55,0),IF(OR('第 3 天'!F$5="租車費"),'第 3 天'!F55,0),IF(OR('第 3 天'!H$5="租車費"),'第 3 天'!H55,0),IF(OR('第 3 天'!J$5="租車費"),'第 3 天'!J55,0),IF(OR('第 3 天'!L$5="租車費"),'第 3 天'!L55,0),IF(OR('第 3 天'!N$5="租車費"),'第 3 天'!N55,0),IF(OR('第 3 天'!P$5="租車費"),'第 3 天'!P55,0))</f>
        <v>0</v>
      </c>
      <c r="F65" s="14" t="n">
        <f aca="false">SUM(IF(OR('第 3 天'!D$5="停車費",'第 3 天'!D$5="其他"),'第 3 天'!D55,0),IF(OR('第 3 天'!F$5="停車費",'第 3 天'!F$5="其他"),'第 3 天'!F55,0),IF(OR('第 3 天'!H$5="停車費",'第 3 天'!H$5="其他"),'第 3 天'!H55,0),IF(OR('第 3 天'!J$5="停車費",'第 3 天'!J$5="其他"),'第 3 天'!J55,0),IF(OR('第 3 天'!L$5="停車費",'第 3 天'!L$5="其他"),'第 3 天'!L55,0),IF(OR('第 3 天'!N$5="停車費",'第 3 天'!N$5="其他"),'第 3 天'!N55,0),IF(OR('第 3 天'!P$5="停車費",'第 3 天'!P$5="其他"),'第 3 天'!P55,0))</f>
        <v>0</v>
      </c>
      <c r="G65" s="14" t="n">
        <f aca="false">SUM(C65:F65)</f>
        <v>0</v>
      </c>
      <c r="H65" s="14" t="n">
        <f aca="false">IF(LEN(TRIM(成員名單!$B8))=0,0,SUM(IF('第 3 天'!D$7=$B65,'第 3 天'!D46,0),IF('第 3 天'!F$7=$B65,'第 3 天'!F46,0),IF('第 3 天'!H$7=$B65,'第 3 天'!H46,0),IF('第 3 天'!J$7=$B65,'第 3 天'!J46,0),IF('第 3 天'!L$7=$B65,'第 3 天'!L46,0),IF('第 3 天'!N$7=$B65,'第 3 天'!N46,0),IF('第 3 天'!P$7=$B65,'第 3 天'!P46,0)))</f>
        <v>0</v>
      </c>
    </row>
    <row r="66" customFormat="false" ht="15" hidden="false" customHeight="false" outlineLevel="0" collapsed="false">
      <c r="A66" s="13" t="s">
        <v>98</v>
      </c>
      <c r="B66" s="13" t="s">
        <v>22</v>
      </c>
      <c r="C66" s="14" t="n">
        <f aca="false">SUM(IF(OR('第 3 天'!D$5="早餐",'第 3 天'!D$5="午餐",'第 3 天'!D$5="晚餐"),'第 3 天'!D56,0),IF(OR('第 3 天'!F$5="早餐",'第 3 天'!F$5="午餐",'第 3 天'!F$5="晚餐"),'第 3 天'!F56,0),IF(OR('第 3 天'!H$5="早餐",'第 3 天'!H$5="午餐",'第 3 天'!H$5="晚餐"),'第 3 天'!H56,0),IF(OR('第 3 天'!J$5="早餐",'第 3 天'!J$5="午餐",'第 3 天'!J$5="晚餐"),'第 3 天'!J56,0),IF(OR('第 3 天'!L$5="早餐",'第 3 天'!L$5="午餐",'第 3 天'!L$5="晚餐"),'第 3 天'!L56,0),IF(OR('第 3 天'!N$5="早餐",'第 3 天'!N$5="午餐",'第 3 天'!N$5="晚餐"),'第 3 天'!N56,0),IF(OR('第 3 天'!P$5="早餐",'第 3 天'!P$5="午餐",'第 3 天'!P$5="晚餐"),'第 3 天'!P56,0))</f>
        <v>0</v>
      </c>
      <c r="D66" s="14" t="n">
        <f aca="false">SUM(IF(OR('第 3 天'!D$5="油錢"),'第 3 天'!D56,0),IF(OR('第 3 天'!F$5="油錢"),'第 3 天'!F56,0),IF(OR('第 3 天'!H$5="油錢"),'第 3 天'!H56,0),IF(OR('第 3 天'!J$5="油錢"),'第 3 天'!J56,0),IF(OR('第 3 天'!L$5="油錢"),'第 3 天'!L56,0),IF(OR('第 3 天'!N$5="油錢"),'第 3 天'!N56,0),IF(OR('第 3 天'!P$5="油錢"),'第 3 天'!P56,0))</f>
        <v>0</v>
      </c>
      <c r="E66" s="14" t="n">
        <f aca="false">SUM(IF(OR('第 3 天'!D$5="租車費"),'第 3 天'!D56,0),IF(OR('第 3 天'!F$5="租車費"),'第 3 天'!F56,0),IF(OR('第 3 天'!H$5="租車費"),'第 3 天'!H56,0),IF(OR('第 3 天'!J$5="租車費"),'第 3 天'!J56,0),IF(OR('第 3 天'!L$5="租車費"),'第 3 天'!L56,0),IF(OR('第 3 天'!N$5="租車費"),'第 3 天'!N56,0),IF(OR('第 3 天'!P$5="租車費"),'第 3 天'!P56,0))</f>
        <v>0</v>
      </c>
      <c r="F66" s="14" t="n">
        <f aca="false">SUM(IF(OR('第 3 天'!D$5="停車費",'第 3 天'!D$5="其他"),'第 3 天'!D56,0),IF(OR('第 3 天'!F$5="停車費",'第 3 天'!F$5="其他"),'第 3 天'!F56,0),IF(OR('第 3 天'!H$5="停車費",'第 3 天'!H$5="其他"),'第 3 天'!H56,0),IF(OR('第 3 天'!J$5="停車費",'第 3 天'!J$5="其他"),'第 3 天'!J56,0),IF(OR('第 3 天'!L$5="停車費",'第 3 天'!L$5="其他"),'第 3 天'!L56,0),IF(OR('第 3 天'!N$5="停車費",'第 3 天'!N$5="其他"),'第 3 天'!N56,0),IF(OR('第 3 天'!P$5="停車費",'第 3 天'!P$5="其他"),'第 3 天'!P56,0))</f>
        <v>0</v>
      </c>
      <c r="G66" s="14" t="n">
        <f aca="false">SUM(C66:F66)</f>
        <v>0</v>
      </c>
      <c r="H66" s="14" t="n">
        <f aca="false">IF(LEN(TRIM(成員名單!$B9))=0,0,SUM(IF('第 3 天'!D$7=$B66,'第 3 天'!D46,0),IF('第 3 天'!F$7=$B66,'第 3 天'!F46,0),IF('第 3 天'!H$7=$B66,'第 3 天'!H46,0),IF('第 3 天'!J$7=$B66,'第 3 天'!J46,0),IF('第 3 天'!L$7=$B66,'第 3 天'!L46,0),IF('第 3 天'!N$7=$B66,'第 3 天'!N46,0),IF('第 3 天'!P$7=$B66,'第 3 天'!P46,0)))</f>
        <v>0</v>
      </c>
    </row>
    <row r="67" customFormat="false" ht="15" hidden="false" customHeight="false" outlineLevel="0" collapsed="false">
      <c r="A67" s="13" t="s">
        <v>98</v>
      </c>
      <c r="B67" s="13" t="s">
        <v>23</v>
      </c>
      <c r="C67" s="14" t="n">
        <f aca="false">SUM(IF(OR('第 3 天'!D$5="早餐",'第 3 天'!D$5="午餐",'第 3 天'!D$5="晚餐"),'第 3 天'!D57,0),IF(OR('第 3 天'!F$5="早餐",'第 3 天'!F$5="午餐",'第 3 天'!F$5="晚餐"),'第 3 天'!F57,0),IF(OR('第 3 天'!H$5="早餐",'第 3 天'!H$5="午餐",'第 3 天'!H$5="晚餐"),'第 3 天'!H57,0),IF(OR('第 3 天'!J$5="早餐",'第 3 天'!J$5="午餐",'第 3 天'!J$5="晚餐"),'第 3 天'!J57,0),IF(OR('第 3 天'!L$5="早餐",'第 3 天'!L$5="午餐",'第 3 天'!L$5="晚餐"),'第 3 天'!L57,0),IF(OR('第 3 天'!N$5="早餐",'第 3 天'!N$5="午餐",'第 3 天'!N$5="晚餐"),'第 3 天'!N57,0),IF(OR('第 3 天'!P$5="早餐",'第 3 天'!P$5="午餐",'第 3 天'!P$5="晚餐"),'第 3 天'!P57,0))</f>
        <v>0</v>
      </c>
      <c r="D67" s="14" t="n">
        <f aca="false">SUM(IF(OR('第 3 天'!D$5="油錢"),'第 3 天'!D57,0),IF(OR('第 3 天'!F$5="油錢"),'第 3 天'!F57,0),IF(OR('第 3 天'!H$5="油錢"),'第 3 天'!H57,0),IF(OR('第 3 天'!J$5="油錢"),'第 3 天'!J57,0),IF(OR('第 3 天'!L$5="油錢"),'第 3 天'!L57,0),IF(OR('第 3 天'!N$5="油錢"),'第 3 天'!N57,0),IF(OR('第 3 天'!P$5="油錢"),'第 3 天'!P57,0))</f>
        <v>0</v>
      </c>
      <c r="E67" s="14" t="n">
        <f aca="false">SUM(IF(OR('第 3 天'!D$5="租車費"),'第 3 天'!D57,0),IF(OR('第 3 天'!F$5="租車費"),'第 3 天'!F57,0),IF(OR('第 3 天'!H$5="租車費"),'第 3 天'!H57,0),IF(OR('第 3 天'!J$5="租車費"),'第 3 天'!J57,0),IF(OR('第 3 天'!L$5="租車費"),'第 3 天'!L57,0),IF(OR('第 3 天'!N$5="租車費"),'第 3 天'!N57,0),IF(OR('第 3 天'!P$5="租車費"),'第 3 天'!P57,0))</f>
        <v>0</v>
      </c>
      <c r="F67" s="14" t="n">
        <f aca="false">SUM(IF(OR('第 3 天'!D$5="停車費",'第 3 天'!D$5="其他"),'第 3 天'!D57,0),IF(OR('第 3 天'!F$5="停車費",'第 3 天'!F$5="其他"),'第 3 天'!F57,0),IF(OR('第 3 天'!H$5="停車費",'第 3 天'!H$5="其他"),'第 3 天'!H57,0),IF(OR('第 3 天'!J$5="停車費",'第 3 天'!J$5="其他"),'第 3 天'!J57,0),IF(OR('第 3 天'!L$5="停車費",'第 3 天'!L$5="其他"),'第 3 天'!L57,0),IF(OR('第 3 天'!N$5="停車費",'第 3 天'!N$5="其他"),'第 3 天'!N57,0),IF(OR('第 3 天'!P$5="停車費",'第 3 天'!P$5="其他"),'第 3 天'!P57,0))</f>
        <v>0</v>
      </c>
      <c r="G67" s="14" t="n">
        <f aca="false">SUM(C67:F67)</f>
        <v>0</v>
      </c>
      <c r="H67" s="14" t="n">
        <f aca="false">IF(LEN(TRIM(成員名單!$B10))=0,0,SUM(IF('第 3 天'!D$7=$B67,'第 3 天'!D46,0),IF('第 3 天'!F$7=$B67,'第 3 天'!F46,0),IF('第 3 天'!H$7=$B67,'第 3 天'!H46,0),IF('第 3 天'!J$7=$B67,'第 3 天'!J46,0),IF('第 3 天'!L$7=$B67,'第 3 天'!L46,0),IF('第 3 天'!N$7=$B67,'第 3 天'!N46,0),IF('第 3 天'!P$7=$B67,'第 3 天'!P46,0)))</f>
        <v>0</v>
      </c>
    </row>
    <row r="68" customFormat="false" ht="15" hidden="false" customHeight="false" outlineLevel="0" collapsed="false">
      <c r="A68" s="13" t="s">
        <v>98</v>
      </c>
      <c r="B68" s="13" t="s">
        <v>24</v>
      </c>
      <c r="C68" s="14" t="n">
        <f aca="false">SUM(IF(OR('第 3 天'!D$5="早餐",'第 3 天'!D$5="午餐",'第 3 天'!D$5="晚餐"),'第 3 天'!D58,0),IF(OR('第 3 天'!F$5="早餐",'第 3 天'!F$5="午餐",'第 3 天'!F$5="晚餐"),'第 3 天'!F58,0),IF(OR('第 3 天'!H$5="早餐",'第 3 天'!H$5="午餐",'第 3 天'!H$5="晚餐"),'第 3 天'!H58,0),IF(OR('第 3 天'!J$5="早餐",'第 3 天'!J$5="午餐",'第 3 天'!J$5="晚餐"),'第 3 天'!J58,0),IF(OR('第 3 天'!L$5="早餐",'第 3 天'!L$5="午餐",'第 3 天'!L$5="晚餐"),'第 3 天'!L58,0),IF(OR('第 3 天'!N$5="早餐",'第 3 天'!N$5="午餐",'第 3 天'!N$5="晚餐"),'第 3 天'!N58,0),IF(OR('第 3 天'!P$5="早餐",'第 3 天'!P$5="午餐",'第 3 天'!P$5="晚餐"),'第 3 天'!P58,0))</f>
        <v>0</v>
      </c>
      <c r="D68" s="14" t="n">
        <f aca="false">SUM(IF(OR('第 3 天'!D$5="油錢"),'第 3 天'!D58,0),IF(OR('第 3 天'!F$5="油錢"),'第 3 天'!F58,0),IF(OR('第 3 天'!H$5="油錢"),'第 3 天'!H58,0),IF(OR('第 3 天'!J$5="油錢"),'第 3 天'!J58,0),IF(OR('第 3 天'!L$5="油錢"),'第 3 天'!L58,0),IF(OR('第 3 天'!N$5="油錢"),'第 3 天'!N58,0),IF(OR('第 3 天'!P$5="油錢"),'第 3 天'!P58,0))</f>
        <v>0</v>
      </c>
      <c r="E68" s="14" t="n">
        <f aca="false">SUM(IF(OR('第 3 天'!D$5="租車費"),'第 3 天'!D58,0),IF(OR('第 3 天'!F$5="租車費"),'第 3 天'!F58,0),IF(OR('第 3 天'!H$5="租車費"),'第 3 天'!H58,0),IF(OR('第 3 天'!J$5="租車費"),'第 3 天'!J58,0),IF(OR('第 3 天'!L$5="租車費"),'第 3 天'!L58,0),IF(OR('第 3 天'!N$5="租車費"),'第 3 天'!N58,0),IF(OR('第 3 天'!P$5="租車費"),'第 3 天'!P58,0))</f>
        <v>0</v>
      </c>
      <c r="F68" s="14" t="n">
        <f aca="false">SUM(IF(OR('第 3 天'!D$5="停車費",'第 3 天'!D$5="其他"),'第 3 天'!D58,0),IF(OR('第 3 天'!F$5="停車費",'第 3 天'!F$5="其他"),'第 3 天'!F58,0),IF(OR('第 3 天'!H$5="停車費",'第 3 天'!H$5="其他"),'第 3 天'!H58,0),IF(OR('第 3 天'!J$5="停車費",'第 3 天'!J$5="其他"),'第 3 天'!J58,0),IF(OR('第 3 天'!L$5="停車費",'第 3 天'!L$5="其他"),'第 3 天'!L58,0),IF(OR('第 3 天'!N$5="停車費",'第 3 天'!N$5="其他"),'第 3 天'!N58,0),IF(OR('第 3 天'!P$5="停車費",'第 3 天'!P$5="其他"),'第 3 天'!P58,0))</f>
        <v>0</v>
      </c>
      <c r="G68" s="14" t="n">
        <f aca="false">SUM(C68:F68)</f>
        <v>0</v>
      </c>
      <c r="H68" s="14" t="n">
        <f aca="false">IF(LEN(TRIM(成員名單!$B11))=0,0,SUM(IF('第 3 天'!D$7=$B68,'第 3 天'!D46,0),IF('第 3 天'!F$7=$B68,'第 3 天'!F46,0),IF('第 3 天'!H$7=$B68,'第 3 天'!H46,0),IF('第 3 天'!J$7=$B68,'第 3 天'!J46,0),IF('第 3 天'!L$7=$B68,'第 3 天'!L46,0),IF('第 3 天'!N$7=$B68,'第 3 天'!N46,0),IF('第 3 天'!P$7=$B68,'第 3 天'!P46,0)))</f>
        <v>0</v>
      </c>
    </row>
    <row r="69" customFormat="false" ht="15" hidden="false" customHeight="false" outlineLevel="0" collapsed="false">
      <c r="A69" s="13" t="s">
        <v>98</v>
      </c>
      <c r="B69" s="13" t="s">
        <v>25</v>
      </c>
      <c r="C69" s="14" t="n">
        <f aca="false">SUM(IF(OR('第 3 天'!D$5="早餐",'第 3 天'!D$5="午餐",'第 3 天'!D$5="晚餐"),'第 3 天'!D59,0),IF(OR('第 3 天'!F$5="早餐",'第 3 天'!F$5="午餐",'第 3 天'!F$5="晚餐"),'第 3 天'!F59,0),IF(OR('第 3 天'!H$5="早餐",'第 3 天'!H$5="午餐",'第 3 天'!H$5="晚餐"),'第 3 天'!H59,0),IF(OR('第 3 天'!J$5="早餐",'第 3 天'!J$5="午餐",'第 3 天'!J$5="晚餐"),'第 3 天'!J59,0),IF(OR('第 3 天'!L$5="早餐",'第 3 天'!L$5="午餐",'第 3 天'!L$5="晚餐"),'第 3 天'!L59,0),IF(OR('第 3 天'!N$5="早餐",'第 3 天'!N$5="午餐",'第 3 天'!N$5="晚餐"),'第 3 天'!N59,0),IF(OR('第 3 天'!P$5="早餐",'第 3 天'!P$5="午餐",'第 3 天'!P$5="晚餐"),'第 3 天'!P59,0))</f>
        <v>0</v>
      </c>
      <c r="D69" s="14" t="n">
        <f aca="false">SUM(IF(OR('第 3 天'!D$5="油錢"),'第 3 天'!D59,0),IF(OR('第 3 天'!F$5="油錢"),'第 3 天'!F59,0),IF(OR('第 3 天'!H$5="油錢"),'第 3 天'!H59,0),IF(OR('第 3 天'!J$5="油錢"),'第 3 天'!J59,0),IF(OR('第 3 天'!L$5="油錢"),'第 3 天'!L59,0),IF(OR('第 3 天'!N$5="油錢"),'第 3 天'!N59,0),IF(OR('第 3 天'!P$5="油錢"),'第 3 天'!P59,0))</f>
        <v>0</v>
      </c>
      <c r="E69" s="14" t="n">
        <f aca="false">SUM(IF(OR('第 3 天'!D$5="租車費"),'第 3 天'!D59,0),IF(OR('第 3 天'!F$5="租車費"),'第 3 天'!F59,0),IF(OR('第 3 天'!H$5="租車費"),'第 3 天'!H59,0),IF(OR('第 3 天'!J$5="租車費"),'第 3 天'!J59,0),IF(OR('第 3 天'!L$5="租車費"),'第 3 天'!L59,0),IF(OR('第 3 天'!N$5="租車費"),'第 3 天'!N59,0),IF(OR('第 3 天'!P$5="租車費"),'第 3 天'!P59,0))</f>
        <v>0</v>
      </c>
      <c r="F69" s="14" t="n">
        <f aca="false">SUM(IF(OR('第 3 天'!D$5="停車費",'第 3 天'!D$5="其他"),'第 3 天'!D59,0),IF(OR('第 3 天'!F$5="停車費",'第 3 天'!F$5="其他"),'第 3 天'!F59,0),IF(OR('第 3 天'!H$5="停車費",'第 3 天'!H$5="其他"),'第 3 天'!H59,0),IF(OR('第 3 天'!J$5="停車費",'第 3 天'!J$5="其他"),'第 3 天'!J59,0),IF(OR('第 3 天'!L$5="停車費",'第 3 天'!L$5="其他"),'第 3 天'!L59,0),IF(OR('第 3 天'!N$5="停車費",'第 3 天'!N$5="其他"),'第 3 天'!N59,0),IF(OR('第 3 天'!P$5="停車費",'第 3 天'!P$5="其他"),'第 3 天'!P59,0))</f>
        <v>0</v>
      </c>
      <c r="G69" s="14" t="n">
        <f aca="false">SUM(C69:F69)</f>
        <v>0</v>
      </c>
      <c r="H69" s="14" t="n">
        <f aca="false">IF(LEN(TRIM(成員名單!$B12))=0,0,SUM(IF('第 3 天'!D$7=$B69,'第 3 天'!D46,0),IF('第 3 天'!F$7=$B69,'第 3 天'!F46,0),IF('第 3 天'!H$7=$B69,'第 3 天'!H46,0),IF('第 3 天'!J$7=$B69,'第 3 天'!J46,0),IF('第 3 天'!L$7=$B69,'第 3 天'!L46,0),IF('第 3 天'!N$7=$B69,'第 3 天'!N46,0),IF('第 3 天'!P$7=$B69,'第 3 天'!P46,0)))</f>
        <v>0</v>
      </c>
    </row>
    <row r="70" customFormat="false" ht="15" hidden="false" customHeight="false" outlineLevel="0" collapsed="false">
      <c r="A70" s="13" t="s">
        <v>98</v>
      </c>
      <c r="B70" s="13" t="s">
        <v>26</v>
      </c>
      <c r="C70" s="14" t="n">
        <f aca="false">SUM(IF(OR('第 3 天'!D$5="早餐",'第 3 天'!D$5="午餐",'第 3 天'!D$5="晚餐"),'第 3 天'!D60,0),IF(OR('第 3 天'!F$5="早餐",'第 3 天'!F$5="午餐",'第 3 天'!F$5="晚餐"),'第 3 天'!F60,0),IF(OR('第 3 天'!H$5="早餐",'第 3 天'!H$5="午餐",'第 3 天'!H$5="晚餐"),'第 3 天'!H60,0),IF(OR('第 3 天'!J$5="早餐",'第 3 天'!J$5="午餐",'第 3 天'!J$5="晚餐"),'第 3 天'!J60,0),IF(OR('第 3 天'!L$5="早餐",'第 3 天'!L$5="午餐",'第 3 天'!L$5="晚餐"),'第 3 天'!L60,0),IF(OR('第 3 天'!N$5="早餐",'第 3 天'!N$5="午餐",'第 3 天'!N$5="晚餐"),'第 3 天'!N60,0),IF(OR('第 3 天'!P$5="早餐",'第 3 天'!P$5="午餐",'第 3 天'!P$5="晚餐"),'第 3 天'!P60,0))</f>
        <v>0</v>
      </c>
      <c r="D70" s="14" t="n">
        <f aca="false">SUM(IF(OR('第 3 天'!D$5="油錢"),'第 3 天'!D60,0),IF(OR('第 3 天'!F$5="油錢"),'第 3 天'!F60,0),IF(OR('第 3 天'!H$5="油錢"),'第 3 天'!H60,0),IF(OR('第 3 天'!J$5="油錢"),'第 3 天'!J60,0),IF(OR('第 3 天'!L$5="油錢"),'第 3 天'!L60,0),IF(OR('第 3 天'!N$5="油錢"),'第 3 天'!N60,0),IF(OR('第 3 天'!P$5="油錢"),'第 3 天'!P60,0))</f>
        <v>0</v>
      </c>
      <c r="E70" s="14" t="n">
        <f aca="false">SUM(IF(OR('第 3 天'!D$5="租車費"),'第 3 天'!D60,0),IF(OR('第 3 天'!F$5="租車費"),'第 3 天'!F60,0),IF(OR('第 3 天'!H$5="租車費"),'第 3 天'!H60,0),IF(OR('第 3 天'!J$5="租車費"),'第 3 天'!J60,0),IF(OR('第 3 天'!L$5="租車費"),'第 3 天'!L60,0),IF(OR('第 3 天'!N$5="租車費"),'第 3 天'!N60,0),IF(OR('第 3 天'!P$5="租車費"),'第 3 天'!P60,0))</f>
        <v>0</v>
      </c>
      <c r="F70" s="14" t="n">
        <f aca="false">SUM(IF(OR('第 3 天'!D$5="停車費",'第 3 天'!D$5="其他"),'第 3 天'!D60,0),IF(OR('第 3 天'!F$5="停車費",'第 3 天'!F$5="其他"),'第 3 天'!F60,0),IF(OR('第 3 天'!H$5="停車費",'第 3 天'!H$5="其他"),'第 3 天'!H60,0),IF(OR('第 3 天'!J$5="停車費",'第 3 天'!J$5="其他"),'第 3 天'!J60,0),IF(OR('第 3 天'!L$5="停車費",'第 3 天'!L$5="其他"),'第 3 天'!L60,0),IF(OR('第 3 天'!N$5="停車費",'第 3 天'!N$5="其他"),'第 3 天'!N60,0),IF(OR('第 3 天'!P$5="停車費",'第 3 天'!P$5="其他"),'第 3 天'!P60,0))</f>
        <v>0</v>
      </c>
      <c r="G70" s="14" t="n">
        <f aca="false">SUM(C70:F70)</f>
        <v>0</v>
      </c>
      <c r="H70" s="14" t="n">
        <f aca="false">IF(LEN(TRIM(成員名單!$B13))=0,0,SUM(IF('第 3 天'!D$7=$B70,'第 3 天'!D46,0),IF('第 3 天'!F$7=$B70,'第 3 天'!F46,0),IF('第 3 天'!H$7=$B70,'第 3 天'!H46,0),IF('第 3 天'!J$7=$B70,'第 3 天'!J46,0),IF('第 3 天'!L$7=$B70,'第 3 天'!L46,0),IF('第 3 天'!N$7=$B70,'第 3 天'!N46,0),IF('第 3 天'!P$7=$B70,'第 3 天'!P46,0)))</f>
        <v>0</v>
      </c>
    </row>
    <row r="71" customFormat="false" ht="15" hidden="false" customHeight="false" outlineLevel="0" collapsed="false">
      <c r="A71" s="13" t="s">
        <v>98</v>
      </c>
      <c r="B71" s="13" t="s">
        <v>27</v>
      </c>
      <c r="C71" s="14" t="n">
        <f aca="false">SUM(IF(OR('第 3 天'!D$5="早餐",'第 3 天'!D$5="午餐",'第 3 天'!D$5="晚餐"),'第 3 天'!D61,0),IF(OR('第 3 天'!F$5="早餐",'第 3 天'!F$5="午餐",'第 3 天'!F$5="晚餐"),'第 3 天'!F61,0),IF(OR('第 3 天'!H$5="早餐",'第 3 天'!H$5="午餐",'第 3 天'!H$5="晚餐"),'第 3 天'!H61,0),IF(OR('第 3 天'!J$5="早餐",'第 3 天'!J$5="午餐",'第 3 天'!J$5="晚餐"),'第 3 天'!J61,0),IF(OR('第 3 天'!L$5="早餐",'第 3 天'!L$5="午餐",'第 3 天'!L$5="晚餐"),'第 3 天'!L61,0),IF(OR('第 3 天'!N$5="早餐",'第 3 天'!N$5="午餐",'第 3 天'!N$5="晚餐"),'第 3 天'!N61,0),IF(OR('第 3 天'!P$5="早餐",'第 3 天'!P$5="午餐",'第 3 天'!P$5="晚餐"),'第 3 天'!P61,0))</f>
        <v>0</v>
      </c>
      <c r="D71" s="14" t="n">
        <f aca="false">SUM(IF(OR('第 3 天'!D$5="油錢"),'第 3 天'!D61,0),IF(OR('第 3 天'!F$5="油錢"),'第 3 天'!F61,0),IF(OR('第 3 天'!H$5="油錢"),'第 3 天'!H61,0),IF(OR('第 3 天'!J$5="油錢"),'第 3 天'!J61,0),IF(OR('第 3 天'!L$5="油錢"),'第 3 天'!L61,0),IF(OR('第 3 天'!N$5="油錢"),'第 3 天'!N61,0),IF(OR('第 3 天'!P$5="油錢"),'第 3 天'!P61,0))</f>
        <v>0</v>
      </c>
      <c r="E71" s="14" t="n">
        <f aca="false">SUM(IF(OR('第 3 天'!D$5="租車費"),'第 3 天'!D61,0),IF(OR('第 3 天'!F$5="租車費"),'第 3 天'!F61,0),IF(OR('第 3 天'!H$5="租車費"),'第 3 天'!H61,0),IF(OR('第 3 天'!J$5="租車費"),'第 3 天'!J61,0),IF(OR('第 3 天'!L$5="租車費"),'第 3 天'!L61,0),IF(OR('第 3 天'!N$5="租車費"),'第 3 天'!N61,0),IF(OR('第 3 天'!P$5="租車費"),'第 3 天'!P61,0))</f>
        <v>0</v>
      </c>
      <c r="F71" s="14" t="n">
        <f aca="false">SUM(IF(OR('第 3 天'!D$5="停車費",'第 3 天'!D$5="其他"),'第 3 天'!D61,0),IF(OR('第 3 天'!F$5="停車費",'第 3 天'!F$5="其他"),'第 3 天'!F61,0),IF(OR('第 3 天'!H$5="停車費",'第 3 天'!H$5="其他"),'第 3 天'!H61,0),IF(OR('第 3 天'!J$5="停車費",'第 3 天'!J$5="其他"),'第 3 天'!J61,0),IF(OR('第 3 天'!L$5="停車費",'第 3 天'!L$5="其他"),'第 3 天'!L61,0),IF(OR('第 3 天'!N$5="停車費",'第 3 天'!N$5="其他"),'第 3 天'!N61,0),IF(OR('第 3 天'!P$5="停車費",'第 3 天'!P$5="其他"),'第 3 天'!P61,0))</f>
        <v>0</v>
      </c>
      <c r="G71" s="14" t="n">
        <f aca="false">SUM(C71:F71)</f>
        <v>0</v>
      </c>
      <c r="H71" s="14" t="n">
        <f aca="false">IF(LEN(TRIM(成員名單!$B14))=0,0,SUM(IF('第 3 天'!D$7=$B71,'第 3 天'!D46,0),IF('第 3 天'!F$7=$B71,'第 3 天'!F46,0),IF('第 3 天'!H$7=$B71,'第 3 天'!H46,0),IF('第 3 天'!J$7=$B71,'第 3 天'!J46,0),IF('第 3 天'!L$7=$B71,'第 3 天'!L46,0),IF('第 3 天'!N$7=$B71,'第 3 天'!N46,0),IF('第 3 天'!P$7=$B71,'第 3 天'!P46,0)))</f>
        <v>0</v>
      </c>
    </row>
    <row r="72" customFormat="false" ht="15" hidden="false" customHeight="false" outlineLevel="0" collapsed="false">
      <c r="A72" s="13" t="s">
        <v>98</v>
      </c>
      <c r="B72" s="13" t="s">
        <v>28</v>
      </c>
      <c r="C72" s="14" t="n">
        <f aca="false">SUM(IF(OR('第 3 天'!D$5="早餐",'第 3 天'!D$5="午餐",'第 3 天'!D$5="晚餐"),'第 3 天'!D62,0),IF(OR('第 3 天'!F$5="早餐",'第 3 天'!F$5="午餐",'第 3 天'!F$5="晚餐"),'第 3 天'!F62,0),IF(OR('第 3 天'!H$5="早餐",'第 3 天'!H$5="午餐",'第 3 天'!H$5="晚餐"),'第 3 天'!H62,0),IF(OR('第 3 天'!J$5="早餐",'第 3 天'!J$5="午餐",'第 3 天'!J$5="晚餐"),'第 3 天'!J62,0),IF(OR('第 3 天'!L$5="早餐",'第 3 天'!L$5="午餐",'第 3 天'!L$5="晚餐"),'第 3 天'!L62,0),IF(OR('第 3 天'!N$5="早餐",'第 3 天'!N$5="午餐",'第 3 天'!N$5="晚餐"),'第 3 天'!N62,0),IF(OR('第 3 天'!P$5="早餐",'第 3 天'!P$5="午餐",'第 3 天'!P$5="晚餐"),'第 3 天'!P62,0))</f>
        <v>0</v>
      </c>
      <c r="D72" s="14" t="n">
        <f aca="false">SUM(IF(OR('第 3 天'!D$5="油錢"),'第 3 天'!D62,0),IF(OR('第 3 天'!F$5="油錢"),'第 3 天'!F62,0),IF(OR('第 3 天'!H$5="油錢"),'第 3 天'!H62,0),IF(OR('第 3 天'!J$5="油錢"),'第 3 天'!J62,0),IF(OR('第 3 天'!L$5="油錢"),'第 3 天'!L62,0),IF(OR('第 3 天'!N$5="油錢"),'第 3 天'!N62,0),IF(OR('第 3 天'!P$5="油錢"),'第 3 天'!P62,0))</f>
        <v>0</v>
      </c>
      <c r="E72" s="14" t="n">
        <f aca="false">SUM(IF(OR('第 3 天'!D$5="租車費"),'第 3 天'!D62,0),IF(OR('第 3 天'!F$5="租車費"),'第 3 天'!F62,0),IF(OR('第 3 天'!H$5="租車費"),'第 3 天'!H62,0),IF(OR('第 3 天'!J$5="租車費"),'第 3 天'!J62,0),IF(OR('第 3 天'!L$5="租車費"),'第 3 天'!L62,0),IF(OR('第 3 天'!N$5="租車費"),'第 3 天'!N62,0),IF(OR('第 3 天'!P$5="租車費"),'第 3 天'!P62,0))</f>
        <v>0</v>
      </c>
      <c r="F72" s="14" t="n">
        <f aca="false">SUM(IF(OR('第 3 天'!D$5="停車費",'第 3 天'!D$5="其他"),'第 3 天'!D62,0),IF(OR('第 3 天'!F$5="停車費",'第 3 天'!F$5="其他"),'第 3 天'!F62,0),IF(OR('第 3 天'!H$5="停車費",'第 3 天'!H$5="其他"),'第 3 天'!H62,0),IF(OR('第 3 天'!J$5="停車費",'第 3 天'!J$5="其他"),'第 3 天'!J62,0),IF(OR('第 3 天'!L$5="停車費",'第 3 天'!L$5="其他"),'第 3 天'!L62,0),IF(OR('第 3 天'!N$5="停車費",'第 3 天'!N$5="其他"),'第 3 天'!N62,0),IF(OR('第 3 天'!P$5="停車費",'第 3 天'!P$5="其他"),'第 3 天'!P62,0))</f>
        <v>0</v>
      </c>
      <c r="G72" s="14" t="n">
        <f aca="false">SUM(C72:F72)</f>
        <v>0</v>
      </c>
      <c r="H72" s="14" t="n">
        <f aca="false">IF(LEN(TRIM(成員名單!$B15))=0,0,SUM(IF('第 3 天'!D$7=$B72,'第 3 天'!D46,0),IF('第 3 天'!F$7=$B72,'第 3 天'!F46,0),IF('第 3 天'!H$7=$B72,'第 3 天'!H46,0),IF('第 3 天'!J$7=$B72,'第 3 天'!J46,0),IF('第 3 天'!L$7=$B72,'第 3 天'!L46,0),IF('第 3 天'!N$7=$B72,'第 3 天'!N46,0),IF('第 3 天'!P$7=$B72,'第 3 天'!P46,0)))</f>
        <v>0</v>
      </c>
    </row>
    <row r="73" customFormat="false" ht="15" hidden="false" customHeight="false" outlineLevel="0" collapsed="false">
      <c r="A73" s="13" t="s">
        <v>98</v>
      </c>
      <c r="B73" s="13" t="s">
        <v>29</v>
      </c>
      <c r="C73" s="14" t="n">
        <f aca="false">SUM(IF(OR('第 3 天'!D$5="早餐",'第 3 天'!D$5="午餐",'第 3 天'!D$5="晚餐"),'第 3 天'!D63,0),IF(OR('第 3 天'!F$5="早餐",'第 3 天'!F$5="午餐",'第 3 天'!F$5="晚餐"),'第 3 天'!F63,0),IF(OR('第 3 天'!H$5="早餐",'第 3 天'!H$5="午餐",'第 3 天'!H$5="晚餐"),'第 3 天'!H63,0),IF(OR('第 3 天'!J$5="早餐",'第 3 天'!J$5="午餐",'第 3 天'!J$5="晚餐"),'第 3 天'!J63,0),IF(OR('第 3 天'!L$5="早餐",'第 3 天'!L$5="午餐",'第 3 天'!L$5="晚餐"),'第 3 天'!L63,0),IF(OR('第 3 天'!N$5="早餐",'第 3 天'!N$5="午餐",'第 3 天'!N$5="晚餐"),'第 3 天'!N63,0),IF(OR('第 3 天'!P$5="早餐",'第 3 天'!P$5="午餐",'第 3 天'!P$5="晚餐"),'第 3 天'!P63,0))</f>
        <v>0</v>
      </c>
      <c r="D73" s="14" t="n">
        <f aca="false">SUM(IF(OR('第 3 天'!D$5="油錢"),'第 3 天'!D63,0),IF(OR('第 3 天'!F$5="油錢"),'第 3 天'!F63,0),IF(OR('第 3 天'!H$5="油錢"),'第 3 天'!H63,0),IF(OR('第 3 天'!J$5="油錢"),'第 3 天'!J63,0),IF(OR('第 3 天'!L$5="油錢"),'第 3 天'!L63,0),IF(OR('第 3 天'!N$5="油錢"),'第 3 天'!N63,0),IF(OR('第 3 天'!P$5="油錢"),'第 3 天'!P63,0))</f>
        <v>0</v>
      </c>
      <c r="E73" s="14" t="n">
        <f aca="false">SUM(IF(OR('第 3 天'!D$5="租車費"),'第 3 天'!D63,0),IF(OR('第 3 天'!F$5="租車費"),'第 3 天'!F63,0),IF(OR('第 3 天'!H$5="租車費"),'第 3 天'!H63,0),IF(OR('第 3 天'!J$5="租車費"),'第 3 天'!J63,0),IF(OR('第 3 天'!L$5="租車費"),'第 3 天'!L63,0),IF(OR('第 3 天'!N$5="租車費"),'第 3 天'!N63,0),IF(OR('第 3 天'!P$5="租車費"),'第 3 天'!P63,0))</f>
        <v>0</v>
      </c>
      <c r="F73" s="14" t="n">
        <f aca="false">SUM(IF(OR('第 3 天'!D$5="停車費",'第 3 天'!D$5="其他"),'第 3 天'!D63,0),IF(OR('第 3 天'!F$5="停車費",'第 3 天'!F$5="其他"),'第 3 天'!F63,0),IF(OR('第 3 天'!H$5="停車費",'第 3 天'!H$5="其他"),'第 3 天'!H63,0),IF(OR('第 3 天'!J$5="停車費",'第 3 天'!J$5="其他"),'第 3 天'!J63,0),IF(OR('第 3 天'!L$5="停車費",'第 3 天'!L$5="其他"),'第 3 天'!L63,0),IF(OR('第 3 天'!N$5="停車費",'第 3 天'!N$5="其他"),'第 3 天'!N63,0),IF(OR('第 3 天'!P$5="停車費",'第 3 天'!P$5="其他"),'第 3 天'!P63,0))</f>
        <v>0</v>
      </c>
      <c r="G73" s="14" t="n">
        <f aca="false">SUM(C73:F73)</f>
        <v>0</v>
      </c>
      <c r="H73" s="14" t="n">
        <f aca="false">IF(LEN(TRIM(成員名單!$B16))=0,0,SUM(IF('第 3 天'!D$7=$B73,'第 3 天'!D46,0),IF('第 3 天'!F$7=$B73,'第 3 天'!F46,0),IF('第 3 天'!H$7=$B73,'第 3 天'!H46,0),IF('第 3 天'!J$7=$B73,'第 3 天'!J46,0),IF('第 3 天'!L$7=$B73,'第 3 天'!L46,0),IF('第 3 天'!N$7=$B73,'第 3 天'!N46,0),IF('第 3 天'!P$7=$B73,'第 3 天'!P46,0)))</f>
        <v>0</v>
      </c>
    </row>
    <row r="74" customFormat="false" ht="15" hidden="false" customHeight="false" outlineLevel="0" collapsed="false">
      <c r="A74" s="13" t="s">
        <v>98</v>
      </c>
      <c r="B74" s="13" t="s">
        <v>30</v>
      </c>
      <c r="C74" s="14" t="n">
        <f aca="false">SUM(IF(OR('第 3 天'!D$5="早餐",'第 3 天'!D$5="午餐",'第 3 天'!D$5="晚餐"),'第 3 天'!D64,0),IF(OR('第 3 天'!F$5="早餐",'第 3 天'!F$5="午餐",'第 3 天'!F$5="晚餐"),'第 3 天'!F64,0),IF(OR('第 3 天'!H$5="早餐",'第 3 天'!H$5="午餐",'第 3 天'!H$5="晚餐"),'第 3 天'!H64,0),IF(OR('第 3 天'!J$5="早餐",'第 3 天'!J$5="午餐",'第 3 天'!J$5="晚餐"),'第 3 天'!J64,0),IF(OR('第 3 天'!L$5="早餐",'第 3 天'!L$5="午餐",'第 3 天'!L$5="晚餐"),'第 3 天'!L64,0),IF(OR('第 3 天'!N$5="早餐",'第 3 天'!N$5="午餐",'第 3 天'!N$5="晚餐"),'第 3 天'!N64,0),IF(OR('第 3 天'!P$5="早餐",'第 3 天'!P$5="午餐",'第 3 天'!P$5="晚餐"),'第 3 天'!P64,0))</f>
        <v>0</v>
      </c>
      <c r="D74" s="14" t="n">
        <f aca="false">SUM(IF(OR('第 3 天'!D$5="油錢"),'第 3 天'!D64,0),IF(OR('第 3 天'!F$5="油錢"),'第 3 天'!F64,0),IF(OR('第 3 天'!H$5="油錢"),'第 3 天'!H64,0),IF(OR('第 3 天'!J$5="油錢"),'第 3 天'!J64,0),IF(OR('第 3 天'!L$5="油錢"),'第 3 天'!L64,0),IF(OR('第 3 天'!N$5="油錢"),'第 3 天'!N64,0),IF(OR('第 3 天'!P$5="油錢"),'第 3 天'!P64,0))</f>
        <v>0</v>
      </c>
      <c r="E74" s="14" t="n">
        <f aca="false">SUM(IF(OR('第 3 天'!D$5="租車費"),'第 3 天'!D64,0),IF(OR('第 3 天'!F$5="租車費"),'第 3 天'!F64,0),IF(OR('第 3 天'!H$5="租車費"),'第 3 天'!H64,0),IF(OR('第 3 天'!J$5="租車費"),'第 3 天'!J64,0),IF(OR('第 3 天'!L$5="租車費"),'第 3 天'!L64,0),IF(OR('第 3 天'!N$5="租車費"),'第 3 天'!N64,0),IF(OR('第 3 天'!P$5="租車費"),'第 3 天'!P64,0))</f>
        <v>0</v>
      </c>
      <c r="F74" s="14" t="n">
        <f aca="false">SUM(IF(OR('第 3 天'!D$5="停車費",'第 3 天'!D$5="其他"),'第 3 天'!D64,0),IF(OR('第 3 天'!F$5="停車費",'第 3 天'!F$5="其他"),'第 3 天'!F64,0),IF(OR('第 3 天'!H$5="停車費",'第 3 天'!H$5="其他"),'第 3 天'!H64,0),IF(OR('第 3 天'!J$5="停車費",'第 3 天'!J$5="其他"),'第 3 天'!J64,0),IF(OR('第 3 天'!L$5="停車費",'第 3 天'!L$5="其他"),'第 3 天'!L64,0),IF(OR('第 3 天'!N$5="停車費",'第 3 天'!N$5="其他"),'第 3 天'!N64,0),IF(OR('第 3 天'!P$5="停車費",'第 3 天'!P$5="其他"),'第 3 天'!P64,0))</f>
        <v>0</v>
      </c>
      <c r="G74" s="14" t="n">
        <f aca="false">SUM(C74:F74)</f>
        <v>0</v>
      </c>
      <c r="H74" s="14" t="n">
        <f aca="false">IF(LEN(TRIM(成員名單!$B17))=0,0,SUM(IF('第 3 天'!D$7=$B74,'第 3 天'!D46,0),IF('第 3 天'!F$7=$B74,'第 3 天'!F46,0),IF('第 3 天'!H$7=$B74,'第 3 天'!H46,0),IF('第 3 天'!J$7=$B74,'第 3 天'!J46,0),IF('第 3 天'!L$7=$B74,'第 3 天'!L46,0),IF('第 3 天'!N$7=$B74,'第 3 天'!N46,0),IF('第 3 天'!P$7=$B74,'第 3 天'!P46,0)))</f>
        <v>0</v>
      </c>
    </row>
    <row r="75" customFormat="false" ht="15" hidden="false" customHeight="false" outlineLevel="0" collapsed="false">
      <c r="A75" s="13" t="s">
        <v>98</v>
      </c>
      <c r="B75" s="13" t="s">
        <v>31</v>
      </c>
      <c r="C75" s="14" t="n">
        <f aca="false">SUM(IF(OR('第 3 天'!D$5="早餐",'第 3 天'!D$5="午餐",'第 3 天'!D$5="晚餐"),'第 3 天'!D65,0),IF(OR('第 3 天'!F$5="早餐",'第 3 天'!F$5="午餐",'第 3 天'!F$5="晚餐"),'第 3 天'!F65,0),IF(OR('第 3 天'!H$5="早餐",'第 3 天'!H$5="午餐",'第 3 天'!H$5="晚餐"),'第 3 天'!H65,0),IF(OR('第 3 天'!J$5="早餐",'第 3 天'!J$5="午餐",'第 3 天'!J$5="晚餐"),'第 3 天'!J65,0),IF(OR('第 3 天'!L$5="早餐",'第 3 天'!L$5="午餐",'第 3 天'!L$5="晚餐"),'第 3 天'!L65,0),IF(OR('第 3 天'!N$5="早餐",'第 3 天'!N$5="午餐",'第 3 天'!N$5="晚餐"),'第 3 天'!N65,0),IF(OR('第 3 天'!P$5="早餐",'第 3 天'!P$5="午餐",'第 3 天'!P$5="晚餐"),'第 3 天'!P65,0))</f>
        <v>0</v>
      </c>
      <c r="D75" s="14" t="n">
        <f aca="false">SUM(IF(OR('第 3 天'!D$5="油錢"),'第 3 天'!D65,0),IF(OR('第 3 天'!F$5="油錢"),'第 3 天'!F65,0),IF(OR('第 3 天'!H$5="油錢"),'第 3 天'!H65,0),IF(OR('第 3 天'!J$5="油錢"),'第 3 天'!J65,0),IF(OR('第 3 天'!L$5="油錢"),'第 3 天'!L65,0),IF(OR('第 3 天'!N$5="油錢"),'第 3 天'!N65,0),IF(OR('第 3 天'!P$5="油錢"),'第 3 天'!P65,0))</f>
        <v>0</v>
      </c>
      <c r="E75" s="14" t="n">
        <f aca="false">SUM(IF(OR('第 3 天'!D$5="租車費"),'第 3 天'!D65,0),IF(OR('第 3 天'!F$5="租車費"),'第 3 天'!F65,0),IF(OR('第 3 天'!H$5="租車費"),'第 3 天'!H65,0),IF(OR('第 3 天'!J$5="租車費"),'第 3 天'!J65,0),IF(OR('第 3 天'!L$5="租車費"),'第 3 天'!L65,0),IF(OR('第 3 天'!N$5="租車費"),'第 3 天'!N65,0),IF(OR('第 3 天'!P$5="租車費"),'第 3 天'!P65,0))</f>
        <v>0</v>
      </c>
      <c r="F75" s="14" t="n">
        <f aca="false">SUM(IF(OR('第 3 天'!D$5="停車費",'第 3 天'!D$5="其他"),'第 3 天'!D65,0),IF(OR('第 3 天'!F$5="停車費",'第 3 天'!F$5="其他"),'第 3 天'!F65,0),IF(OR('第 3 天'!H$5="停車費",'第 3 天'!H$5="其他"),'第 3 天'!H65,0),IF(OR('第 3 天'!J$5="停車費",'第 3 天'!J$5="其他"),'第 3 天'!J65,0),IF(OR('第 3 天'!L$5="停車費",'第 3 天'!L$5="其他"),'第 3 天'!L65,0),IF(OR('第 3 天'!N$5="停車費",'第 3 天'!N$5="其他"),'第 3 天'!N65,0),IF(OR('第 3 天'!P$5="停車費",'第 3 天'!P$5="其他"),'第 3 天'!P65,0))</f>
        <v>0</v>
      </c>
      <c r="G75" s="14" t="n">
        <f aca="false">SUM(C75:F75)</f>
        <v>0</v>
      </c>
      <c r="H75" s="14" t="n">
        <f aca="false">IF(LEN(TRIM(成員名單!$B18))=0,0,SUM(IF('第 3 天'!D$7=$B75,'第 3 天'!D46,0),IF('第 3 天'!F$7=$B75,'第 3 天'!F46,0),IF('第 3 天'!H$7=$B75,'第 3 天'!H46,0),IF('第 3 天'!J$7=$B75,'第 3 天'!J46,0),IF('第 3 天'!L$7=$B75,'第 3 天'!L46,0),IF('第 3 天'!N$7=$B75,'第 3 天'!N46,0),IF('第 3 天'!P$7=$B75,'第 3 天'!P46,0)))</f>
        <v>0</v>
      </c>
    </row>
    <row r="76" customFormat="false" ht="15" hidden="false" customHeight="false" outlineLevel="0" collapsed="false">
      <c r="A76" s="13" t="s">
        <v>98</v>
      </c>
      <c r="B76" s="13" t="s">
        <v>32</v>
      </c>
      <c r="C76" s="14" t="n">
        <f aca="false">SUM(IF(OR('第 3 天'!D$5="早餐",'第 3 天'!D$5="午餐",'第 3 天'!D$5="晚餐"),'第 3 天'!D66,0),IF(OR('第 3 天'!F$5="早餐",'第 3 天'!F$5="午餐",'第 3 天'!F$5="晚餐"),'第 3 天'!F66,0),IF(OR('第 3 天'!H$5="早餐",'第 3 天'!H$5="午餐",'第 3 天'!H$5="晚餐"),'第 3 天'!H66,0),IF(OR('第 3 天'!J$5="早餐",'第 3 天'!J$5="午餐",'第 3 天'!J$5="晚餐"),'第 3 天'!J66,0),IF(OR('第 3 天'!L$5="早餐",'第 3 天'!L$5="午餐",'第 3 天'!L$5="晚餐"),'第 3 天'!L66,0),IF(OR('第 3 天'!N$5="早餐",'第 3 天'!N$5="午餐",'第 3 天'!N$5="晚餐"),'第 3 天'!N66,0),IF(OR('第 3 天'!P$5="早餐",'第 3 天'!P$5="午餐",'第 3 天'!P$5="晚餐"),'第 3 天'!P66,0))</f>
        <v>0</v>
      </c>
      <c r="D76" s="14" t="n">
        <f aca="false">SUM(IF(OR('第 3 天'!D$5="油錢"),'第 3 天'!D66,0),IF(OR('第 3 天'!F$5="油錢"),'第 3 天'!F66,0),IF(OR('第 3 天'!H$5="油錢"),'第 3 天'!H66,0),IF(OR('第 3 天'!J$5="油錢"),'第 3 天'!J66,0),IF(OR('第 3 天'!L$5="油錢"),'第 3 天'!L66,0),IF(OR('第 3 天'!N$5="油錢"),'第 3 天'!N66,0),IF(OR('第 3 天'!P$5="油錢"),'第 3 天'!P66,0))</f>
        <v>0</v>
      </c>
      <c r="E76" s="14" t="n">
        <f aca="false">SUM(IF(OR('第 3 天'!D$5="租車費"),'第 3 天'!D66,0),IF(OR('第 3 天'!F$5="租車費"),'第 3 天'!F66,0),IF(OR('第 3 天'!H$5="租車費"),'第 3 天'!H66,0),IF(OR('第 3 天'!J$5="租車費"),'第 3 天'!J66,0),IF(OR('第 3 天'!L$5="租車費"),'第 3 天'!L66,0),IF(OR('第 3 天'!N$5="租車費"),'第 3 天'!N66,0),IF(OR('第 3 天'!P$5="租車費"),'第 3 天'!P66,0))</f>
        <v>0</v>
      </c>
      <c r="F76" s="14" t="n">
        <f aca="false">SUM(IF(OR('第 3 天'!D$5="停車費",'第 3 天'!D$5="其他"),'第 3 天'!D66,0),IF(OR('第 3 天'!F$5="停車費",'第 3 天'!F$5="其他"),'第 3 天'!F66,0),IF(OR('第 3 天'!H$5="停車費",'第 3 天'!H$5="其他"),'第 3 天'!H66,0),IF(OR('第 3 天'!J$5="停車費",'第 3 天'!J$5="其他"),'第 3 天'!J66,0),IF(OR('第 3 天'!L$5="停車費",'第 3 天'!L$5="其他"),'第 3 天'!L66,0),IF(OR('第 3 天'!N$5="停車費",'第 3 天'!N$5="其他"),'第 3 天'!N66,0),IF(OR('第 3 天'!P$5="停車費",'第 3 天'!P$5="其他"),'第 3 天'!P66,0))</f>
        <v>0</v>
      </c>
      <c r="G76" s="14" t="n">
        <f aca="false">SUM(C76:F76)</f>
        <v>0</v>
      </c>
      <c r="H76" s="14" t="n">
        <f aca="false">IF(LEN(TRIM(成員名單!$B19))=0,0,SUM(IF('第 3 天'!D$7=$B76,'第 3 天'!D46,0),IF('第 3 天'!F$7=$B76,'第 3 天'!F46,0),IF('第 3 天'!H$7=$B76,'第 3 天'!H46,0),IF('第 3 天'!J$7=$B76,'第 3 天'!J46,0),IF('第 3 天'!L$7=$B76,'第 3 天'!L46,0),IF('第 3 天'!N$7=$B76,'第 3 天'!N46,0),IF('第 3 天'!P$7=$B76,'第 3 天'!P46,0)))</f>
        <v>0</v>
      </c>
    </row>
    <row r="77" customFormat="false" ht="15" hidden="false" customHeight="false" outlineLevel="0" collapsed="false">
      <c r="A77" s="13" t="s">
        <v>98</v>
      </c>
      <c r="B77" s="13" t="s">
        <v>33</v>
      </c>
      <c r="C77" s="14" t="n">
        <f aca="false">SUM(IF(OR('第 3 天'!D$5="早餐",'第 3 天'!D$5="午餐",'第 3 天'!D$5="晚餐"),'第 3 天'!D67,0),IF(OR('第 3 天'!F$5="早餐",'第 3 天'!F$5="午餐",'第 3 天'!F$5="晚餐"),'第 3 天'!F67,0),IF(OR('第 3 天'!H$5="早餐",'第 3 天'!H$5="午餐",'第 3 天'!H$5="晚餐"),'第 3 天'!H67,0),IF(OR('第 3 天'!J$5="早餐",'第 3 天'!J$5="午餐",'第 3 天'!J$5="晚餐"),'第 3 天'!J67,0),IF(OR('第 3 天'!L$5="早餐",'第 3 天'!L$5="午餐",'第 3 天'!L$5="晚餐"),'第 3 天'!L67,0),IF(OR('第 3 天'!N$5="早餐",'第 3 天'!N$5="午餐",'第 3 天'!N$5="晚餐"),'第 3 天'!N67,0),IF(OR('第 3 天'!P$5="早餐",'第 3 天'!P$5="午餐",'第 3 天'!P$5="晚餐"),'第 3 天'!P67,0))</f>
        <v>0</v>
      </c>
      <c r="D77" s="14" t="n">
        <f aca="false">SUM(IF(OR('第 3 天'!D$5="油錢"),'第 3 天'!D67,0),IF(OR('第 3 天'!F$5="油錢"),'第 3 天'!F67,0),IF(OR('第 3 天'!H$5="油錢"),'第 3 天'!H67,0),IF(OR('第 3 天'!J$5="油錢"),'第 3 天'!J67,0),IF(OR('第 3 天'!L$5="油錢"),'第 3 天'!L67,0),IF(OR('第 3 天'!N$5="油錢"),'第 3 天'!N67,0),IF(OR('第 3 天'!P$5="油錢"),'第 3 天'!P67,0))</f>
        <v>0</v>
      </c>
      <c r="E77" s="14" t="n">
        <f aca="false">SUM(IF(OR('第 3 天'!D$5="租車費"),'第 3 天'!D67,0),IF(OR('第 3 天'!F$5="租車費"),'第 3 天'!F67,0),IF(OR('第 3 天'!H$5="租車費"),'第 3 天'!H67,0),IF(OR('第 3 天'!J$5="租車費"),'第 3 天'!J67,0),IF(OR('第 3 天'!L$5="租車費"),'第 3 天'!L67,0),IF(OR('第 3 天'!N$5="租車費"),'第 3 天'!N67,0),IF(OR('第 3 天'!P$5="租車費"),'第 3 天'!P67,0))</f>
        <v>0</v>
      </c>
      <c r="F77" s="14" t="n">
        <f aca="false">SUM(IF(OR('第 3 天'!D$5="停車費",'第 3 天'!D$5="其他"),'第 3 天'!D67,0),IF(OR('第 3 天'!F$5="停車費",'第 3 天'!F$5="其他"),'第 3 天'!F67,0),IF(OR('第 3 天'!H$5="停車費",'第 3 天'!H$5="其他"),'第 3 天'!H67,0),IF(OR('第 3 天'!J$5="停車費",'第 3 天'!J$5="其他"),'第 3 天'!J67,0),IF(OR('第 3 天'!L$5="停車費",'第 3 天'!L$5="其他"),'第 3 天'!L67,0),IF(OR('第 3 天'!N$5="停車費",'第 3 天'!N$5="其他"),'第 3 天'!N67,0),IF(OR('第 3 天'!P$5="停車費",'第 3 天'!P$5="其他"),'第 3 天'!P67,0))</f>
        <v>0</v>
      </c>
      <c r="G77" s="14" t="n">
        <f aca="false">SUM(C77:F77)</f>
        <v>0</v>
      </c>
      <c r="H77" s="14" t="n">
        <f aca="false">IF(LEN(TRIM(成員名單!$B20))=0,0,SUM(IF('第 3 天'!D$7=$B77,'第 3 天'!D46,0),IF('第 3 天'!F$7=$B77,'第 3 天'!F46,0),IF('第 3 天'!H$7=$B77,'第 3 天'!H46,0),IF('第 3 天'!J$7=$B77,'第 3 天'!J46,0),IF('第 3 天'!L$7=$B77,'第 3 天'!L46,0),IF('第 3 天'!N$7=$B77,'第 3 天'!N46,0),IF('第 3 天'!P$7=$B77,'第 3 天'!P46,0)))</f>
        <v>0</v>
      </c>
    </row>
    <row r="78" customFormat="false" ht="15" hidden="false" customHeight="false" outlineLevel="0" collapsed="false">
      <c r="A78" s="13" t="s">
        <v>98</v>
      </c>
      <c r="B78" s="13" t="s">
        <v>34</v>
      </c>
      <c r="C78" s="14" t="n">
        <f aca="false">SUM(IF(OR('第 3 天'!D$5="早餐",'第 3 天'!D$5="午餐",'第 3 天'!D$5="晚餐"),'第 3 天'!D68,0),IF(OR('第 3 天'!F$5="早餐",'第 3 天'!F$5="午餐",'第 3 天'!F$5="晚餐"),'第 3 天'!F68,0),IF(OR('第 3 天'!H$5="早餐",'第 3 天'!H$5="午餐",'第 3 天'!H$5="晚餐"),'第 3 天'!H68,0),IF(OR('第 3 天'!J$5="早餐",'第 3 天'!J$5="午餐",'第 3 天'!J$5="晚餐"),'第 3 天'!J68,0),IF(OR('第 3 天'!L$5="早餐",'第 3 天'!L$5="午餐",'第 3 天'!L$5="晚餐"),'第 3 天'!L68,0),IF(OR('第 3 天'!N$5="早餐",'第 3 天'!N$5="午餐",'第 3 天'!N$5="晚餐"),'第 3 天'!N68,0),IF(OR('第 3 天'!P$5="早餐",'第 3 天'!P$5="午餐",'第 3 天'!P$5="晚餐"),'第 3 天'!P68,0))</f>
        <v>0</v>
      </c>
      <c r="D78" s="14" t="n">
        <f aca="false">SUM(IF(OR('第 3 天'!D$5="油錢"),'第 3 天'!D68,0),IF(OR('第 3 天'!F$5="油錢"),'第 3 天'!F68,0),IF(OR('第 3 天'!H$5="油錢"),'第 3 天'!H68,0),IF(OR('第 3 天'!J$5="油錢"),'第 3 天'!J68,0),IF(OR('第 3 天'!L$5="油錢"),'第 3 天'!L68,0),IF(OR('第 3 天'!N$5="油錢"),'第 3 天'!N68,0),IF(OR('第 3 天'!P$5="油錢"),'第 3 天'!P68,0))</f>
        <v>0</v>
      </c>
      <c r="E78" s="14" t="n">
        <f aca="false">SUM(IF(OR('第 3 天'!D$5="租車費"),'第 3 天'!D68,0),IF(OR('第 3 天'!F$5="租車費"),'第 3 天'!F68,0),IF(OR('第 3 天'!H$5="租車費"),'第 3 天'!H68,0),IF(OR('第 3 天'!J$5="租車費"),'第 3 天'!J68,0),IF(OR('第 3 天'!L$5="租車費"),'第 3 天'!L68,0),IF(OR('第 3 天'!N$5="租車費"),'第 3 天'!N68,0),IF(OR('第 3 天'!P$5="租車費"),'第 3 天'!P68,0))</f>
        <v>0</v>
      </c>
      <c r="F78" s="14" t="n">
        <f aca="false">SUM(IF(OR('第 3 天'!D$5="停車費",'第 3 天'!D$5="其他"),'第 3 天'!D68,0),IF(OR('第 3 天'!F$5="停車費",'第 3 天'!F$5="其他"),'第 3 天'!F68,0),IF(OR('第 3 天'!H$5="停車費",'第 3 天'!H$5="其他"),'第 3 天'!H68,0),IF(OR('第 3 天'!J$5="停車費",'第 3 天'!J$5="其他"),'第 3 天'!J68,0),IF(OR('第 3 天'!L$5="停車費",'第 3 天'!L$5="其他"),'第 3 天'!L68,0),IF(OR('第 3 天'!N$5="停車費",'第 3 天'!N$5="其他"),'第 3 天'!N68,0),IF(OR('第 3 天'!P$5="停車費",'第 3 天'!P$5="其他"),'第 3 天'!P68,0))</f>
        <v>0</v>
      </c>
      <c r="G78" s="14" t="n">
        <f aca="false">SUM(C78:F78)</f>
        <v>0</v>
      </c>
      <c r="H78" s="14" t="n">
        <f aca="false">IF(LEN(TRIM(成員名單!$B21))=0,0,SUM(IF('第 3 天'!D$7=$B78,'第 3 天'!D46,0),IF('第 3 天'!F$7=$B78,'第 3 天'!F46,0),IF('第 3 天'!H$7=$B78,'第 3 天'!H46,0),IF('第 3 天'!J$7=$B78,'第 3 天'!J46,0),IF('第 3 天'!L$7=$B78,'第 3 天'!L46,0),IF('第 3 天'!N$7=$B78,'第 3 天'!N46,0),IF('第 3 天'!P$7=$B78,'第 3 天'!P46,0)))</f>
        <v>0</v>
      </c>
    </row>
    <row r="79" customFormat="false" ht="15" hidden="false" customHeight="false" outlineLevel="0" collapsed="false">
      <c r="A79" s="13" t="s">
        <v>98</v>
      </c>
      <c r="B79" s="13" t="s">
        <v>35</v>
      </c>
      <c r="C79" s="14" t="n">
        <f aca="false">SUM(IF(OR('第 3 天'!D$5="早餐",'第 3 天'!D$5="午餐",'第 3 天'!D$5="晚餐"),'第 3 天'!D69,0),IF(OR('第 3 天'!F$5="早餐",'第 3 天'!F$5="午餐",'第 3 天'!F$5="晚餐"),'第 3 天'!F69,0),IF(OR('第 3 天'!H$5="早餐",'第 3 天'!H$5="午餐",'第 3 天'!H$5="晚餐"),'第 3 天'!H69,0),IF(OR('第 3 天'!J$5="早餐",'第 3 天'!J$5="午餐",'第 3 天'!J$5="晚餐"),'第 3 天'!J69,0),IF(OR('第 3 天'!L$5="早餐",'第 3 天'!L$5="午餐",'第 3 天'!L$5="晚餐"),'第 3 天'!L69,0),IF(OR('第 3 天'!N$5="早餐",'第 3 天'!N$5="午餐",'第 3 天'!N$5="晚餐"),'第 3 天'!N69,0),IF(OR('第 3 天'!P$5="早餐",'第 3 天'!P$5="午餐",'第 3 天'!P$5="晚餐"),'第 3 天'!P69,0))</f>
        <v>0</v>
      </c>
      <c r="D79" s="14" t="n">
        <f aca="false">SUM(IF(OR('第 3 天'!D$5="油錢"),'第 3 天'!D69,0),IF(OR('第 3 天'!F$5="油錢"),'第 3 天'!F69,0),IF(OR('第 3 天'!H$5="油錢"),'第 3 天'!H69,0),IF(OR('第 3 天'!J$5="油錢"),'第 3 天'!J69,0),IF(OR('第 3 天'!L$5="油錢"),'第 3 天'!L69,0),IF(OR('第 3 天'!N$5="油錢"),'第 3 天'!N69,0),IF(OR('第 3 天'!P$5="油錢"),'第 3 天'!P69,0))</f>
        <v>0</v>
      </c>
      <c r="E79" s="14" t="n">
        <f aca="false">SUM(IF(OR('第 3 天'!D$5="租車費"),'第 3 天'!D69,0),IF(OR('第 3 天'!F$5="租車費"),'第 3 天'!F69,0),IF(OR('第 3 天'!H$5="租車費"),'第 3 天'!H69,0),IF(OR('第 3 天'!J$5="租車費"),'第 3 天'!J69,0),IF(OR('第 3 天'!L$5="租車費"),'第 3 天'!L69,0),IF(OR('第 3 天'!N$5="租車費"),'第 3 天'!N69,0),IF(OR('第 3 天'!P$5="租車費"),'第 3 天'!P69,0))</f>
        <v>0</v>
      </c>
      <c r="F79" s="14" t="n">
        <f aca="false">SUM(IF(OR('第 3 天'!D$5="停車費",'第 3 天'!D$5="其他"),'第 3 天'!D69,0),IF(OR('第 3 天'!F$5="停車費",'第 3 天'!F$5="其他"),'第 3 天'!F69,0),IF(OR('第 3 天'!H$5="停車費",'第 3 天'!H$5="其他"),'第 3 天'!H69,0),IF(OR('第 3 天'!J$5="停車費",'第 3 天'!J$5="其他"),'第 3 天'!J69,0),IF(OR('第 3 天'!L$5="停車費",'第 3 天'!L$5="其他"),'第 3 天'!L69,0),IF(OR('第 3 天'!N$5="停車費",'第 3 天'!N$5="其他"),'第 3 天'!N69,0),IF(OR('第 3 天'!P$5="停車費",'第 3 天'!P$5="其他"),'第 3 天'!P69,0))</f>
        <v>0</v>
      </c>
      <c r="G79" s="14" t="n">
        <f aca="false">SUM(C79:F79)</f>
        <v>0</v>
      </c>
      <c r="H79" s="14" t="n">
        <f aca="false">IF(LEN(TRIM(成員名單!$B22))=0,0,SUM(IF('第 3 天'!D$7=$B79,'第 3 天'!D46,0),IF('第 3 天'!F$7=$B79,'第 3 天'!F46,0),IF('第 3 天'!H$7=$B79,'第 3 天'!H46,0),IF('第 3 天'!J$7=$B79,'第 3 天'!J46,0),IF('第 3 天'!L$7=$B79,'第 3 天'!L46,0),IF('第 3 天'!N$7=$B79,'第 3 天'!N46,0),IF('第 3 天'!P$7=$B79,'第 3 天'!P46,0)))</f>
        <v>0</v>
      </c>
    </row>
    <row r="80" customFormat="false" ht="15" hidden="false" customHeight="false" outlineLevel="0" collapsed="false">
      <c r="A80" s="13" t="s">
        <v>98</v>
      </c>
      <c r="B80" s="13" t="s">
        <v>36</v>
      </c>
      <c r="C80" s="14" t="n">
        <f aca="false">SUM(IF(OR('第 3 天'!D$5="早餐",'第 3 天'!D$5="午餐",'第 3 天'!D$5="晚餐"),'第 3 天'!D70,0),IF(OR('第 3 天'!F$5="早餐",'第 3 天'!F$5="午餐",'第 3 天'!F$5="晚餐"),'第 3 天'!F70,0),IF(OR('第 3 天'!H$5="早餐",'第 3 天'!H$5="午餐",'第 3 天'!H$5="晚餐"),'第 3 天'!H70,0),IF(OR('第 3 天'!J$5="早餐",'第 3 天'!J$5="午餐",'第 3 天'!J$5="晚餐"),'第 3 天'!J70,0),IF(OR('第 3 天'!L$5="早餐",'第 3 天'!L$5="午餐",'第 3 天'!L$5="晚餐"),'第 3 天'!L70,0),IF(OR('第 3 天'!N$5="早餐",'第 3 天'!N$5="午餐",'第 3 天'!N$5="晚餐"),'第 3 天'!N70,0),IF(OR('第 3 天'!P$5="早餐",'第 3 天'!P$5="午餐",'第 3 天'!P$5="晚餐"),'第 3 天'!P70,0))</f>
        <v>0</v>
      </c>
      <c r="D80" s="14" t="n">
        <f aca="false">SUM(IF(OR('第 3 天'!D$5="油錢"),'第 3 天'!D70,0),IF(OR('第 3 天'!F$5="油錢"),'第 3 天'!F70,0),IF(OR('第 3 天'!H$5="油錢"),'第 3 天'!H70,0),IF(OR('第 3 天'!J$5="油錢"),'第 3 天'!J70,0),IF(OR('第 3 天'!L$5="油錢"),'第 3 天'!L70,0),IF(OR('第 3 天'!N$5="油錢"),'第 3 天'!N70,0),IF(OR('第 3 天'!P$5="油錢"),'第 3 天'!P70,0))</f>
        <v>0</v>
      </c>
      <c r="E80" s="14" t="n">
        <f aca="false">SUM(IF(OR('第 3 天'!D$5="租車費"),'第 3 天'!D70,0),IF(OR('第 3 天'!F$5="租車費"),'第 3 天'!F70,0),IF(OR('第 3 天'!H$5="租車費"),'第 3 天'!H70,0),IF(OR('第 3 天'!J$5="租車費"),'第 3 天'!J70,0),IF(OR('第 3 天'!L$5="租車費"),'第 3 天'!L70,0),IF(OR('第 3 天'!N$5="租車費"),'第 3 天'!N70,0),IF(OR('第 3 天'!P$5="租車費"),'第 3 天'!P70,0))</f>
        <v>0</v>
      </c>
      <c r="F80" s="14" t="n">
        <f aca="false">SUM(IF(OR('第 3 天'!D$5="停車費",'第 3 天'!D$5="其他"),'第 3 天'!D70,0),IF(OR('第 3 天'!F$5="停車費",'第 3 天'!F$5="其他"),'第 3 天'!F70,0),IF(OR('第 3 天'!H$5="停車費",'第 3 天'!H$5="其他"),'第 3 天'!H70,0),IF(OR('第 3 天'!J$5="停車費",'第 3 天'!J$5="其他"),'第 3 天'!J70,0),IF(OR('第 3 天'!L$5="停車費",'第 3 天'!L$5="其他"),'第 3 天'!L70,0),IF(OR('第 3 天'!N$5="停車費",'第 3 天'!N$5="其他"),'第 3 天'!N70,0),IF(OR('第 3 天'!P$5="停車費",'第 3 天'!P$5="其他"),'第 3 天'!P70,0))</f>
        <v>0</v>
      </c>
      <c r="G80" s="14" t="n">
        <f aca="false">SUM(C80:F80)</f>
        <v>0</v>
      </c>
      <c r="H80" s="14" t="n">
        <f aca="false">IF(LEN(TRIM(成員名單!$B23))=0,0,SUM(IF('第 3 天'!D$7=$B80,'第 3 天'!D46,0),IF('第 3 天'!F$7=$B80,'第 3 天'!F46,0),IF('第 3 天'!H$7=$B80,'第 3 天'!H46,0),IF('第 3 天'!J$7=$B80,'第 3 天'!J46,0),IF('第 3 天'!L$7=$B80,'第 3 天'!L46,0),IF('第 3 天'!N$7=$B80,'第 3 天'!N46,0),IF('第 3 天'!P$7=$B80,'第 3 天'!P46,0)))</f>
        <v>0</v>
      </c>
    </row>
    <row r="81" customFormat="false" ht="15" hidden="false" customHeight="false" outlineLevel="0" collapsed="false">
      <c r="A81" s="13" t="s">
        <v>98</v>
      </c>
      <c r="B81" s="13" t="s">
        <v>37</v>
      </c>
      <c r="C81" s="14" t="n">
        <f aca="false">SUM(IF(OR('第 3 天'!D$5="早餐",'第 3 天'!D$5="午餐",'第 3 天'!D$5="晚餐"),'第 3 天'!D71,0),IF(OR('第 3 天'!F$5="早餐",'第 3 天'!F$5="午餐",'第 3 天'!F$5="晚餐"),'第 3 天'!F71,0),IF(OR('第 3 天'!H$5="早餐",'第 3 天'!H$5="午餐",'第 3 天'!H$5="晚餐"),'第 3 天'!H71,0),IF(OR('第 3 天'!J$5="早餐",'第 3 天'!J$5="午餐",'第 3 天'!J$5="晚餐"),'第 3 天'!J71,0),IF(OR('第 3 天'!L$5="早餐",'第 3 天'!L$5="午餐",'第 3 天'!L$5="晚餐"),'第 3 天'!L71,0),IF(OR('第 3 天'!N$5="早餐",'第 3 天'!N$5="午餐",'第 3 天'!N$5="晚餐"),'第 3 天'!N71,0),IF(OR('第 3 天'!P$5="早餐",'第 3 天'!P$5="午餐",'第 3 天'!P$5="晚餐"),'第 3 天'!P71,0))</f>
        <v>0</v>
      </c>
      <c r="D81" s="14" t="n">
        <f aca="false">SUM(IF(OR('第 3 天'!D$5="油錢"),'第 3 天'!D71,0),IF(OR('第 3 天'!F$5="油錢"),'第 3 天'!F71,0),IF(OR('第 3 天'!H$5="油錢"),'第 3 天'!H71,0),IF(OR('第 3 天'!J$5="油錢"),'第 3 天'!J71,0),IF(OR('第 3 天'!L$5="油錢"),'第 3 天'!L71,0),IF(OR('第 3 天'!N$5="油錢"),'第 3 天'!N71,0),IF(OR('第 3 天'!P$5="油錢"),'第 3 天'!P71,0))</f>
        <v>0</v>
      </c>
      <c r="E81" s="14" t="n">
        <f aca="false">SUM(IF(OR('第 3 天'!D$5="租車費"),'第 3 天'!D71,0),IF(OR('第 3 天'!F$5="租車費"),'第 3 天'!F71,0),IF(OR('第 3 天'!H$5="租車費"),'第 3 天'!H71,0),IF(OR('第 3 天'!J$5="租車費"),'第 3 天'!J71,0),IF(OR('第 3 天'!L$5="租車費"),'第 3 天'!L71,0),IF(OR('第 3 天'!N$5="租車費"),'第 3 天'!N71,0),IF(OR('第 3 天'!P$5="租車費"),'第 3 天'!P71,0))</f>
        <v>0</v>
      </c>
      <c r="F81" s="14" t="n">
        <f aca="false">SUM(IF(OR('第 3 天'!D$5="停車費",'第 3 天'!D$5="其他"),'第 3 天'!D71,0),IF(OR('第 3 天'!F$5="停車費",'第 3 天'!F$5="其他"),'第 3 天'!F71,0),IF(OR('第 3 天'!H$5="停車費",'第 3 天'!H$5="其他"),'第 3 天'!H71,0),IF(OR('第 3 天'!J$5="停車費",'第 3 天'!J$5="其他"),'第 3 天'!J71,0),IF(OR('第 3 天'!L$5="停車費",'第 3 天'!L$5="其他"),'第 3 天'!L71,0),IF(OR('第 3 天'!N$5="停車費",'第 3 天'!N$5="其他"),'第 3 天'!N71,0),IF(OR('第 3 天'!P$5="停車費",'第 3 天'!P$5="其他"),'第 3 天'!P71,0))</f>
        <v>0</v>
      </c>
      <c r="G81" s="14" t="n">
        <f aca="false">SUM(C81:F81)</f>
        <v>0</v>
      </c>
      <c r="H81" s="14" t="n">
        <f aca="false">IF(LEN(TRIM(成員名單!$B24))=0,0,SUM(IF('第 3 天'!D$7=$B81,'第 3 天'!D46,0),IF('第 3 天'!F$7=$B81,'第 3 天'!F46,0),IF('第 3 天'!H$7=$B81,'第 3 天'!H46,0),IF('第 3 天'!J$7=$B81,'第 3 天'!J46,0),IF('第 3 天'!L$7=$B81,'第 3 天'!L46,0),IF('第 3 天'!N$7=$B81,'第 3 天'!N46,0),IF('第 3 天'!P$7=$B81,'第 3 天'!P46,0)))</f>
        <v>0</v>
      </c>
    </row>
    <row r="82" customFormat="false" ht="15" hidden="false" customHeight="false" outlineLevel="0" collapsed="false">
      <c r="A82" s="13" t="s">
        <v>98</v>
      </c>
      <c r="B82" s="13" t="s">
        <v>38</v>
      </c>
      <c r="C82" s="14" t="n">
        <f aca="false">SUM(IF(OR('第 3 天'!D$5="早餐",'第 3 天'!D$5="午餐",'第 3 天'!D$5="晚餐"),'第 3 天'!D72,0),IF(OR('第 3 天'!F$5="早餐",'第 3 天'!F$5="午餐",'第 3 天'!F$5="晚餐"),'第 3 天'!F72,0),IF(OR('第 3 天'!H$5="早餐",'第 3 天'!H$5="午餐",'第 3 天'!H$5="晚餐"),'第 3 天'!H72,0),IF(OR('第 3 天'!J$5="早餐",'第 3 天'!J$5="午餐",'第 3 天'!J$5="晚餐"),'第 3 天'!J72,0),IF(OR('第 3 天'!L$5="早餐",'第 3 天'!L$5="午餐",'第 3 天'!L$5="晚餐"),'第 3 天'!L72,0),IF(OR('第 3 天'!N$5="早餐",'第 3 天'!N$5="午餐",'第 3 天'!N$5="晚餐"),'第 3 天'!N72,0),IF(OR('第 3 天'!P$5="早餐",'第 3 天'!P$5="午餐",'第 3 天'!P$5="晚餐"),'第 3 天'!P72,0))</f>
        <v>0</v>
      </c>
      <c r="D82" s="14" t="n">
        <f aca="false">SUM(IF(OR('第 3 天'!D$5="油錢"),'第 3 天'!D72,0),IF(OR('第 3 天'!F$5="油錢"),'第 3 天'!F72,0),IF(OR('第 3 天'!H$5="油錢"),'第 3 天'!H72,0),IF(OR('第 3 天'!J$5="油錢"),'第 3 天'!J72,0),IF(OR('第 3 天'!L$5="油錢"),'第 3 天'!L72,0),IF(OR('第 3 天'!N$5="油錢"),'第 3 天'!N72,0),IF(OR('第 3 天'!P$5="油錢"),'第 3 天'!P72,0))</f>
        <v>0</v>
      </c>
      <c r="E82" s="14" t="n">
        <f aca="false">SUM(IF(OR('第 3 天'!D$5="租車費"),'第 3 天'!D72,0),IF(OR('第 3 天'!F$5="租車費"),'第 3 天'!F72,0),IF(OR('第 3 天'!H$5="租車費"),'第 3 天'!H72,0),IF(OR('第 3 天'!J$5="租車費"),'第 3 天'!J72,0),IF(OR('第 3 天'!L$5="租車費"),'第 3 天'!L72,0),IF(OR('第 3 天'!N$5="租車費"),'第 3 天'!N72,0),IF(OR('第 3 天'!P$5="租車費"),'第 3 天'!P72,0))</f>
        <v>0</v>
      </c>
      <c r="F82" s="14" t="n">
        <f aca="false">SUM(IF(OR('第 3 天'!D$5="停車費",'第 3 天'!D$5="其他"),'第 3 天'!D72,0),IF(OR('第 3 天'!F$5="停車費",'第 3 天'!F$5="其他"),'第 3 天'!F72,0),IF(OR('第 3 天'!H$5="停車費",'第 3 天'!H$5="其他"),'第 3 天'!H72,0),IF(OR('第 3 天'!J$5="停車費",'第 3 天'!J$5="其他"),'第 3 天'!J72,0),IF(OR('第 3 天'!L$5="停車費",'第 3 天'!L$5="其他"),'第 3 天'!L72,0),IF(OR('第 3 天'!N$5="停車費",'第 3 天'!N$5="其他"),'第 3 天'!N72,0),IF(OR('第 3 天'!P$5="停車費",'第 3 天'!P$5="其他"),'第 3 天'!P72,0))</f>
        <v>0</v>
      </c>
      <c r="G82" s="14" t="n">
        <f aca="false">SUM(C82:F82)</f>
        <v>0</v>
      </c>
      <c r="H82" s="14" t="n">
        <f aca="false">IF(LEN(TRIM(成員名單!$B25))=0,0,SUM(IF('第 3 天'!D$7=$B82,'第 3 天'!D46,0),IF('第 3 天'!F$7=$B82,'第 3 天'!F46,0),IF('第 3 天'!H$7=$B82,'第 3 天'!H46,0),IF('第 3 天'!J$7=$B82,'第 3 天'!J46,0),IF('第 3 天'!L$7=$B82,'第 3 天'!L46,0),IF('第 3 天'!N$7=$B82,'第 3 天'!N46,0),IF('第 3 天'!P$7=$B82,'第 3 天'!P46,0)))</f>
        <v>0</v>
      </c>
    </row>
    <row r="83" customFormat="false" ht="15" hidden="false" customHeight="false" outlineLevel="0" collapsed="false">
      <c r="A83" s="13" t="s">
        <v>98</v>
      </c>
      <c r="B83" s="13" t="s">
        <v>39</v>
      </c>
      <c r="C83" s="14" t="n">
        <f aca="false">SUM(IF(OR('第 3 天'!D$5="早餐",'第 3 天'!D$5="午餐",'第 3 天'!D$5="晚餐"),'第 3 天'!D73,0),IF(OR('第 3 天'!F$5="早餐",'第 3 天'!F$5="午餐",'第 3 天'!F$5="晚餐"),'第 3 天'!F73,0),IF(OR('第 3 天'!H$5="早餐",'第 3 天'!H$5="午餐",'第 3 天'!H$5="晚餐"),'第 3 天'!H73,0),IF(OR('第 3 天'!J$5="早餐",'第 3 天'!J$5="午餐",'第 3 天'!J$5="晚餐"),'第 3 天'!J73,0),IF(OR('第 3 天'!L$5="早餐",'第 3 天'!L$5="午餐",'第 3 天'!L$5="晚餐"),'第 3 天'!L73,0),IF(OR('第 3 天'!N$5="早餐",'第 3 天'!N$5="午餐",'第 3 天'!N$5="晚餐"),'第 3 天'!N73,0),IF(OR('第 3 天'!P$5="早餐",'第 3 天'!P$5="午餐",'第 3 天'!P$5="晚餐"),'第 3 天'!P73,0))</f>
        <v>0</v>
      </c>
      <c r="D83" s="14" t="n">
        <f aca="false">SUM(IF(OR('第 3 天'!D$5="油錢"),'第 3 天'!D73,0),IF(OR('第 3 天'!F$5="油錢"),'第 3 天'!F73,0),IF(OR('第 3 天'!H$5="油錢"),'第 3 天'!H73,0),IF(OR('第 3 天'!J$5="油錢"),'第 3 天'!J73,0),IF(OR('第 3 天'!L$5="油錢"),'第 3 天'!L73,0),IF(OR('第 3 天'!N$5="油錢"),'第 3 天'!N73,0),IF(OR('第 3 天'!P$5="油錢"),'第 3 天'!P73,0))</f>
        <v>0</v>
      </c>
      <c r="E83" s="14" t="n">
        <f aca="false">SUM(IF(OR('第 3 天'!D$5="租車費"),'第 3 天'!D73,0),IF(OR('第 3 天'!F$5="租車費"),'第 3 天'!F73,0),IF(OR('第 3 天'!H$5="租車費"),'第 3 天'!H73,0),IF(OR('第 3 天'!J$5="租車費"),'第 3 天'!J73,0),IF(OR('第 3 天'!L$5="租車費"),'第 3 天'!L73,0),IF(OR('第 3 天'!N$5="租車費"),'第 3 天'!N73,0),IF(OR('第 3 天'!P$5="租車費"),'第 3 天'!P73,0))</f>
        <v>0</v>
      </c>
      <c r="F83" s="14" t="n">
        <f aca="false">SUM(IF(OR('第 3 天'!D$5="停車費",'第 3 天'!D$5="其他"),'第 3 天'!D73,0),IF(OR('第 3 天'!F$5="停車費",'第 3 天'!F$5="其他"),'第 3 天'!F73,0),IF(OR('第 3 天'!H$5="停車費",'第 3 天'!H$5="其他"),'第 3 天'!H73,0),IF(OR('第 3 天'!J$5="停車費",'第 3 天'!J$5="其他"),'第 3 天'!J73,0),IF(OR('第 3 天'!L$5="停車費",'第 3 天'!L$5="其他"),'第 3 天'!L73,0),IF(OR('第 3 天'!N$5="停車費",'第 3 天'!N$5="其他"),'第 3 天'!N73,0),IF(OR('第 3 天'!P$5="停車費",'第 3 天'!P$5="其他"),'第 3 天'!P73,0))</f>
        <v>0</v>
      </c>
      <c r="G83" s="14" t="n">
        <f aca="false">SUM(C83:F83)</f>
        <v>0</v>
      </c>
      <c r="H83" s="14" t="n">
        <f aca="false">IF(LEN(TRIM(成員名單!$B26))=0,0,SUM(IF('第 3 天'!D$7=$B83,'第 3 天'!D46,0),IF('第 3 天'!F$7=$B83,'第 3 天'!F46,0),IF('第 3 天'!H$7=$B83,'第 3 天'!H46,0),IF('第 3 天'!J$7=$B83,'第 3 天'!J46,0),IF('第 3 天'!L$7=$B83,'第 3 天'!L46,0),IF('第 3 天'!N$7=$B83,'第 3 天'!N46,0),IF('第 3 天'!P$7=$B83,'第 3 天'!P46,0)))</f>
        <v>0</v>
      </c>
    </row>
    <row r="84" customFormat="false" ht="15" hidden="false" customHeight="false" outlineLevel="0" collapsed="false">
      <c r="A84" s="13" t="s">
        <v>98</v>
      </c>
      <c r="B84" s="13" t="s">
        <v>40</v>
      </c>
      <c r="C84" s="14" t="n">
        <f aca="false">SUM(IF(OR('第 3 天'!D$5="早餐",'第 3 天'!D$5="午餐",'第 3 天'!D$5="晚餐"),'第 3 天'!D74,0),IF(OR('第 3 天'!F$5="早餐",'第 3 天'!F$5="午餐",'第 3 天'!F$5="晚餐"),'第 3 天'!F74,0),IF(OR('第 3 天'!H$5="早餐",'第 3 天'!H$5="午餐",'第 3 天'!H$5="晚餐"),'第 3 天'!H74,0),IF(OR('第 3 天'!J$5="早餐",'第 3 天'!J$5="午餐",'第 3 天'!J$5="晚餐"),'第 3 天'!J74,0),IF(OR('第 3 天'!L$5="早餐",'第 3 天'!L$5="午餐",'第 3 天'!L$5="晚餐"),'第 3 天'!L74,0),IF(OR('第 3 天'!N$5="早餐",'第 3 天'!N$5="午餐",'第 3 天'!N$5="晚餐"),'第 3 天'!N74,0),IF(OR('第 3 天'!P$5="早餐",'第 3 天'!P$5="午餐",'第 3 天'!P$5="晚餐"),'第 3 天'!P74,0))</f>
        <v>0</v>
      </c>
      <c r="D84" s="14" t="n">
        <f aca="false">SUM(IF(OR('第 3 天'!D$5="油錢"),'第 3 天'!D74,0),IF(OR('第 3 天'!F$5="油錢"),'第 3 天'!F74,0),IF(OR('第 3 天'!H$5="油錢"),'第 3 天'!H74,0),IF(OR('第 3 天'!J$5="油錢"),'第 3 天'!J74,0),IF(OR('第 3 天'!L$5="油錢"),'第 3 天'!L74,0),IF(OR('第 3 天'!N$5="油錢"),'第 3 天'!N74,0),IF(OR('第 3 天'!P$5="油錢"),'第 3 天'!P74,0))</f>
        <v>0</v>
      </c>
      <c r="E84" s="14" t="n">
        <f aca="false">SUM(IF(OR('第 3 天'!D$5="租車費"),'第 3 天'!D74,0),IF(OR('第 3 天'!F$5="租車費"),'第 3 天'!F74,0),IF(OR('第 3 天'!H$5="租車費"),'第 3 天'!H74,0),IF(OR('第 3 天'!J$5="租車費"),'第 3 天'!J74,0),IF(OR('第 3 天'!L$5="租車費"),'第 3 天'!L74,0),IF(OR('第 3 天'!N$5="租車費"),'第 3 天'!N74,0),IF(OR('第 3 天'!P$5="租車費"),'第 3 天'!P74,0))</f>
        <v>0</v>
      </c>
      <c r="F84" s="14" t="n">
        <f aca="false">SUM(IF(OR('第 3 天'!D$5="停車費",'第 3 天'!D$5="其他"),'第 3 天'!D74,0),IF(OR('第 3 天'!F$5="停車費",'第 3 天'!F$5="其他"),'第 3 天'!F74,0),IF(OR('第 3 天'!H$5="停車費",'第 3 天'!H$5="其他"),'第 3 天'!H74,0),IF(OR('第 3 天'!J$5="停車費",'第 3 天'!J$5="其他"),'第 3 天'!J74,0),IF(OR('第 3 天'!L$5="停車費",'第 3 天'!L$5="其他"),'第 3 天'!L74,0),IF(OR('第 3 天'!N$5="停車費",'第 3 天'!N$5="其他"),'第 3 天'!N74,0),IF(OR('第 3 天'!P$5="停車費",'第 3 天'!P$5="其他"),'第 3 天'!P74,0))</f>
        <v>0</v>
      </c>
      <c r="G84" s="14" t="n">
        <f aca="false">SUM(C84:F84)</f>
        <v>0</v>
      </c>
      <c r="H84" s="14" t="n">
        <f aca="false">IF(LEN(TRIM(成員名單!$B27))=0,0,SUM(IF('第 3 天'!D$7=$B84,'第 3 天'!D46,0),IF('第 3 天'!F$7=$B84,'第 3 天'!F46,0),IF('第 3 天'!H$7=$B84,'第 3 天'!H46,0),IF('第 3 天'!J$7=$B84,'第 3 天'!J46,0),IF('第 3 天'!L$7=$B84,'第 3 天'!L46,0),IF('第 3 天'!N$7=$B84,'第 3 天'!N46,0),IF('第 3 天'!P$7=$B84,'第 3 天'!P46,0)))</f>
        <v>0</v>
      </c>
    </row>
    <row r="85" customFormat="false" ht="15" hidden="false" customHeight="false" outlineLevel="0" collapsed="false">
      <c r="A85" s="13" t="s">
        <v>98</v>
      </c>
      <c r="B85" s="13" t="s">
        <v>41</v>
      </c>
      <c r="C85" s="14" t="n">
        <f aca="false">SUM(IF(OR('第 3 天'!D$5="早餐",'第 3 天'!D$5="午餐",'第 3 天'!D$5="晚餐"),'第 3 天'!D75,0),IF(OR('第 3 天'!F$5="早餐",'第 3 天'!F$5="午餐",'第 3 天'!F$5="晚餐"),'第 3 天'!F75,0),IF(OR('第 3 天'!H$5="早餐",'第 3 天'!H$5="午餐",'第 3 天'!H$5="晚餐"),'第 3 天'!H75,0),IF(OR('第 3 天'!J$5="早餐",'第 3 天'!J$5="午餐",'第 3 天'!J$5="晚餐"),'第 3 天'!J75,0),IF(OR('第 3 天'!L$5="早餐",'第 3 天'!L$5="午餐",'第 3 天'!L$5="晚餐"),'第 3 天'!L75,0),IF(OR('第 3 天'!N$5="早餐",'第 3 天'!N$5="午餐",'第 3 天'!N$5="晚餐"),'第 3 天'!N75,0),IF(OR('第 3 天'!P$5="早餐",'第 3 天'!P$5="午餐",'第 3 天'!P$5="晚餐"),'第 3 天'!P75,0))</f>
        <v>0</v>
      </c>
      <c r="D85" s="14" t="n">
        <f aca="false">SUM(IF(OR('第 3 天'!D$5="油錢"),'第 3 天'!D75,0),IF(OR('第 3 天'!F$5="油錢"),'第 3 天'!F75,0),IF(OR('第 3 天'!H$5="油錢"),'第 3 天'!H75,0),IF(OR('第 3 天'!J$5="油錢"),'第 3 天'!J75,0),IF(OR('第 3 天'!L$5="油錢"),'第 3 天'!L75,0),IF(OR('第 3 天'!N$5="油錢"),'第 3 天'!N75,0),IF(OR('第 3 天'!P$5="油錢"),'第 3 天'!P75,0))</f>
        <v>0</v>
      </c>
      <c r="E85" s="14" t="n">
        <f aca="false">SUM(IF(OR('第 3 天'!D$5="租車費"),'第 3 天'!D75,0),IF(OR('第 3 天'!F$5="租車費"),'第 3 天'!F75,0),IF(OR('第 3 天'!H$5="租車費"),'第 3 天'!H75,0),IF(OR('第 3 天'!J$5="租車費"),'第 3 天'!J75,0),IF(OR('第 3 天'!L$5="租車費"),'第 3 天'!L75,0),IF(OR('第 3 天'!N$5="租車費"),'第 3 天'!N75,0),IF(OR('第 3 天'!P$5="租車費"),'第 3 天'!P75,0))</f>
        <v>0</v>
      </c>
      <c r="F85" s="14" t="n">
        <f aca="false">SUM(IF(OR('第 3 天'!D$5="停車費",'第 3 天'!D$5="其他"),'第 3 天'!D75,0),IF(OR('第 3 天'!F$5="停車費",'第 3 天'!F$5="其他"),'第 3 天'!F75,0),IF(OR('第 3 天'!H$5="停車費",'第 3 天'!H$5="其他"),'第 3 天'!H75,0),IF(OR('第 3 天'!J$5="停車費",'第 3 天'!J$5="其他"),'第 3 天'!J75,0),IF(OR('第 3 天'!L$5="停車費",'第 3 天'!L$5="其他"),'第 3 天'!L75,0),IF(OR('第 3 天'!N$5="停車費",'第 3 天'!N$5="其他"),'第 3 天'!N75,0),IF(OR('第 3 天'!P$5="停車費",'第 3 天'!P$5="其他"),'第 3 天'!P75,0))</f>
        <v>0</v>
      </c>
      <c r="G85" s="14" t="n">
        <f aca="false">SUM(C85:F85)</f>
        <v>0</v>
      </c>
      <c r="H85" s="14" t="n">
        <f aca="false">IF(LEN(TRIM(成員名單!$B28))=0,0,SUM(IF('第 3 天'!D$7=$B85,'第 3 天'!D46,0),IF('第 3 天'!F$7=$B85,'第 3 天'!F46,0),IF('第 3 天'!H$7=$B85,'第 3 天'!H46,0),IF('第 3 天'!J$7=$B85,'第 3 天'!J46,0),IF('第 3 天'!L$7=$B85,'第 3 天'!L46,0),IF('第 3 天'!N$7=$B85,'第 3 天'!N46,0),IF('第 3 天'!P$7=$B85,'第 3 天'!P46,0)))</f>
        <v>0</v>
      </c>
    </row>
    <row r="86" customFormat="false" ht="15" hidden="false" customHeight="false" outlineLevel="0" collapsed="false">
      <c r="A86" s="13" t="s">
        <v>98</v>
      </c>
      <c r="B86" s="13" t="s">
        <v>42</v>
      </c>
      <c r="C86" s="14" t="n">
        <f aca="false">SUM(IF(OR('第 3 天'!D$5="早餐",'第 3 天'!D$5="午餐",'第 3 天'!D$5="晚餐"),'第 3 天'!D76,0),IF(OR('第 3 天'!F$5="早餐",'第 3 天'!F$5="午餐",'第 3 天'!F$5="晚餐"),'第 3 天'!F76,0),IF(OR('第 3 天'!H$5="早餐",'第 3 天'!H$5="午餐",'第 3 天'!H$5="晚餐"),'第 3 天'!H76,0),IF(OR('第 3 天'!J$5="早餐",'第 3 天'!J$5="午餐",'第 3 天'!J$5="晚餐"),'第 3 天'!J76,0),IF(OR('第 3 天'!L$5="早餐",'第 3 天'!L$5="午餐",'第 3 天'!L$5="晚餐"),'第 3 天'!L76,0),IF(OR('第 3 天'!N$5="早餐",'第 3 天'!N$5="午餐",'第 3 天'!N$5="晚餐"),'第 3 天'!N76,0),IF(OR('第 3 天'!P$5="早餐",'第 3 天'!P$5="午餐",'第 3 天'!P$5="晚餐"),'第 3 天'!P76,0))</f>
        <v>0</v>
      </c>
      <c r="D86" s="14" t="n">
        <f aca="false">SUM(IF(OR('第 3 天'!D$5="油錢"),'第 3 天'!D76,0),IF(OR('第 3 天'!F$5="油錢"),'第 3 天'!F76,0),IF(OR('第 3 天'!H$5="油錢"),'第 3 天'!H76,0),IF(OR('第 3 天'!J$5="油錢"),'第 3 天'!J76,0),IF(OR('第 3 天'!L$5="油錢"),'第 3 天'!L76,0),IF(OR('第 3 天'!N$5="油錢"),'第 3 天'!N76,0),IF(OR('第 3 天'!P$5="油錢"),'第 3 天'!P76,0))</f>
        <v>0</v>
      </c>
      <c r="E86" s="14" t="n">
        <f aca="false">SUM(IF(OR('第 3 天'!D$5="租車費"),'第 3 天'!D76,0),IF(OR('第 3 天'!F$5="租車費"),'第 3 天'!F76,0),IF(OR('第 3 天'!H$5="租車費"),'第 3 天'!H76,0),IF(OR('第 3 天'!J$5="租車費"),'第 3 天'!J76,0),IF(OR('第 3 天'!L$5="租車費"),'第 3 天'!L76,0),IF(OR('第 3 天'!N$5="租車費"),'第 3 天'!N76,0),IF(OR('第 3 天'!P$5="租車費"),'第 3 天'!P76,0))</f>
        <v>0</v>
      </c>
      <c r="F86" s="14" t="n">
        <f aca="false">SUM(IF(OR('第 3 天'!D$5="停車費",'第 3 天'!D$5="其他"),'第 3 天'!D76,0),IF(OR('第 3 天'!F$5="停車費",'第 3 天'!F$5="其他"),'第 3 天'!F76,0),IF(OR('第 3 天'!H$5="停車費",'第 3 天'!H$5="其他"),'第 3 天'!H76,0),IF(OR('第 3 天'!J$5="停車費",'第 3 天'!J$5="其他"),'第 3 天'!J76,0),IF(OR('第 3 天'!L$5="停車費",'第 3 天'!L$5="其他"),'第 3 天'!L76,0),IF(OR('第 3 天'!N$5="停車費",'第 3 天'!N$5="其他"),'第 3 天'!N76,0),IF(OR('第 3 天'!P$5="停車費",'第 3 天'!P$5="其他"),'第 3 天'!P76,0))</f>
        <v>0</v>
      </c>
      <c r="G86" s="14" t="n">
        <f aca="false">SUM(C86:F86)</f>
        <v>0</v>
      </c>
      <c r="H86" s="14" t="n">
        <f aca="false">IF(LEN(TRIM(成員名單!$B29))=0,0,SUM(IF('第 3 天'!D$7=$B86,'第 3 天'!D46,0),IF('第 3 天'!F$7=$B86,'第 3 天'!F46,0),IF('第 3 天'!H$7=$B86,'第 3 天'!H46,0),IF('第 3 天'!J$7=$B86,'第 3 天'!J46,0),IF('第 3 天'!L$7=$B86,'第 3 天'!L46,0),IF('第 3 天'!N$7=$B86,'第 3 天'!N46,0),IF('第 3 天'!P$7=$B86,'第 3 天'!P46,0)))</f>
        <v>0</v>
      </c>
    </row>
    <row r="87" customFormat="false" ht="15" hidden="false" customHeight="false" outlineLevel="0" collapsed="false">
      <c r="A87" s="13" t="s">
        <v>98</v>
      </c>
      <c r="B87" s="13" t="s">
        <v>43</v>
      </c>
      <c r="C87" s="14" t="n">
        <f aca="false">SUM(IF(OR('第 3 天'!D$5="早餐",'第 3 天'!D$5="午餐",'第 3 天'!D$5="晚餐"),'第 3 天'!D77,0),IF(OR('第 3 天'!F$5="早餐",'第 3 天'!F$5="午餐",'第 3 天'!F$5="晚餐"),'第 3 天'!F77,0),IF(OR('第 3 天'!H$5="早餐",'第 3 天'!H$5="午餐",'第 3 天'!H$5="晚餐"),'第 3 天'!H77,0),IF(OR('第 3 天'!J$5="早餐",'第 3 天'!J$5="午餐",'第 3 天'!J$5="晚餐"),'第 3 天'!J77,0),IF(OR('第 3 天'!L$5="早餐",'第 3 天'!L$5="午餐",'第 3 天'!L$5="晚餐"),'第 3 天'!L77,0),IF(OR('第 3 天'!N$5="早餐",'第 3 天'!N$5="午餐",'第 3 天'!N$5="晚餐"),'第 3 天'!N77,0),IF(OR('第 3 天'!P$5="早餐",'第 3 天'!P$5="午餐",'第 3 天'!P$5="晚餐"),'第 3 天'!P77,0))</f>
        <v>0</v>
      </c>
      <c r="D87" s="14" t="n">
        <f aca="false">SUM(IF(OR('第 3 天'!D$5="油錢"),'第 3 天'!D77,0),IF(OR('第 3 天'!F$5="油錢"),'第 3 天'!F77,0),IF(OR('第 3 天'!H$5="油錢"),'第 3 天'!H77,0),IF(OR('第 3 天'!J$5="油錢"),'第 3 天'!J77,0),IF(OR('第 3 天'!L$5="油錢"),'第 3 天'!L77,0),IF(OR('第 3 天'!N$5="油錢"),'第 3 天'!N77,0),IF(OR('第 3 天'!P$5="油錢"),'第 3 天'!P77,0))</f>
        <v>0</v>
      </c>
      <c r="E87" s="14" t="n">
        <f aca="false">SUM(IF(OR('第 3 天'!D$5="租車費"),'第 3 天'!D77,0),IF(OR('第 3 天'!F$5="租車費"),'第 3 天'!F77,0),IF(OR('第 3 天'!H$5="租車費"),'第 3 天'!H77,0),IF(OR('第 3 天'!J$5="租車費"),'第 3 天'!J77,0),IF(OR('第 3 天'!L$5="租車費"),'第 3 天'!L77,0),IF(OR('第 3 天'!N$5="租車費"),'第 3 天'!N77,0),IF(OR('第 3 天'!P$5="租車費"),'第 3 天'!P77,0))</f>
        <v>0</v>
      </c>
      <c r="F87" s="14" t="n">
        <f aca="false">SUM(IF(OR('第 3 天'!D$5="停車費",'第 3 天'!D$5="其他"),'第 3 天'!D77,0),IF(OR('第 3 天'!F$5="停車費",'第 3 天'!F$5="其他"),'第 3 天'!F77,0),IF(OR('第 3 天'!H$5="停車費",'第 3 天'!H$5="其他"),'第 3 天'!H77,0),IF(OR('第 3 天'!J$5="停車費",'第 3 天'!J$5="其他"),'第 3 天'!J77,0),IF(OR('第 3 天'!L$5="停車費",'第 3 天'!L$5="其他"),'第 3 天'!L77,0),IF(OR('第 3 天'!N$5="停車費",'第 3 天'!N$5="其他"),'第 3 天'!N77,0),IF(OR('第 3 天'!P$5="停車費",'第 3 天'!P$5="其他"),'第 3 天'!P77,0))</f>
        <v>0</v>
      </c>
      <c r="G87" s="14" t="n">
        <f aca="false">SUM(C87:F87)</f>
        <v>0</v>
      </c>
      <c r="H87" s="14" t="n">
        <f aca="false">IF(LEN(TRIM(成員名單!$B30))=0,0,SUM(IF('第 3 天'!D$7=$B87,'第 3 天'!D46,0),IF('第 3 天'!F$7=$B87,'第 3 天'!F46,0),IF('第 3 天'!H$7=$B87,'第 3 天'!H46,0),IF('第 3 天'!J$7=$B87,'第 3 天'!J46,0),IF('第 3 天'!L$7=$B87,'第 3 天'!L46,0),IF('第 3 天'!N$7=$B87,'第 3 天'!N46,0),IF('第 3 天'!P$7=$B87,'第 3 天'!P46,0)))</f>
        <v>0</v>
      </c>
    </row>
    <row r="88" customFormat="false" ht="15" hidden="false" customHeight="false" outlineLevel="0" collapsed="false">
      <c r="A88" s="13" t="s">
        <v>98</v>
      </c>
      <c r="B88" s="13" t="s">
        <v>44</v>
      </c>
      <c r="C88" s="14" t="n">
        <f aca="false">SUM(IF(OR('第 3 天'!D$5="早餐",'第 3 天'!D$5="午餐",'第 3 天'!D$5="晚餐"),'第 3 天'!D78,0),IF(OR('第 3 天'!F$5="早餐",'第 3 天'!F$5="午餐",'第 3 天'!F$5="晚餐"),'第 3 天'!F78,0),IF(OR('第 3 天'!H$5="早餐",'第 3 天'!H$5="午餐",'第 3 天'!H$5="晚餐"),'第 3 天'!H78,0),IF(OR('第 3 天'!J$5="早餐",'第 3 天'!J$5="午餐",'第 3 天'!J$5="晚餐"),'第 3 天'!J78,0),IF(OR('第 3 天'!L$5="早餐",'第 3 天'!L$5="午餐",'第 3 天'!L$5="晚餐"),'第 3 天'!L78,0),IF(OR('第 3 天'!N$5="早餐",'第 3 天'!N$5="午餐",'第 3 天'!N$5="晚餐"),'第 3 天'!N78,0),IF(OR('第 3 天'!P$5="早餐",'第 3 天'!P$5="午餐",'第 3 天'!P$5="晚餐"),'第 3 天'!P78,0))</f>
        <v>0</v>
      </c>
      <c r="D88" s="14" t="n">
        <f aca="false">SUM(IF(OR('第 3 天'!D$5="油錢"),'第 3 天'!D78,0),IF(OR('第 3 天'!F$5="油錢"),'第 3 天'!F78,0),IF(OR('第 3 天'!H$5="油錢"),'第 3 天'!H78,0),IF(OR('第 3 天'!J$5="油錢"),'第 3 天'!J78,0),IF(OR('第 3 天'!L$5="油錢"),'第 3 天'!L78,0),IF(OR('第 3 天'!N$5="油錢"),'第 3 天'!N78,0),IF(OR('第 3 天'!P$5="油錢"),'第 3 天'!P78,0))</f>
        <v>0</v>
      </c>
      <c r="E88" s="14" t="n">
        <f aca="false">SUM(IF(OR('第 3 天'!D$5="租車費"),'第 3 天'!D78,0),IF(OR('第 3 天'!F$5="租車費"),'第 3 天'!F78,0),IF(OR('第 3 天'!H$5="租車費"),'第 3 天'!H78,0),IF(OR('第 3 天'!J$5="租車費"),'第 3 天'!J78,0),IF(OR('第 3 天'!L$5="租車費"),'第 3 天'!L78,0),IF(OR('第 3 天'!N$5="租車費"),'第 3 天'!N78,0),IF(OR('第 3 天'!P$5="租車費"),'第 3 天'!P78,0))</f>
        <v>0</v>
      </c>
      <c r="F88" s="14" t="n">
        <f aca="false">SUM(IF(OR('第 3 天'!D$5="停車費",'第 3 天'!D$5="其他"),'第 3 天'!D78,0),IF(OR('第 3 天'!F$5="停車費",'第 3 天'!F$5="其他"),'第 3 天'!F78,0),IF(OR('第 3 天'!H$5="停車費",'第 3 天'!H$5="其他"),'第 3 天'!H78,0),IF(OR('第 3 天'!J$5="停車費",'第 3 天'!J$5="其他"),'第 3 天'!J78,0),IF(OR('第 3 天'!L$5="停車費",'第 3 天'!L$5="其他"),'第 3 天'!L78,0),IF(OR('第 3 天'!N$5="停車費",'第 3 天'!N$5="其他"),'第 3 天'!N78,0),IF(OR('第 3 天'!P$5="停車費",'第 3 天'!P$5="其他"),'第 3 天'!P78,0))</f>
        <v>0</v>
      </c>
      <c r="G88" s="14" t="n">
        <f aca="false">SUM(C88:F88)</f>
        <v>0</v>
      </c>
      <c r="H88" s="14" t="n">
        <f aca="false">IF(LEN(TRIM(成員名單!$B31))=0,0,SUM(IF('第 3 天'!D$7=$B88,'第 3 天'!D46,0),IF('第 3 天'!F$7=$B88,'第 3 天'!F46,0),IF('第 3 天'!H$7=$B88,'第 3 天'!H46,0),IF('第 3 天'!J$7=$B88,'第 3 天'!J46,0),IF('第 3 天'!L$7=$B88,'第 3 天'!L46,0),IF('第 3 天'!N$7=$B88,'第 3 天'!N46,0),IF('第 3 天'!P$7=$B88,'第 3 天'!P46,0)))</f>
        <v>0</v>
      </c>
    </row>
    <row r="89" customFormat="false" ht="15" hidden="false" customHeight="false" outlineLevel="0" collapsed="false">
      <c r="A89" s="13" t="s">
        <v>98</v>
      </c>
      <c r="B89" s="13" t="s">
        <v>45</v>
      </c>
      <c r="C89" s="14" t="n">
        <f aca="false">SUM(IF(OR('第 3 天'!D$5="早餐",'第 3 天'!D$5="午餐",'第 3 天'!D$5="晚餐"),'第 3 天'!D79,0),IF(OR('第 3 天'!F$5="早餐",'第 3 天'!F$5="午餐",'第 3 天'!F$5="晚餐"),'第 3 天'!F79,0),IF(OR('第 3 天'!H$5="早餐",'第 3 天'!H$5="午餐",'第 3 天'!H$5="晚餐"),'第 3 天'!H79,0),IF(OR('第 3 天'!J$5="早餐",'第 3 天'!J$5="午餐",'第 3 天'!J$5="晚餐"),'第 3 天'!J79,0),IF(OR('第 3 天'!L$5="早餐",'第 3 天'!L$5="午餐",'第 3 天'!L$5="晚餐"),'第 3 天'!L79,0),IF(OR('第 3 天'!N$5="早餐",'第 3 天'!N$5="午餐",'第 3 天'!N$5="晚餐"),'第 3 天'!N79,0),IF(OR('第 3 天'!P$5="早餐",'第 3 天'!P$5="午餐",'第 3 天'!P$5="晚餐"),'第 3 天'!P79,0))</f>
        <v>0</v>
      </c>
      <c r="D89" s="14" t="n">
        <f aca="false">SUM(IF(OR('第 3 天'!D$5="油錢"),'第 3 天'!D79,0),IF(OR('第 3 天'!F$5="油錢"),'第 3 天'!F79,0),IF(OR('第 3 天'!H$5="油錢"),'第 3 天'!H79,0),IF(OR('第 3 天'!J$5="油錢"),'第 3 天'!J79,0),IF(OR('第 3 天'!L$5="油錢"),'第 3 天'!L79,0),IF(OR('第 3 天'!N$5="油錢"),'第 3 天'!N79,0),IF(OR('第 3 天'!P$5="油錢"),'第 3 天'!P79,0))</f>
        <v>0</v>
      </c>
      <c r="E89" s="14" t="n">
        <f aca="false">SUM(IF(OR('第 3 天'!D$5="租車費"),'第 3 天'!D79,0),IF(OR('第 3 天'!F$5="租車費"),'第 3 天'!F79,0),IF(OR('第 3 天'!H$5="租車費"),'第 3 天'!H79,0),IF(OR('第 3 天'!J$5="租車費"),'第 3 天'!J79,0),IF(OR('第 3 天'!L$5="租車費"),'第 3 天'!L79,0),IF(OR('第 3 天'!N$5="租車費"),'第 3 天'!N79,0),IF(OR('第 3 天'!P$5="租車費"),'第 3 天'!P79,0))</f>
        <v>0</v>
      </c>
      <c r="F89" s="14" t="n">
        <f aca="false">SUM(IF(OR('第 3 天'!D$5="停車費",'第 3 天'!D$5="其他"),'第 3 天'!D79,0),IF(OR('第 3 天'!F$5="停車費",'第 3 天'!F$5="其他"),'第 3 天'!F79,0),IF(OR('第 3 天'!H$5="停車費",'第 3 天'!H$5="其他"),'第 3 天'!H79,0),IF(OR('第 3 天'!J$5="停車費",'第 3 天'!J$5="其他"),'第 3 天'!J79,0),IF(OR('第 3 天'!L$5="停車費",'第 3 天'!L$5="其他"),'第 3 天'!L79,0),IF(OR('第 3 天'!N$5="停車費",'第 3 天'!N$5="其他"),'第 3 天'!N79,0),IF(OR('第 3 天'!P$5="停車費",'第 3 天'!P$5="其他"),'第 3 天'!P79,0))</f>
        <v>0</v>
      </c>
      <c r="G89" s="14" t="n">
        <f aca="false">SUM(C89:F89)</f>
        <v>0</v>
      </c>
      <c r="H89" s="14" t="n">
        <f aca="false">IF(LEN(TRIM(成員名單!$B32))=0,0,SUM(IF('第 3 天'!D$7=$B89,'第 3 天'!D46,0),IF('第 3 天'!F$7=$B89,'第 3 天'!F46,0),IF('第 3 天'!H$7=$B89,'第 3 天'!H46,0),IF('第 3 天'!J$7=$B89,'第 3 天'!J46,0),IF('第 3 天'!L$7=$B89,'第 3 天'!L46,0),IF('第 3 天'!N$7=$B89,'第 3 天'!N46,0),IF('第 3 天'!P$7=$B89,'第 3 天'!P46,0)))</f>
        <v>0</v>
      </c>
    </row>
    <row r="90" customFormat="false" ht="15" hidden="false" customHeight="false" outlineLevel="0" collapsed="false">
      <c r="A90" s="13" t="s">
        <v>98</v>
      </c>
      <c r="B90" s="13" t="s">
        <v>46</v>
      </c>
      <c r="C90" s="14" t="n">
        <f aca="false">SUM(IF(OR('第 3 天'!D$5="早餐",'第 3 天'!D$5="午餐",'第 3 天'!D$5="晚餐"),'第 3 天'!D80,0),IF(OR('第 3 天'!F$5="早餐",'第 3 天'!F$5="午餐",'第 3 天'!F$5="晚餐"),'第 3 天'!F80,0),IF(OR('第 3 天'!H$5="早餐",'第 3 天'!H$5="午餐",'第 3 天'!H$5="晚餐"),'第 3 天'!H80,0),IF(OR('第 3 天'!J$5="早餐",'第 3 天'!J$5="午餐",'第 3 天'!J$5="晚餐"),'第 3 天'!J80,0),IF(OR('第 3 天'!L$5="早餐",'第 3 天'!L$5="午餐",'第 3 天'!L$5="晚餐"),'第 3 天'!L80,0),IF(OR('第 3 天'!N$5="早餐",'第 3 天'!N$5="午餐",'第 3 天'!N$5="晚餐"),'第 3 天'!N80,0),IF(OR('第 3 天'!P$5="早餐",'第 3 天'!P$5="午餐",'第 3 天'!P$5="晚餐"),'第 3 天'!P80,0))</f>
        <v>0</v>
      </c>
      <c r="D90" s="14" t="n">
        <f aca="false">SUM(IF(OR('第 3 天'!D$5="油錢"),'第 3 天'!D80,0),IF(OR('第 3 天'!F$5="油錢"),'第 3 天'!F80,0),IF(OR('第 3 天'!H$5="油錢"),'第 3 天'!H80,0),IF(OR('第 3 天'!J$5="油錢"),'第 3 天'!J80,0),IF(OR('第 3 天'!L$5="油錢"),'第 3 天'!L80,0),IF(OR('第 3 天'!N$5="油錢"),'第 3 天'!N80,0),IF(OR('第 3 天'!P$5="油錢"),'第 3 天'!P80,0))</f>
        <v>0</v>
      </c>
      <c r="E90" s="14" t="n">
        <f aca="false">SUM(IF(OR('第 3 天'!D$5="租車費"),'第 3 天'!D80,0),IF(OR('第 3 天'!F$5="租車費"),'第 3 天'!F80,0),IF(OR('第 3 天'!H$5="租車費"),'第 3 天'!H80,0),IF(OR('第 3 天'!J$5="租車費"),'第 3 天'!J80,0),IF(OR('第 3 天'!L$5="租車費"),'第 3 天'!L80,0),IF(OR('第 3 天'!N$5="租車費"),'第 3 天'!N80,0),IF(OR('第 3 天'!P$5="租車費"),'第 3 天'!P80,0))</f>
        <v>0</v>
      </c>
      <c r="F90" s="14" t="n">
        <f aca="false">SUM(IF(OR('第 3 天'!D$5="停車費",'第 3 天'!D$5="其他"),'第 3 天'!D80,0),IF(OR('第 3 天'!F$5="停車費",'第 3 天'!F$5="其他"),'第 3 天'!F80,0),IF(OR('第 3 天'!H$5="停車費",'第 3 天'!H$5="其他"),'第 3 天'!H80,0),IF(OR('第 3 天'!J$5="停車費",'第 3 天'!J$5="其他"),'第 3 天'!J80,0),IF(OR('第 3 天'!L$5="停車費",'第 3 天'!L$5="其他"),'第 3 天'!L80,0),IF(OR('第 3 天'!N$5="停車費",'第 3 天'!N$5="其他"),'第 3 天'!N80,0),IF(OR('第 3 天'!P$5="停車費",'第 3 天'!P$5="其他"),'第 3 天'!P80,0))</f>
        <v>0</v>
      </c>
      <c r="G90" s="14" t="n">
        <f aca="false">SUM(C90:F90)</f>
        <v>0</v>
      </c>
      <c r="H90" s="14" t="n">
        <f aca="false">IF(LEN(TRIM(成員名單!$B33))=0,0,SUM(IF('第 3 天'!D$7=$B90,'第 3 天'!D46,0),IF('第 3 天'!F$7=$B90,'第 3 天'!F46,0),IF('第 3 天'!H$7=$B90,'第 3 天'!H46,0),IF('第 3 天'!J$7=$B90,'第 3 天'!J46,0),IF('第 3 天'!L$7=$B90,'第 3 天'!L46,0),IF('第 3 天'!N$7=$B90,'第 3 天'!N46,0),IF('第 3 天'!P$7=$B90,'第 3 天'!P46,0)))</f>
        <v>0</v>
      </c>
    </row>
    <row r="91" customFormat="false" ht="15" hidden="false" customHeight="false" outlineLevel="0" collapsed="false">
      <c r="A91" s="13" t="s">
        <v>98</v>
      </c>
      <c r="B91" s="13" t="s">
        <v>47</v>
      </c>
      <c r="C91" s="14" t="n">
        <f aca="false">SUM(IF(OR('第 3 天'!D$5="早餐",'第 3 天'!D$5="午餐",'第 3 天'!D$5="晚餐"),'第 3 天'!D81,0),IF(OR('第 3 天'!F$5="早餐",'第 3 天'!F$5="午餐",'第 3 天'!F$5="晚餐"),'第 3 天'!F81,0),IF(OR('第 3 天'!H$5="早餐",'第 3 天'!H$5="午餐",'第 3 天'!H$5="晚餐"),'第 3 天'!H81,0),IF(OR('第 3 天'!J$5="早餐",'第 3 天'!J$5="午餐",'第 3 天'!J$5="晚餐"),'第 3 天'!J81,0),IF(OR('第 3 天'!L$5="早餐",'第 3 天'!L$5="午餐",'第 3 天'!L$5="晚餐"),'第 3 天'!L81,0),IF(OR('第 3 天'!N$5="早餐",'第 3 天'!N$5="午餐",'第 3 天'!N$5="晚餐"),'第 3 天'!N81,0),IF(OR('第 3 天'!P$5="早餐",'第 3 天'!P$5="午餐",'第 3 天'!P$5="晚餐"),'第 3 天'!P81,0))</f>
        <v>0</v>
      </c>
      <c r="D91" s="14" t="n">
        <f aca="false">SUM(IF(OR('第 3 天'!D$5="油錢"),'第 3 天'!D81,0),IF(OR('第 3 天'!F$5="油錢"),'第 3 天'!F81,0),IF(OR('第 3 天'!H$5="油錢"),'第 3 天'!H81,0),IF(OR('第 3 天'!J$5="油錢"),'第 3 天'!J81,0),IF(OR('第 3 天'!L$5="油錢"),'第 3 天'!L81,0),IF(OR('第 3 天'!N$5="油錢"),'第 3 天'!N81,0),IF(OR('第 3 天'!P$5="油錢"),'第 3 天'!P81,0))</f>
        <v>0</v>
      </c>
      <c r="E91" s="14" t="n">
        <f aca="false">SUM(IF(OR('第 3 天'!D$5="租車費"),'第 3 天'!D81,0),IF(OR('第 3 天'!F$5="租車費"),'第 3 天'!F81,0),IF(OR('第 3 天'!H$5="租車費"),'第 3 天'!H81,0),IF(OR('第 3 天'!J$5="租車費"),'第 3 天'!J81,0),IF(OR('第 3 天'!L$5="租車費"),'第 3 天'!L81,0),IF(OR('第 3 天'!N$5="租車費"),'第 3 天'!N81,0),IF(OR('第 3 天'!P$5="租車費"),'第 3 天'!P81,0))</f>
        <v>0</v>
      </c>
      <c r="F91" s="14" t="n">
        <f aca="false">SUM(IF(OR('第 3 天'!D$5="停車費",'第 3 天'!D$5="其他"),'第 3 天'!D81,0),IF(OR('第 3 天'!F$5="停車費",'第 3 天'!F$5="其他"),'第 3 天'!F81,0),IF(OR('第 3 天'!H$5="停車費",'第 3 天'!H$5="其他"),'第 3 天'!H81,0),IF(OR('第 3 天'!J$5="停車費",'第 3 天'!J$5="其他"),'第 3 天'!J81,0),IF(OR('第 3 天'!L$5="停車費",'第 3 天'!L$5="其他"),'第 3 天'!L81,0),IF(OR('第 3 天'!N$5="停車費",'第 3 天'!N$5="其他"),'第 3 天'!N81,0),IF(OR('第 3 天'!P$5="停車費",'第 3 天'!P$5="其他"),'第 3 天'!P81,0))</f>
        <v>0</v>
      </c>
      <c r="G91" s="14" t="n">
        <f aca="false">SUM(C91:F91)</f>
        <v>0</v>
      </c>
      <c r="H91" s="14" t="n">
        <f aca="false">IF(LEN(TRIM(成員名單!$B34))=0,0,SUM(IF('第 3 天'!D$7=$B91,'第 3 天'!D46,0),IF('第 3 天'!F$7=$B91,'第 3 天'!F46,0),IF('第 3 天'!H$7=$B91,'第 3 天'!H46,0),IF('第 3 天'!J$7=$B91,'第 3 天'!J46,0),IF('第 3 天'!L$7=$B91,'第 3 天'!L46,0),IF('第 3 天'!N$7=$B91,'第 3 天'!N46,0),IF('第 3 天'!P$7=$B91,'第 3 天'!P46,0)))</f>
        <v>0</v>
      </c>
    </row>
    <row r="92" customFormat="false" ht="15" hidden="false" customHeight="false" outlineLevel="0" collapsed="false">
      <c r="A92" s="13" t="s">
        <v>107</v>
      </c>
      <c r="B92" s="13" t="s">
        <v>18</v>
      </c>
      <c r="C92" s="14" t="n">
        <f aca="false">SUM(IF(OR('第 4 天'!D$5="早餐",'第 4 天'!D$5="午餐",'第 4 天'!D$5="晚餐"),'第 4 天'!D52,0),IF(OR('第 4 天'!F$5="早餐",'第 4 天'!F$5="午餐",'第 4 天'!F$5="晚餐"),'第 4 天'!F52,0),IF(OR('第 4 天'!H$5="早餐",'第 4 天'!H$5="午餐",'第 4 天'!H$5="晚餐"),'第 4 天'!H52,0),IF(OR('第 4 天'!J$5="早餐",'第 4 天'!J$5="午餐",'第 4 天'!J$5="晚餐"),'第 4 天'!J52,0),IF(OR('第 4 天'!L$5="早餐",'第 4 天'!L$5="午餐",'第 4 天'!L$5="晚餐"),'第 4 天'!L52,0),IF(OR('第 4 天'!N$5="早餐",'第 4 天'!N$5="午餐",'第 4 天'!N$5="晚餐"),'第 4 天'!N52,0),IF(OR('第 4 天'!P$5="早餐",'第 4 天'!P$5="午餐",'第 4 天'!P$5="晚餐"),'第 4 天'!P52,0))</f>
        <v>0</v>
      </c>
      <c r="D92" s="14" t="n">
        <f aca="false">SUM(IF(OR('第 4 天'!D$5="油錢"),'第 4 天'!D52,0),IF(OR('第 4 天'!F$5="油錢"),'第 4 天'!F52,0),IF(OR('第 4 天'!H$5="油錢"),'第 4 天'!H52,0),IF(OR('第 4 天'!J$5="油錢"),'第 4 天'!J52,0),IF(OR('第 4 天'!L$5="油錢"),'第 4 天'!L52,0),IF(OR('第 4 天'!N$5="油錢"),'第 4 天'!N52,0),IF(OR('第 4 天'!P$5="油錢"),'第 4 天'!P52,0))</f>
        <v>0</v>
      </c>
      <c r="E92" s="14" t="n">
        <f aca="false">SUM(IF(OR('第 4 天'!D$5="租車費"),'第 4 天'!D52,0),IF(OR('第 4 天'!F$5="租車費"),'第 4 天'!F52,0),IF(OR('第 4 天'!H$5="租車費"),'第 4 天'!H52,0),IF(OR('第 4 天'!J$5="租車費"),'第 4 天'!J52,0),IF(OR('第 4 天'!L$5="租車費"),'第 4 天'!L52,0),IF(OR('第 4 天'!N$5="租車費"),'第 4 天'!N52,0),IF(OR('第 4 天'!P$5="租車費"),'第 4 天'!P52,0))</f>
        <v>0</v>
      </c>
      <c r="F92" s="14" t="n">
        <f aca="false">SUM(IF(OR('第 4 天'!D$5="停車費",'第 4 天'!D$5="其他"),'第 4 天'!D52,0),IF(OR('第 4 天'!F$5="停車費",'第 4 天'!F$5="其他"),'第 4 天'!F52,0),IF(OR('第 4 天'!H$5="停車費",'第 4 天'!H$5="其他"),'第 4 天'!H52,0),IF(OR('第 4 天'!J$5="停車費",'第 4 天'!J$5="其他"),'第 4 天'!J52,0),IF(OR('第 4 天'!L$5="停車費",'第 4 天'!L$5="其他"),'第 4 天'!L52,0),IF(OR('第 4 天'!N$5="停車費",'第 4 天'!N$5="其他"),'第 4 天'!N52,0),IF(OR('第 4 天'!P$5="停車費",'第 4 天'!P$5="其他"),'第 4 天'!P52,0))</f>
        <v>0</v>
      </c>
      <c r="G92" s="14" t="n">
        <f aca="false">SUM(C92:F92)</f>
        <v>0</v>
      </c>
      <c r="H92" s="14" t="n">
        <f aca="false">IF(LEN(TRIM(成員名單!$B5))=0,0,SUM(IF('第 4 天'!D$7=$B92,'第 4 天'!D46,0),IF('第 4 天'!F$7=$B92,'第 4 天'!F46,0),IF('第 4 天'!H$7=$B92,'第 4 天'!H46,0),IF('第 4 天'!J$7=$B92,'第 4 天'!J46,0),IF('第 4 天'!L$7=$B92,'第 4 天'!L46,0),IF('第 4 天'!N$7=$B92,'第 4 天'!N46,0),IF('第 4 天'!P$7=$B92,'第 4 天'!P46,0)))</f>
        <v>0</v>
      </c>
    </row>
    <row r="93" customFormat="false" ht="15" hidden="false" customHeight="false" outlineLevel="0" collapsed="false">
      <c r="A93" s="13" t="s">
        <v>107</v>
      </c>
      <c r="B93" s="13" t="s">
        <v>19</v>
      </c>
      <c r="C93" s="14" t="n">
        <f aca="false">SUM(IF(OR('第 4 天'!D$5="早餐",'第 4 天'!D$5="午餐",'第 4 天'!D$5="晚餐"),'第 4 天'!D53,0),IF(OR('第 4 天'!F$5="早餐",'第 4 天'!F$5="午餐",'第 4 天'!F$5="晚餐"),'第 4 天'!F53,0),IF(OR('第 4 天'!H$5="早餐",'第 4 天'!H$5="午餐",'第 4 天'!H$5="晚餐"),'第 4 天'!H53,0),IF(OR('第 4 天'!J$5="早餐",'第 4 天'!J$5="午餐",'第 4 天'!J$5="晚餐"),'第 4 天'!J53,0),IF(OR('第 4 天'!L$5="早餐",'第 4 天'!L$5="午餐",'第 4 天'!L$5="晚餐"),'第 4 天'!L53,0),IF(OR('第 4 天'!N$5="早餐",'第 4 天'!N$5="午餐",'第 4 天'!N$5="晚餐"),'第 4 天'!N53,0),IF(OR('第 4 天'!P$5="早餐",'第 4 天'!P$5="午餐",'第 4 天'!P$5="晚餐"),'第 4 天'!P53,0))</f>
        <v>0</v>
      </c>
      <c r="D93" s="14" t="n">
        <f aca="false">SUM(IF(OR('第 4 天'!D$5="油錢"),'第 4 天'!D53,0),IF(OR('第 4 天'!F$5="油錢"),'第 4 天'!F53,0),IF(OR('第 4 天'!H$5="油錢"),'第 4 天'!H53,0),IF(OR('第 4 天'!J$5="油錢"),'第 4 天'!J53,0),IF(OR('第 4 天'!L$5="油錢"),'第 4 天'!L53,0),IF(OR('第 4 天'!N$5="油錢"),'第 4 天'!N53,0),IF(OR('第 4 天'!P$5="油錢"),'第 4 天'!P53,0))</f>
        <v>0</v>
      </c>
      <c r="E93" s="14" t="n">
        <f aca="false">SUM(IF(OR('第 4 天'!D$5="租車費"),'第 4 天'!D53,0),IF(OR('第 4 天'!F$5="租車費"),'第 4 天'!F53,0),IF(OR('第 4 天'!H$5="租車費"),'第 4 天'!H53,0),IF(OR('第 4 天'!J$5="租車費"),'第 4 天'!J53,0),IF(OR('第 4 天'!L$5="租車費"),'第 4 天'!L53,0),IF(OR('第 4 天'!N$5="租車費"),'第 4 天'!N53,0),IF(OR('第 4 天'!P$5="租車費"),'第 4 天'!P53,0))</f>
        <v>0</v>
      </c>
      <c r="F93" s="14" t="n">
        <f aca="false">SUM(IF(OR('第 4 天'!D$5="停車費",'第 4 天'!D$5="其他"),'第 4 天'!D53,0),IF(OR('第 4 天'!F$5="停車費",'第 4 天'!F$5="其他"),'第 4 天'!F53,0),IF(OR('第 4 天'!H$5="停車費",'第 4 天'!H$5="其他"),'第 4 天'!H53,0),IF(OR('第 4 天'!J$5="停車費",'第 4 天'!J$5="其他"),'第 4 天'!J53,0),IF(OR('第 4 天'!L$5="停車費",'第 4 天'!L$5="其他"),'第 4 天'!L53,0),IF(OR('第 4 天'!N$5="停車費",'第 4 天'!N$5="其他"),'第 4 天'!N53,0),IF(OR('第 4 天'!P$5="停車費",'第 4 天'!P$5="其他"),'第 4 天'!P53,0))</f>
        <v>0</v>
      </c>
      <c r="G93" s="14" t="n">
        <f aca="false">SUM(C93:F93)</f>
        <v>0</v>
      </c>
      <c r="H93" s="14" t="n">
        <f aca="false">IF(LEN(TRIM(成員名單!$B6))=0,0,SUM(IF('第 4 天'!D$7=$B93,'第 4 天'!D46,0),IF('第 4 天'!F$7=$B93,'第 4 天'!F46,0),IF('第 4 天'!H$7=$B93,'第 4 天'!H46,0),IF('第 4 天'!J$7=$B93,'第 4 天'!J46,0),IF('第 4 天'!L$7=$B93,'第 4 天'!L46,0),IF('第 4 天'!N$7=$B93,'第 4 天'!N46,0),IF('第 4 天'!P$7=$B93,'第 4 天'!P46,0)))</f>
        <v>0</v>
      </c>
    </row>
    <row r="94" customFormat="false" ht="15" hidden="false" customHeight="false" outlineLevel="0" collapsed="false">
      <c r="A94" s="13" t="s">
        <v>107</v>
      </c>
      <c r="B94" s="13" t="s">
        <v>20</v>
      </c>
      <c r="C94" s="14" t="n">
        <f aca="false">SUM(IF(OR('第 4 天'!D$5="早餐",'第 4 天'!D$5="午餐",'第 4 天'!D$5="晚餐"),'第 4 天'!D54,0),IF(OR('第 4 天'!F$5="早餐",'第 4 天'!F$5="午餐",'第 4 天'!F$5="晚餐"),'第 4 天'!F54,0),IF(OR('第 4 天'!H$5="早餐",'第 4 天'!H$5="午餐",'第 4 天'!H$5="晚餐"),'第 4 天'!H54,0),IF(OR('第 4 天'!J$5="早餐",'第 4 天'!J$5="午餐",'第 4 天'!J$5="晚餐"),'第 4 天'!J54,0),IF(OR('第 4 天'!L$5="早餐",'第 4 天'!L$5="午餐",'第 4 天'!L$5="晚餐"),'第 4 天'!L54,0),IF(OR('第 4 天'!N$5="早餐",'第 4 天'!N$5="午餐",'第 4 天'!N$5="晚餐"),'第 4 天'!N54,0),IF(OR('第 4 天'!P$5="早餐",'第 4 天'!P$5="午餐",'第 4 天'!P$5="晚餐"),'第 4 天'!P54,0))</f>
        <v>0</v>
      </c>
      <c r="D94" s="14" t="n">
        <f aca="false">SUM(IF(OR('第 4 天'!D$5="油錢"),'第 4 天'!D54,0),IF(OR('第 4 天'!F$5="油錢"),'第 4 天'!F54,0),IF(OR('第 4 天'!H$5="油錢"),'第 4 天'!H54,0),IF(OR('第 4 天'!J$5="油錢"),'第 4 天'!J54,0),IF(OR('第 4 天'!L$5="油錢"),'第 4 天'!L54,0),IF(OR('第 4 天'!N$5="油錢"),'第 4 天'!N54,0),IF(OR('第 4 天'!P$5="油錢"),'第 4 天'!P54,0))</f>
        <v>0</v>
      </c>
      <c r="E94" s="14" t="n">
        <f aca="false">SUM(IF(OR('第 4 天'!D$5="租車費"),'第 4 天'!D54,0),IF(OR('第 4 天'!F$5="租車費"),'第 4 天'!F54,0),IF(OR('第 4 天'!H$5="租車費"),'第 4 天'!H54,0),IF(OR('第 4 天'!J$5="租車費"),'第 4 天'!J54,0),IF(OR('第 4 天'!L$5="租車費"),'第 4 天'!L54,0),IF(OR('第 4 天'!N$5="租車費"),'第 4 天'!N54,0),IF(OR('第 4 天'!P$5="租車費"),'第 4 天'!P54,0))</f>
        <v>0</v>
      </c>
      <c r="F94" s="14" t="n">
        <f aca="false">SUM(IF(OR('第 4 天'!D$5="停車費",'第 4 天'!D$5="其他"),'第 4 天'!D54,0),IF(OR('第 4 天'!F$5="停車費",'第 4 天'!F$5="其他"),'第 4 天'!F54,0),IF(OR('第 4 天'!H$5="停車費",'第 4 天'!H$5="其他"),'第 4 天'!H54,0),IF(OR('第 4 天'!J$5="停車費",'第 4 天'!J$5="其他"),'第 4 天'!J54,0),IF(OR('第 4 天'!L$5="停車費",'第 4 天'!L$5="其他"),'第 4 天'!L54,0),IF(OR('第 4 天'!N$5="停車費",'第 4 天'!N$5="其他"),'第 4 天'!N54,0),IF(OR('第 4 天'!P$5="停車費",'第 4 天'!P$5="其他"),'第 4 天'!P54,0))</f>
        <v>0</v>
      </c>
      <c r="G94" s="14" t="n">
        <f aca="false">SUM(C94:F94)</f>
        <v>0</v>
      </c>
      <c r="H94" s="14" t="n">
        <f aca="false">IF(LEN(TRIM(成員名單!$B7))=0,0,SUM(IF('第 4 天'!D$7=$B94,'第 4 天'!D46,0),IF('第 4 天'!F$7=$B94,'第 4 天'!F46,0),IF('第 4 天'!H$7=$B94,'第 4 天'!H46,0),IF('第 4 天'!J$7=$B94,'第 4 天'!J46,0),IF('第 4 天'!L$7=$B94,'第 4 天'!L46,0),IF('第 4 天'!N$7=$B94,'第 4 天'!N46,0),IF('第 4 天'!P$7=$B94,'第 4 天'!P46,0)))</f>
        <v>0</v>
      </c>
    </row>
    <row r="95" customFormat="false" ht="15" hidden="false" customHeight="false" outlineLevel="0" collapsed="false">
      <c r="A95" s="13" t="s">
        <v>107</v>
      </c>
      <c r="B95" s="13" t="s">
        <v>21</v>
      </c>
      <c r="C95" s="14" t="n">
        <f aca="false">SUM(IF(OR('第 4 天'!D$5="早餐",'第 4 天'!D$5="午餐",'第 4 天'!D$5="晚餐"),'第 4 天'!D55,0),IF(OR('第 4 天'!F$5="早餐",'第 4 天'!F$5="午餐",'第 4 天'!F$5="晚餐"),'第 4 天'!F55,0),IF(OR('第 4 天'!H$5="早餐",'第 4 天'!H$5="午餐",'第 4 天'!H$5="晚餐"),'第 4 天'!H55,0),IF(OR('第 4 天'!J$5="早餐",'第 4 天'!J$5="午餐",'第 4 天'!J$5="晚餐"),'第 4 天'!J55,0),IF(OR('第 4 天'!L$5="早餐",'第 4 天'!L$5="午餐",'第 4 天'!L$5="晚餐"),'第 4 天'!L55,0),IF(OR('第 4 天'!N$5="早餐",'第 4 天'!N$5="午餐",'第 4 天'!N$5="晚餐"),'第 4 天'!N55,0),IF(OR('第 4 天'!P$5="早餐",'第 4 天'!P$5="午餐",'第 4 天'!P$5="晚餐"),'第 4 天'!P55,0))</f>
        <v>0</v>
      </c>
      <c r="D95" s="14" t="n">
        <f aca="false">SUM(IF(OR('第 4 天'!D$5="油錢"),'第 4 天'!D55,0),IF(OR('第 4 天'!F$5="油錢"),'第 4 天'!F55,0),IF(OR('第 4 天'!H$5="油錢"),'第 4 天'!H55,0),IF(OR('第 4 天'!J$5="油錢"),'第 4 天'!J55,0),IF(OR('第 4 天'!L$5="油錢"),'第 4 天'!L55,0),IF(OR('第 4 天'!N$5="油錢"),'第 4 天'!N55,0),IF(OR('第 4 天'!P$5="油錢"),'第 4 天'!P55,0))</f>
        <v>0</v>
      </c>
      <c r="E95" s="14" t="n">
        <f aca="false">SUM(IF(OR('第 4 天'!D$5="租車費"),'第 4 天'!D55,0),IF(OR('第 4 天'!F$5="租車費"),'第 4 天'!F55,0),IF(OR('第 4 天'!H$5="租車費"),'第 4 天'!H55,0),IF(OR('第 4 天'!J$5="租車費"),'第 4 天'!J55,0),IF(OR('第 4 天'!L$5="租車費"),'第 4 天'!L55,0),IF(OR('第 4 天'!N$5="租車費"),'第 4 天'!N55,0),IF(OR('第 4 天'!P$5="租車費"),'第 4 天'!P55,0))</f>
        <v>0</v>
      </c>
      <c r="F95" s="14" t="n">
        <f aca="false">SUM(IF(OR('第 4 天'!D$5="停車費",'第 4 天'!D$5="其他"),'第 4 天'!D55,0),IF(OR('第 4 天'!F$5="停車費",'第 4 天'!F$5="其他"),'第 4 天'!F55,0),IF(OR('第 4 天'!H$5="停車費",'第 4 天'!H$5="其他"),'第 4 天'!H55,0),IF(OR('第 4 天'!J$5="停車費",'第 4 天'!J$5="其他"),'第 4 天'!J55,0),IF(OR('第 4 天'!L$5="停車費",'第 4 天'!L$5="其他"),'第 4 天'!L55,0),IF(OR('第 4 天'!N$5="停車費",'第 4 天'!N$5="其他"),'第 4 天'!N55,0),IF(OR('第 4 天'!P$5="停車費",'第 4 天'!P$5="其他"),'第 4 天'!P55,0))</f>
        <v>0</v>
      </c>
      <c r="G95" s="14" t="n">
        <f aca="false">SUM(C95:F95)</f>
        <v>0</v>
      </c>
      <c r="H95" s="14" t="n">
        <f aca="false">IF(LEN(TRIM(成員名單!$B8))=0,0,SUM(IF('第 4 天'!D$7=$B95,'第 4 天'!D46,0),IF('第 4 天'!F$7=$B95,'第 4 天'!F46,0),IF('第 4 天'!H$7=$B95,'第 4 天'!H46,0),IF('第 4 天'!J$7=$B95,'第 4 天'!J46,0),IF('第 4 天'!L$7=$B95,'第 4 天'!L46,0),IF('第 4 天'!N$7=$B95,'第 4 天'!N46,0),IF('第 4 天'!P$7=$B95,'第 4 天'!P46,0)))</f>
        <v>0</v>
      </c>
    </row>
    <row r="96" customFormat="false" ht="15" hidden="false" customHeight="false" outlineLevel="0" collapsed="false">
      <c r="A96" s="13" t="s">
        <v>107</v>
      </c>
      <c r="B96" s="13" t="s">
        <v>22</v>
      </c>
      <c r="C96" s="14" t="n">
        <f aca="false">SUM(IF(OR('第 4 天'!D$5="早餐",'第 4 天'!D$5="午餐",'第 4 天'!D$5="晚餐"),'第 4 天'!D56,0),IF(OR('第 4 天'!F$5="早餐",'第 4 天'!F$5="午餐",'第 4 天'!F$5="晚餐"),'第 4 天'!F56,0),IF(OR('第 4 天'!H$5="早餐",'第 4 天'!H$5="午餐",'第 4 天'!H$5="晚餐"),'第 4 天'!H56,0),IF(OR('第 4 天'!J$5="早餐",'第 4 天'!J$5="午餐",'第 4 天'!J$5="晚餐"),'第 4 天'!J56,0),IF(OR('第 4 天'!L$5="早餐",'第 4 天'!L$5="午餐",'第 4 天'!L$5="晚餐"),'第 4 天'!L56,0),IF(OR('第 4 天'!N$5="早餐",'第 4 天'!N$5="午餐",'第 4 天'!N$5="晚餐"),'第 4 天'!N56,0),IF(OR('第 4 天'!P$5="早餐",'第 4 天'!P$5="午餐",'第 4 天'!P$5="晚餐"),'第 4 天'!P56,0))</f>
        <v>0</v>
      </c>
      <c r="D96" s="14" t="n">
        <f aca="false">SUM(IF(OR('第 4 天'!D$5="油錢"),'第 4 天'!D56,0),IF(OR('第 4 天'!F$5="油錢"),'第 4 天'!F56,0),IF(OR('第 4 天'!H$5="油錢"),'第 4 天'!H56,0),IF(OR('第 4 天'!J$5="油錢"),'第 4 天'!J56,0),IF(OR('第 4 天'!L$5="油錢"),'第 4 天'!L56,0),IF(OR('第 4 天'!N$5="油錢"),'第 4 天'!N56,0),IF(OR('第 4 天'!P$5="油錢"),'第 4 天'!P56,0))</f>
        <v>0</v>
      </c>
      <c r="E96" s="14" t="n">
        <f aca="false">SUM(IF(OR('第 4 天'!D$5="租車費"),'第 4 天'!D56,0),IF(OR('第 4 天'!F$5="租車費"),'第 4 天'!F56,0),IF(OR('第 4 天'!H$5="租車費"),'第 4 天'!H56,0),IF(OR('第 4 天'!J$5="租車費"),'第 4 天'!J56,0),IF(OR('第 4 天'!L$5="租車費"),'第 4 天'!L56,0),IF(OR('第 4 天'!N$5="租車費"),'第 4 天'!N56,0),IF(OR('第 4 天'!P$5="租車費"),'第 4 天'!P56,0))</f>
        <v>0</v>
      </c>
      <c r="F96" s="14" t="n">
        <f aca="false">SUM(IF(OR('第 4 天'!D$5="停車費",'第 4 天'!D$5="其他"),'第 4 天'!D56,0),IF(OR('第 4 天'!F$5="停車費",'第 4 天'!F$5="其他"),'第 4 天'!F56,0),IF(OR('第 4 天'!H$5="停車費",'第 4 天'!H$5="其他"),'第 4 天'!H56,0),IF(OR('第 4 天'!J$5="停車費",'第 4 天'!J$5="其他"),'第 4 天'!J56,0),IF(OR('第 4 天'!L$5="停車費",'第 4 天'!L$5="其他"),'第 4 天'!L56,0),IF(OR('第 4 天'!N$5="停車費",'第 4 天'!N$5="其他"),'第 4 天'!N56,0),IF(OR('第 4 天'!P$5="停車費",'第 4 天'!P$5="其他"),'第 4 天'!P56,0))</f>
        <v>0</v>
      </c>
      <c r="G96" s="14" t="n">
        <f aca="false">SUM(C96:F96)</f>
        <v>0</v>
      </c>
      <c r="H96" s="14" t="n">
        <f aca="false">IF(LEN(TRIM(成員名單!$B9))=0,0,SUM(IF('第 4 天'!D$7=$B96,'第 4 天'!D46,0),IF('第 4 天'!F$7=$B96,'第 4 天'!F46,0),IF('第 4 天'!H$7=$B96,'第 4 天'!H46,0),IF('第 4 天'!J$7=$B96,'第 4 天'!J46,0),IF('第 4 天'!L$7=$B96,'第 4 天'!L46,0),IF('第 4 天'!N$7=$B96,'第 4 天'!N46,0),IF('第 4 天'!P$7=$B96,'第 4 天'!P46,0)))</f>
        <v>0</v>
      </c>
    </row>
    <row r="97" customFormat="false" ht="15" hidden="false" customHeight="false" outlineLevel="0" collapsed="false">
      <c r="A97" s="13" t="s">
        <v>107</v>
      </c>
      <c r="B97" s="13" t="s">
        <v>23</v>
      </c>
      <c r="C97" s="14" t="n">
        <f aca="false">SUM(IF(OR('第 4 天'!D$5="早餐",'第 4 天'!D$5="午餐",'第 4 天'!D$5="晚餐"),'第 4 天'!D57,0),IF(OR('第 4 天'!F$5="早餐",'第 4 天'!F$5="午餐",'第 4 天'!F$5="晚餐"),'第 4 天'!F57,0),IF(OR('第 4 天'!H$5="早餐",'第 4 天'!H$5="午餐",'第 4 天'!H$5="晚餐"),'第 4 天'!H57,0),IF(OR('第 4 天'!J$5="早餐",'第 4 天'!J$5="午餐",'第 4 天'!J$5="晚餐"),'第 4 天'!J57,0),IF(OR('第 4 天'!L$5="早餐",'第 4 天'!L$5="午餐",'第 4 天'!L$5="晚餐"),'第 4 天'!L57,0),IF(OR('第 4 天'!N$5="早餐",'第 4 天'!N$5="午餐",'第 4 天'!N$5="晚餐"),'第 4 天'!N57,0),IF(OR('第 4 天'!P$5="早餐",'第 4 天'!P$5="午餐",'第 4 天'!P$5="晚餐"),'第 4 天'!P57,0))</f>
        <v>0</v>
      </c>
      <c r="D97" s="14" t="n">
        <f aca="false">SUM(IF(OR('第 4 天'!D$5="油錢"),'第 4 天'!D57,0),IF(OR('第 4 天'!F$5="油錢"),'第 4 天'!F57,0),IF(OR('第 4 天'!H$5="油錢"),'第 4 天'!H57,0),IF(OR('第 4 天'!J$5="油錢"),'第 4 天'!J57,0),IF(OR('第 4 天'!L$5="油錢"),'第 4 天'!L57,0),IF(OR('第 4 天'!N$5="油錢"),'第 4 天'!N57,0),IF(OR('第 4 天'!P$5="油錢"),'第 4 天'!P57,0))</f>
        <v>0</v>
      </c>
      <c r="E97" s="14" t="n">
        <f aca="false">SUM(IF(OR('第 4 天'!D$5="租車費"),'第 4 天'!D57,0),IF(OR('第 4 天'!F$5="租車費"),'第 4 天'!F57,0),IF(OR('第 4 天'!H$5="租車費"),'第 4 天'!H57,0),IF(OR('第 4 天'!J$5="租車費"),'第 4 天'!J57,0),IF(OR('第 4 天'!L$5="租車費"),'第 4 天'!L57,0),IF(OR('第 4 天'!N$5="租車費"),'第 4 天'!N57,0),IF(OR('第 4 天'!P$5="租車費"),'第 4 天'!P57,0))</f>
        <v>0</v>
      </c>
      <c r="F97" s="14" t="n">
        <f aca="false">SUM(IF(OR('第 4 天'!D$5="停車費",'第 4 天'!D$5="其他"),'第 4 天'!D57,0),IF(OR('第 4 天'!F$5="停車費",'第 4 天'!F$5="其他"),'第 4 天'!F57,0),IF(OR('第 4 天'!H$5="停車費",'第 4 天'!H$5="其他"),'第 4 天'!H57,0),IF(OR('第 4 天'!J$5="停車費",'第 4 天'!J$5="其他"),'第 4 天'!J57,0),IF(OR('第 4 天'!L$5="停車費",'第 4 天'!L$5="其他"),'第 4 天'!L57,0),IF(OR('第 4 天'!N$5="停車費",'第 4 天'!N$5="其他"),'第 4 天'!N57,0),IF(OR('第 4 天'!P$5="停車費",'第 4 天'!P$5="其他"),'第 4 天'!P57,0))</f>
        <v>0</v>
      </c>
      <c r="G97" s="14" t="n">
        <f aca="false">SUM(C97:F97)</f>
        <v>0</v>
      </c>
      <c r="H97" s="14" t="n">
        <f aca="false">IF(LEN(TRIM(成員名單!$B10))=0,0,SUM(IF('第 4 天'!D$7=$B97,'第 4 天'!D46,0),IF('第 4 天'!F$7=$B97,'第 4 天'!F46,0),IF('第 4 天'!H$7=$B97,'第 4 天'!H46,0),IF('第 4 天'!J$7=$B97,'第 4 天'!J46,0),IF('第 4 天'!L$7=$B97,'第 4 天'!L46,0),IF('第 4 天'!N$7=$B97,'第 4 天'!N46,0),IF('第 4 天'!P$7=$B97,'第 4 天'!P46,0)))</f>
        <v>0</v>
      </c>
    </row>
    <row r="98" customFormat="false" ht="15" hidden="false" customHeight="false" outlineLevel="0" collapsed="false">
      <c r="A98" s="13" t="s">
        <v>107</v>
      </c>
      <c r="B98" s="13" t="s">
        <v>24</v>
      </c>
      <c r="C98" s="14" t="n">
        <f aca="false">SUM(IF(OR('第 4 天'!D$5="早餐",'第 4 天'!D$5="午餐",'第 4 天'!D$5="晚餐"),'第 4 天'!D58,0),IF(OR('第 4 天'!F$5="早餐",'第 4 天'!F$5="午餐",'第 4 天'!F$5="晚餐"),'第 4 天'!F58,0),IF(OR('第 4 天'!H$5="早餐",'第 4 天'!H$5="午餐",'第 4 天'!H$5="晚餐"),'第 4 天'!H58,0),IF(OR('第 4 天'!J$5="早餐",'第 4 天'!J$5="午餐",'第 4 天'!J$5="晚餐"),'第 4 天'!J58,0),IF(OR('第 4 天'!L$5="早餐",'第 4 天'!L$5="午餐",'第 4 天'!L$5="晚餐"),'第 4 天'!L58,0),IF(OR('第 4 天'!N$5="早餐",'第 4 天'!N$5="午餐",'第 4 天'!N$5="晚餐"),'第 4 天'!N58,0),IF(OR('第 4 天'!P$5="早餐",'第 4 天'!P$5="午餐",'第 4 天'!P$5="晚餐"),'第 4 天'!P58,0))</f>
        <v>0</v>
      </c>
      <c r="D98" s="14" t="n">
        <f aca="false">SUM(IF(OR('第 4 天'!D$5="油錢"),'第 4 天'!D58,0),IF(OR('第 4 天'!F$5="油錢"),'第 4 天'!F58,0),IF(OR('第 4 天'!H$5="油錢"),'第 4 天'!H58,0),IF(OR('第 4 天'!J$5="油錢"),'第 4 天'!J58,0),IF(OR('第 4 天'!L$5="油錢"),'第 4 天'!L58,0),IF(OR('第 4 天'!N$5="油錢"),'第 4 天'!N58,0),IF(OR('第 4 天'!P$5="油錢"),'第 4 天'!P58,0))</f>
        <v>0</v>
      </c>
      <c r="E98" s="14" t="n">
        <f aca="false">SUM(IF(OR('第 4 天'!D$5="租車費"),'第 4 天'!D58,0),IF(OR('第 4 天'!F$5="租車費"),'第 4 天'!F58,0),IF(OR('第 4 天'!H$5="租車費"),'第 4 天'!H58,0),IF(OR('第 4 天'!J$5="租車費"),'第 4 天'!J58,0),IF(OR('第 4 天'!L$5="租車費"),'第 4 天'!L58,0),IF(OR('第 4 天'!N$5="租車費"),'第 4 天'!N58,0),IF(OR('第 4 天'!P$5="租車費"),'第 4 天'!P58,0))</f>
        <v>0</v>
      </c>
      <c r="F98" s="14" t="n">
        <f aca="false">SUM(IF(OR('第 4 天'!D$5="停車費",'第 4 天'!D$5="其他"),'第 4 天'!D58,0),IF(OR('第 4 天'!F$5="停車費",'第 4 天'!F$5="其他"),'第 4 天'!F58,0),IF(OR('第 4 天'!H$5="停車費",'第 4 天'!H$5="其他"),'第 4 天'!H58,0),IF(OR('第 4 天'!J$5="停車費",'第 4 天'!J$5="其他"),'第 4 天'!J58,0),IF(OR('第 4 天'!L$5="停車費",'第 4 天'!L$5="其他"),'第 4 天'!L58,0),IF(OR('第 4 天'!N$5="停車費",'第 4 天'!N$5="其他"),'第 4 天'!N58,0),IF(OR('第 4 天'!P$5="停車費",'第 4 天'!P$5="其他"),'第 4 天'!P58,0))</f>
        <v>0</v>
      </c>
      <c r="G98" s="14" t="n">
        <f aca="false">SUM(C98:F98)</f>
        <v>0</v>
      </c>
      <c r="H98" s="14" t="n">
        <f aca="false">IF(LEN(TRIM(成員名單!$B11))=0,0,SUM(IF('第 4 天'!D$7=$B98,'第 4 天'!D46,0),IF('第 4 天'!F$7=$B98,'第 4 天'!F46,0),IF('第 4 天'!H$7=$B98,'第 4 天'!H46,0),IF('第 4 天'!J$7=$B98,'第 4 天'!J46,0),IF('第 4 天'!L$7=$B98,'第 4 天'!L46,0),IF('第 4 天'!N$7=$B98,'第 4 天'!N46,0),IF('第 4 天'!P$7=$B98,'第 4 天'!P46,0)))</f>
        <v>0</v>
      </c>
    </row>
    <row r="99" customFormat="false" ht="15" hidden="false" customHeight="false" outlineLevel="0" collapsed="false">
      <c r="A99" s="13" t="s">
        <v>107</v>
      </c>
      <c r="B99" s="13" t="s">
        <v>25</v>
      </c>
      <c r="C99" s="14" t="n">
        <f aca="false">SUM(IF(OR('第 4 天'!D$5="早餐",'第 4 天'!D$5="午餐",'第 4 天'!D$5="晚餐"),'第 4 天'!D59,0),IF(OR('第 4 天'!F$5="早餐",'第 4 天'!F$5="午餐",'第 4 天'!F$5="晚餐"),'第 4 天'!F59,0),IF(OR('第 4 天'!H$5="早餐",'第 4 天'!H$5="午餐",'第 4 天'!H$5="晚餐"),'第 4 天'!H59,0),IF(OR('第 4 天'!J$5="早餐",'第 4 天'!J$5="午餐",'第 4 天'!J$5="晚餐"),'第 4 天'!J59,0),IF(OR('第 4 天'!L$5="早餐",'第 4 天'!L$5="午餐",'第 4 天'!L$5="晚餐"),'第 4 天'!L59,0),IF(OR('第 4 天'!N$5="早餐",'第 4 天'!N$5="午餐",'第 4 天'!N$5="晚餐"),'第 4 天'!N59,0),IF(OR('第 4 天'!P$5="早餐",'第 4 天'!P$5="午餐",'第 4 天'!P$5="晚餐"),'第 4 天'!P59,0))</f>
        <v>0</v>
      </c>
      <c r="D99" s="14" t="n">
        <f aca="false">SUM(IF(OR('第 4 天'!D$5="油錢"),'第 4 天'!D59,0),IF(OR('第 4 天'!F$5="油錢"),'第 4 天'!F59,0),IF(OR('第 4 天'!H$5="油錢"),'第 4 天'!H59,0),IF(OR('第 4 天'!J$5="油錢"),'第 4 天'!J59,0),IF(OR('第 4 天'!L$5="油錢"),'第 4 天'!L59,0),IF(OR('第 4 天'!N$5="油錢"),'第 4 天'!N59,0),IF(OR('第 4 天'!P$5="油錢"),'第 4 天'!P59,0))</f>
        <v>0</v>
      </c>
      <c r="E99" s="14" t="n">
        <f aca="false">SUM(IF(OR('第 4 天'!D$5="租車費"),'第 4 天'!D59,0),IF(OR('第 4 天'!F$5="租車費"),'第 4 天'!F59,0),IF(OR('第 4 天'!H$5="租車費"),'第 4 天'!H59,0),IF(OR('第 4 天'!J$5="租車費"),'第 4 天'!J59,0),IF(OR('第 4 天'!L$5="租車費"),'第 4 天'!L59,0),IF(OR('第 4 天'!N$5="租車費"),'第 4 天'!N59,0),IF(OR('第 4 天'!P$5="租車費"),'第 4 天'!P59,0))</f>
        <v>0</v>
      </c>
      <c r="F99" s="14" t="n">
        <f aca="false">SUM(IF(OR('第 4 天'!D$5="停車費",'第 4 天'!D$5="其他"),'第 4 天'!D59,0),IF(OR('第 4 天'!F$5="停車費",'第 4 天'!F$5="其他"),'第 4 天'!F59,0),IF(OR('第 4 天'!H$5="停車費",'第 4 天'!H$5="其他"),'第 4 天'!H59,0),IF(OR('第 4 天'!J$5="停車費",'第 4 天'!J$5="其他"),'第 4 天'!J59,0),IF(OR('第 4 天'!L$5="停車費",'第 4 天'!L$5="其他"),'第 4 天'!L59,0),IF(OR('第 4 天'!N$5="停車費",'第 4 天'!N$5="其他"),'第 4 天'!N59,0),IF(OR('第 4 天'!P$5="停車費",'第 4 天'!P$5="其他"),'第 4 天'!P59,0))</f>
        <v>0</v>
      </c>
      <c r="G99" s="14" t="n">
        <f aca="false">SUM(C99:F99)</f>
        <v>0</v>
      </c>
      <c r="H99" s="14" t="n">
        <f aca="false">IF(LEN(TRIM(成員名單!$B12))=0,0,SUM(IF('第 4 天'!D$7=$B99,'第 4 天'!D46,0),IF('第 4 天'!F$7=$B99,'第 4 天'!F46,0),IF('第 4 天'!H$7=$B99,'第 4 天'!H46,0),IF('第 4 天'!J$7=$B99,'第 4 天'!J46,0),IF('第 4 天'!L$7=$B99,'第 4 天'!L46,0),IF('第 4 天'!N$7=$B99,'第 4 天'!N46,0),IF('第 4 天'!P$7=$B99,'第 4 天'!P46,0)))</f>
        <v>0</v>
      </c>
    </row>
    <row r="100" customFormat="false" ht="15" hidden="false" customHeight="false" outlineLevel="0" collapsed="false">
      <c r="A100" s="13" t="s">
        <v>107</v>
      </c>
      <c r="B100" s="13" t="s">
        <v>26</v>
      </c>
      <c r="C100" s="14" t="n">
        <f aca="false">SUM(IF(OR('第 4 天'!D$5="早餐",'第 4 天'!D$5="午餐",'第 4 天'!D$5="晚餐"),'第 4 天'!D60,0),IF(OR('第 4 天'!F$5="早餐",'第 4 天'!F$5="午餐",'第 4 天'!F$5="晚餐"),'第 4 天'!F60,0),IF(OR('第 4 天'!H$5="早餐",'第 4 天'!H$5="午餐",'第 4 天'!H$5="晚餐"),'第 4 天'!H60,0),IF(OR('第 4 天'!J$5="早餐",'第 4 天'!J$5="午餐",'第 4 天'!J$5="晚餐"),'第 4 天'!J60,0),IF(OR('第 4 天'!L$5="早餐",'第 4 天'!L$5="午餐",'第 4 天'!L$5="晚餐"),'第 4 天'!L60,0),IF(OR('第 4 天'!N$5="早餐",'第 4 天'!N$5="午餐",'第 4 天'!N$5="晚餐"),'第 4 天'!N60,0),IF(OR('第 4 天'!P$5="早餐",'第 4 天'!P$5="午餐",'第 4 天'!P$5="晚餐"),'第 4 天'!P60,0))</f>
        <v>0</v>
      </c>
      <c r="D100" s="14" t="n">
        <f aca="false">SUM(IF(OR('第 4 天'!D$5="油錢"),'第 4 天'!D60,0),IF(OR('第 4 天'!F$5="油錢"),'第 4 天'!F60,0),IF(OR('第 4 天'!H$5="油錢"),'第 4 天'!H60,0),IF(OR('第 4 天'!J$5="油錢"),'第 4 天'!J60,0),IF(OR('第 4 天'!L$5="油錢"),'第 4 天'!L60,0),IF(OR('第 4 天'!N$5="油錢"),'第 4 天'!N60,0),IF(OR('第 4 天'!P$5="油錢"),'第 4 天'!P60,0))</f>
        <v>0</v>
      </c>
      <c r="E100" s="14" t="n">
        <f aca="false">SUM(IF(OR('第 4 天'!D$5="租車費"),'第 4 天'!D60,0),IF(OR('第 4 天'!F$5="租車費"),'第 4 天'!F60,0),IF(OR('第 4 天'!H$5="租車費"),'第 4 天'!H60,0),IF(OR('第 4 天'!J$5="租車費"),'第 4 天'!J60,0),IF(OR('第 4 天'!L$5="租車費"),'第 4 天'!L60,0),IF(OR('第 4 天'!N$5="租車費"),'第 4 天'!N60,0),IF(OR('第 4 天'!P$5="租車費"),'第 4 天'!P60,0))</f>
        <v>0</v>
      </c>
      <c r="F100" s="14" t="n">
        <f aca="false">SUM(IF(OR('第 4 天'!D$5="停車費",'第 4 天'!D$5="其他"),'第 4 天'!D60,0),IF(OR('第 4 天'!F$5="停車費",'第 4 天'!F$5="其他"),'第 4 天'!F60,0),IF(OR('第 4 天'!H$5="停車費",'第 4 天'!H$5="其他"),'第 4 天'!H60,0),IF(OR('第 4 天'!J$5="停車費",'第 4 天'!J$5="其他"),'第 4 天'!J60,0),IF(OR('第 4 天'!L$5="停車費",'第 4 天'!L$5="其他"),'第 4 天'!L60,0),IF(OR('第 4 天'!N$5="停車費",'第 4 天'!N$5="其他"),'第 4 天'!N60,0),IF(OR('第 4 天'!P$5="停車費",'第 4 天'!P$5="其他"),'第 4 天'!P60,0))</f>
        <v>0</v>
      </c>
      <c r="G100" s="14" t="n">
        <f aca="false">SUM(C100:F100)</f>
        <v>0</v>
      </c>
      <c r="H100" s="14" t="n">
        <f aca="false">IF(LEN(TRIM(成員名單!$B13))=0,0,SUM(IF('第 4 天'!D$7=$B100,'第 4 天'!D46,0),IF('第 4 天'!F$7=$B100,'第 4 天'!F46,0),IF('第 4 天'!H$7=$B100,'第 4 天'!H46,0),IF('第 4 天'!J$7=$B100,'第 4 天'!J46,0),IF('第 4 天'!L$7=$B100,'第 4 天'!L46,0),IF('第 4 天'!N$7=$B100,'第 4 天'!N46,0),IF('第 4 天'!P$7=$B100,'第 4 天'!P46,0)))</f>
        <v>0</v>
      </c>
    </row>
    <row r="101" customFormat="false" ht="15" hidden="false" customHeight="false" outlineLevel="0" collapsed="false">
      <c r="A101" s="13" t="s">
        <v>107</v>
      </c>
      <c r="B101" s="13" t="s">
        <v>27</v>
      </c>
      <c r="C101" s="14" t="n">
        <f aca="false">SUM(IF(OR('第 4 天'!D$5="早餐",'第 4 天'!D$5="午餐",'第 4 天'!D$5="晚餐"),'第 4 天'!D61,0),IF(OR('第 4 天'!F$5="早餐",'第 4 天'!F$5="午餐",'第 4 天'!F$5="晚餐"),'第 4 天'!F61,0),IF(OR('第 4 天'!H$5="早餐",'第 4 天'!H$5="午餐",'第 4 天'!H$5="晚餐"),'第 4 天'!H61,0),IF(OR('第 4 天'!J$5="早餐",'第 4 天'!J$5="午餐",'第 4 天'!J$5="晚餐"),'第 4 天'!J61,0),IF(OR('第 4 天'!L$5="早餐",'第 4 天'!L$5="午餐",'第 4 天'!L$5="晚餐"),'第 4 天'!L61,0),IF(OR('第 4 天'!N$5="早餐",'第 4 天'!N$5="午餐",'第 4 天'!N$5="晚餐"),'第 4 天'!N61,0),IF(OR('第 4 天'!P$5="早餐",'第 4 天'!P$5="午餐",'第 4 天'!P$5="晚餐"),'第 4 天'!P61,0))</f>
        <v>0</v>
      </c>
      <c r="D101" s="14" t="n">
        <f aca="false">SUM(IF(OR('第 4 天'!D$5="油錢"),'第 4 天'!D61,0),IF(OR('第 4 天'!F$5="油錢"),'第 4 天'!F61,0),IF(OR('第 4 天'!H$5="油錢"),'第 4 天'!H61,0),IF(OR('第 4 天'!J$5="油錢"),'第 4 天'!J61,0),IF(OR('第 4 天'!L$5="油錢"),'第 4 天'!L61,0),IF(OR('第 4 天'!N$5="油錢"),'第 4 天'!N61,0),IF(OR('第 4 天'!P$5="油錢"),'第 4 天'!P61,0))</f>
        <v>0</v>
      </c>
      <c r="E101" s="14" t="n">
        <f aca="false">SUM(IF(OR('第 4 天'!D$5="租車費"),'第 4 天'!D61,0),IF(OR('第 4 天'!F$5="租車費"),'第 4 天'!F61,0),IF(OR('第 4 天'!H$5="租車費"),'第 4 天'!H61,0),IF(OR('第 4 天'!J$5="租車費"),'第 4 天'!J61,0),IF(OR('第 4 天'!L$5="租車費"),'第 4 天'!L61,0),IF(OR('第 4 天'!N$5="租車費"),'第 4 天'!N61,0),IF(OR('第 4 天'!P$5="租車費"),'第 4 天'!P61,0))</f>
        <v>0</v>
      </c>
      <c r="F101" s="14" t="n">
        <f aca="false">SUM(IF(OR('第 4 天'!D$5="停車費",'第 4 天'!D$5="其他"),'第 4 天'!D61,0),IF(OR('第 4 天'!F$5="停車費",'第 4 天'!F$5="其他"),'第 4 天'!F61,0),IF(OR('第 4 天'!H$5="停車費",'第 4 天'!H$5="其他"),'第 4 天'!H61,0),IF(OR('第 4 天'!J$5="停車費",'第 4 天'!J$5="其他"),'第 4 天'!J61,0),IF(OR('第 4 天'!L$5="停車費",'第 4 天'!L$5="其他"),'第 4 天'!L61,0),IF(OR('第 4 天'!N$5="停車費",'第 4 天'!N$5="其他"),'第 4 天'!N61,0),IF(OR('第 4 天'!P$5="停車費",'第 4 天'!P$5="其他"),'第 4 天'!P61,0))</f>
        <v>0</v>
      </c>
      <c r="G101" s="14" t="n">
        <f aca="false">SUM(C101:F101)</f>
        <v>0</v>
      </c>
      <c r="H101" s="14" t="n">
        <f aca="false">IF(LEN(TRIM(成員名單!$B14))=0,0,SUM(IF('第 4 天'!D$7=$B101,'第 4 天'!D46,0),IF('第 4 天'!F$7=$B101,'第 4 天'!F46,0),IF('第 4 天'!H$7=$B101,'第 4 天'!H46,0),IF('第 4 天'!J$7=$B101,'第 4 天'!J46,0),IF('第 4 天'!L$7=$B101,'第 4 天'!L46,0),IF('第 4 天'!N$7=$B101,'第 4 天'!N46,0),IF('第 4 天'!P$7=$B101,'第 4 天'!P46,0)))</f>
        <v>0</v>
      </c>
    </row>
    <row r="102" customFormat="false" ht="15" hidden="false" customHeight="false" outlineLevel="0" collapsed="false">
      <c r="A102" s="13" t="s">
        <v>107</v>
      </c>
      <c r="B102" s="13" t="s">
        <v>28</v>
      </c>
      <c r="C102" s="14" t="n">
        <f aca="false">SUM(IF(OR('第 4 天'!D$5="早餐",'第 4 天'!D$5="午餐",'第 4 天'!D$5="晚餐"),'第 4 天'!D62,0),IF(OR('第 4 天'!F$5="早餐",'第 4 天'!F$5="午餐",'第 4 天'!F$5="晚餐"),'第 4 天'!F62,0),IF(OR('第 4 天'!H$5="早餐",'第 4 天'!H$5="午餐",'第 4 天'!H$5="晚餐"),'第 4 天'!H62,0),IF(OR('第 4 天'!J$5="早餐",'第 4 天'!J$5="午餐",'第 4 天'!J$5="晚餐"),'第 4 天'!J62,0),IF(OR('第 4 天'!L$5="早餐",'第 4 天'!L$5="午餐",'第 4 天'!L$5="晚餐"),'第 4 天'!L62,0),IF(OR('第 4 天'!N$5="早餐",'第 4 天'!N$5="午餐",'第 4 天'!N$5="晚餐"),'第 4 天'!N62,0),IF(OR('第 4 天'!P$5="早餐",'第 4 天'!P$5="午餐",'第 4 天'!P$5="晚餐"),'第 4 天'!P62,0))</f>
        <v>0</v>
      </c>
      <c r="D102" s="14" t="n">
        <f aca="false">SUM(IF(OR('第 4 天'!D$5="油錢"),'第 4 天'!D62,0),IF(OR('第 4 天'!F$5="油錢"),'第 4 天'!F62,0),IF(OR('第 4 天'!H$5="油錢"),'第 4 天'!H62,0),IF(OR('第 4 天'!J$5="油錢"),'第 4 天'!J62,0),IF(OR('第 4 天'!L$5="油錢"),'第 4 天'!L62,0),IF(OR('第 4 天'!N$5="油錢"),'第 4 天'!N62,0),IF(OR('第 4 天'!P$5="油錢"),'第 4 天'!P62,0))</f>
        <v>0</v>
      </c>
      <c r="E102" s="14" t="n">
        <f aca="false">SUM(IF(OR('第 4 天'!D$5="租車費"),'第 4 天'!D62,0),IF(OR('第 4 天'!F$5="租車費"),'第 4 天'!F62,0),IF(OR('第 4 天'!H$5="租車費"),'第 4 天'!H62,0),IF(OR('第 4 天'!J$5="租車費"),'第 4 天'!J62,0),IF(OR('第 4 天'!L$5="租車費"),'第 4 天'!L62,0),IF(OR('第 4 天'!N$5="租車費"),'第 4 天'!N62,0),IF(OR('第 4 天'!P$5="租車費"),'第 4 天'!P62,0))</f>
        <v>0</v>
      </c>
      <c r="F102" s="14" t="n">
        <f aca="false">SUM(IF(OR('第 4 天'!D$5="停車費",'第 4 天'!D$5="其他"),'第 4 天'!D62,0),IF(OR('第 4 天'!F$5="停車費",'第 4 天'!F$5="其他"),'第 4 天'!F62,0),IF(OR('第 4 天'!H$5="停車費",'第 4 天'!H$5="其他"),'第 4 天'!H62,0),IF(OR('第 4 天'!J$5="停車費",'第 4 天'!J$5="其他"),'第 4 天'!J62,0),IF(OR('第 4 天'!L$5="停車費",'第 4 天'!L$5="其他"),'第 4 天'!L62,0),IF(OR('第 4 天'!N$5="停車費",'第 4 天'!N$5="其他"),'第 4 天'!N62,0),IF(OR('第 4 天'!P$5="停車費",'第 4 天'!P$5="其他"),'第 4 天'!P62,0))</f>
        <v>0</v>
      </c>
      <c r="G102" s="14" t="n">
        <f aca="false">SUM(C102:F102)</f>
        <v>0</v>
      </c>
      <c r="H102" s="14" t="n">
        <f aca="false">IF(LEN(TRIM(成員名單!$B15))=0,0,SUM(IF('第 4 天'!D$7=$B102,'第 4 天'!D46,0),IF('第 4 天'!F$7=$B102,'第 4 天'!F46,0),IF('第 4 天'!H$7=$B102,'第 4 天'!H46,0),IF('第 4 天'!J$7=$B102,'第 4 天'!J46,0),IF('第 4 天'!L$7=$B102,'第 4 天'!L46,0),IF('第 4 天'!N$7=$B102,'第 4 天'!N46,0),IF('第 4 天'!P$7=$B102,'第 4 天'!P46,0)))</f>
        <v>0</v>
      </c>
    </row>
    <row r="103" customFormat="false" ht="15" hidden="false" customHeight="false" outlineLevel="0" collapsed="false">
      <c r="A103" s="13" t="s">
        <v>107</v>
      </c>
      <c r="B103" s="13" t="s">
        <v>29</v>
      </c>
      <c r="C103" s="14" t="n">
        <f aca="false">SUM(IF(OR('第 4 天'!D$5="早餐",'第 4 天'!D$5="午餐",'第 4 天'!D$5="晚餐"),'第 4 天'!D63,0),IF(OR('第 4 天'!F$5="早餐",'第 4 天'!F$5="午餐",'第 4 天'!F$5="晚餐"),'第 4 天'!F63,0),IF(OR('第 4 天'!H$5="早餐",'第 4 天'!H$5="午餐",'第 4 天'!H$5="晚餐"),'第 4 天'!H63,0),IF(OR('第 4 天'!J$5="早餐",'第 4 天'!J$5="午餐",'第 4 天'!J$5="晚餐"),'第 4 天'!J63,0),IF(OR('第 4 天'!L$5="早餐",'第 4 天'!L$5="午餐",'第 4 天'!L$5="晚餐"),'第 4 天'!L63,0),IF(OR('第 4 天'!N$5="早餐",'第 4 天'!N$5="午餐",'第 4 天'!N$5="晚餐"),'第 4 天'!N63,0),IF(OR('第 4 天'!P$5="早餐",'第 4 天'!P$5="午餐",'第 4 天'!P$5="晚餐"),'第 4 天'!P63,0))</f>
        <v>0</v>
      </c>
      <c r="D103" s="14" t="n">
        <f aca="false">SUM(IF(OR('第 4 天'!D$5="油錢"),'第 4 天'!D63,0),IF(OR('第 4 天'!F$5="油錢"),'第 4 天'!F63,0),IF(OR('第 4 天'!H$5="油錢"),'第 4 天'!H63,0),IF(OR('第 4 天'!J$5="油錢"),'第 4 天'!J63,0),IF(OR('第 4 天'!L$5="油錢"),'第 4 天'!L63,0),IF(OR('第 4 天'!N$5="油錢"),'第 4 天'!N63,0),IF(OR('第 4 天'!P$5="油錢"),'第 4 天'!P63,0))</f>
        <v>0</v>
      </c>
      <c r="E103" s="14" t="n">
        <f aca="false">SUM(IF(OR('第 4 天'!D$5="租車費"),'第 4 天'!D63,0),IF(OR('第 4 天'!F$5="租車費"),'第 4 天'!F63,0),IF(OR('第 4 天'!H$5="租車費"),'第 4 天'!H63,0),IF(OR('第 4 天'!J$5="租車費"),'第 4 天'!J63,0),IF(OR('第 4 天'!L$5="租車費"),'第 4 天'!L63,0),IF(OR('第 4 天'!N$5="租車費"),'第 4 天'!N63,0),IF(OR('第 4 天'!P$5="租車費"),'第 4 天'!P63,0))</f>
        <v>0</v>
      </c>
      <c r="F103" s="14" t="n">
        <f aca="false">SUM(IF(OR('第 4 天'!D$5="停車費",'第 4 天'!D$5="其他"),'第 4 天'!D63,0),IF(OR('第 4 天'!F$5="停車費",'第 4 天'!F$5="其他"),'第 4 天'!F63,0),IF(OR('第 4 天'!H$5="停車費",'第 4 天'!H$5="其他"),'第 4 天'!H63,0),IF(OR('第 4 天'!J$5="停車費",'第 4 天'!J$5="其他"),'第 4 天'!J63,0),IF(OR('第 4 天'!L$5="停車費",'第 4 天'!L$5="其他"),'第 4 天'!L63,0),IF(OR('第 4 天'!N$5="停車費",'第 4 天'!N$5="其他"),'第 4 天'!N63,0),IF(OR('第 4 天'!P$5="停車費",'第 4 天'!P$5="其他"),'第 4 天'!P63,0))</f>
        <v>0</v>
      </c>
      <c r="G103" s="14" t="n">
        <f aca="false">SUM(C103:F103)</f>
        <v>0</v>
      </c>
      <c r="H103" s="14" t="n">
        <f aca="false">IF(LEN(TRIM(成員名單!$B16))=0,0,SUM(IF('第 4 天'!D$7=$B103,'第 4 天'!D46,0),IF('第 4 天'!F$7=$B103,'第 4 天'!F46,0),IF('第 4 天'!H$7=$B103,'第 4 天'!H46,0),IF('第 4 天'!J$7=$B103,'第 4 天'!J46,0),IF('第 4 天'!L$7=$B103,'第 4 天'!L46,0),IF('第 4 天'!N$7=$B103,'第 4 天'!N46,0),IF('第 4 天'!P$7=$B103,'第 4 天'!P46,0)))</f>
        <v>0</v>
      </c>
    </row>
    <row r="104" customFormat="false" ht="15" hidden="false" customHeight="false" outlineLevel="0" collapsed="false">
      <c r="A104" s="13" t="s">
        <v>107</v>
      </c>
      <c r="B104" s="13" t="s">
        <v>30</v>
      </c>
      <c r="C104" s="14" t="n">
        <f aca="false">SUM(IF(OR('第 4 天'!D$5="早餐",'第 4 天'!D$5="午餐",'第 4 天'!D$5="晚餐"),'第 4 天'!D64,0),IF(OR('第 4 天'!F$5="早餐",'第 4 天'!F$5="午餐",'第 4 天'!F$5="晚餐"),'第 4 天'!F64,0),IF(OR('第 4 天'!H$5="早餐",'第 4 天'!H$5="午餐",'第 4 天'!H$5="晚餐"),'第 4 天'!H64,0),IF(OR('第 4 天'!J$5="早餐",'第 4 天'!J$5="午餐",'第 4 天'!J$5="晚餐"),'第 4 天'!J64,0),IF(OR('第 4 天'!L$5="早餐",'第 4 天'!L$5="午餐",'第 4 天'!L$5="晚餐"),'第 4 天'!L64,0),IF(OR('第 4 天'!N$5="早餐",'第 4 天'!N$5="午餐",'第 4 天'!N$5="晚餐"),'第 4 天'!N64,0),IF(OR('第 4 天'!P$5="早餐",'第 4 天'!P$5="午餐",'第 4 天'!P$5="晚餐"),'第 4 天'!P64,0))</f>
        <v>0</v>
      </c>
      <c r="D104" s="14" t="n">
        <f aca="false">SUM(IF(OR('第 4 天'!D$5="油錢"),'第 4 天'!D64,0),IF(OR('第 4 天'!F$5="油錢"),'第 4 天'!F64,0),IF(OR('第 4 天'!H$5="油錢"),'第 4 天'!H64,0),IF(OR('第 4 天'!J$5="油錢"),'第 4 天'!J64,0),IF(OR('第 4 天'!L$5="油錢"),'第 4 天'!L64,0),IF(OR('第 4 天'!N$5="油錢"),'第 4 天'!N64,0),IF(OR('第 4 天'!P$5="油錢"),'第 4 天'!P64,0))</f>
        <v>0</v>
      </c>
      <c r="E104" s="14" t="n">
        <f aca="false">SUM(IF(OR('第 4 天'!D$5="租車費"),'第 4 天'!D64,0),IF(OR('第 4 天'!F$5="租車費"),'第 4 天'!F64,0),IF(OR('第 4 天'!H$5="租車費"),'第 4 天'!H64,0),IF(OR('第 4 天'!J$5="租車費"),'第 4 天'!J64,0),IF(OR('第 4 天'!L$5="租車費"),'第 4 天'!L64,0),IF(OR('第 4 天'!N$5="租車費"),'第 4 天'!N64,0),IF(OR('第 4 天'!P$5="租車費"),'第 4 天'!P64,0))</f>
        <v>0</v>
      </c>
      <c r="F104" s="14" t="n">
        <f aca="false">SUM(IF(OR('第 4 天'!D$5="停車費",'第 4 天'!D$5="其他"),'第 4 天'!D64,0),IF(OR('第 4 天'!F$5="停車費",'第 4 天'!F$5="其他"),'第 4 天'!F64,0),IF(OR('第 4 天'!H$5="停車費",'第 4 天'!H$5="其他"),'第 4 天'!H64,0),IF(OR('第 4 天'!J$5="停車費",'第 4 天'!J$5="其他"),'第 4 天'!J64,0),IF(OR('第 4 天'!L$5="停車費",'第 4 天'!L$5="其他"),'第 4 天'!L64,0),IF(OR('第 4 天'!N$5="停車費",'第 4 天'!N$5="其他"),'第 4 天'!N64,0),IF(OR('第 4 天'!P$5="停車費",'第 4 天'!P$5="其他"),'第 4 天'!P64,0))</f>
        <v>0</v>
      </c>
      <c r="G104" s="14" t="n">
        <f aca="false">SUM(C104:F104)</f>
        <v>0</v>
      </c>
      <c r="H104" s="14" t="n">
        <f aca="false">IF(LEN(TRIM(成員名單!$B17))=0,0,SUM(IF('第 4 天'!D$7=$B104,'第 4 天'!D46,0),IF('第 4 天'!F$7=$B104,'第 4 天'!F46,0),IF('第 4 天'!H$7=$B104,'第 4 天'!H46,0),IF('第 4 天'!J$7=$B104,'第 4 天'!J46,0),IF('第 4 天'!L$7=$B104,'第 4 天'!L46,0),IF('第 4 天'!N$7=$B104,'第 4 天'!N46,0),IF('第 4 天'!P$7=$B104,'第 4 天'!P46,0)))</f>
        <v>0</v>
      </c>
    </row>
    <row r="105" customFormat="false" ht="15" hidden="false" customHeight="false" outlineLevel="0" collapsed="false">
      <c r="A105" s="13" t="s">
        <v>107</v>
      </c>
      <c r="B105" s="13" t="s">
        <v>31</v>
      </c>
      <c r="C105" s="14" t="n">
        <f aca="false">SUM(IF(OR('第 4 天'!D$5="早餐",'第 4 天'!D$5="午餐",'第 4 天'!D$5="晚餐"),'第 4 天'!D65,0),IF(OR('第 4 天'!F$5="早餐",'第 4 天'!F$5="午餐",'第 4 天'!F$5="晚餐"),'第 4 天'!F65,0),IF(OR('第 4 天'!H$5="早餐",'第 4 天'!H$5="午餐",'第 4 天'!H$5="晚餐"),'第 4 天'!H65,0),IF(OR('第 4 天'!J$5="早餐",'第 4 天'!J$5="午餐",'第 4 天'!J$5="晚餐"),'第 4 天'!J65,0),IF(OR('第 4 天'!L$5="早餐",'第 4 天'!L$5="午餐",'第 4 天'!L$5="晚餐"),'第 4 天'!L65,0),IF(OR('第 4 天'!N$5="早餐",'第 4 天'!N$5="午餐",'第 4 天'!N$5="晚餐"),'第 4 天'!N65,0),IF(OR('第 4 天'!P$5="早餐",'第 4 天'!P$5="午餐",'第 4 天'!P$5="晚餐"),'第 4 天'!P65,0))</f>
        <v>0</v>
      </c>
      <c r="D105" s="14" t="n">
        <f aca="false">SUM(IF(OR('第 4 天'!D$5="油錢"),'第 4 天'!D65,0),IF(OR('第 4 天'!F$5="油錢"),'第 4 天'!F65,0),IF(OR('第 4 天'!H$5="油錢"),'第 4 天'!H65,0),IF(OR('第 4 天'!J$5="油錢"),'第 4 天'!J65,0),IF(OR('第 4 天'!L$5="油錢"),'第 4 天'!L65,0),IF(OR('第 4 天'!N$5="油錢"),'第 4 天'!N65,0),IF(OR('第 4 天'!P$5="油錢"),'第 4 天'!P65,0))</f>
        <v>0</v>
      </c>
      <c r="E105" s="14" t="n">
        <f aca="false">SUM(IF(OR('第 4 天'!D$5="租車費"),'第 4 天'!D65,0),IF(OR('第 4 天'!F$5="租車費"),'第 4 天'!F65,0),IF(OR('第 4 天'!H$5="租車費"),'第 4 天'!H65,0),IF(OR('第 4 天'!J$5="租車費"),'第 4 天'!J65,0),IF(OR('第 4 天'!L$5="租車費"),'第 4 天'!L65,0),IF(OR('第 4 天'!N$5="租車費"),'第 4 天'!N65,0),IF(OR('第 4 天'!P$5="租車費"),'第 4 天'!P65,0))</f>
        <v>0</v>
      </c>
      <c r="F105" s="14" t="n">
        <f aca="false">SUM(IF(OR('第 4 天'!D$5="停車費",'第 4 天'!D$5="其他"),'第 4 天'!D65,0),IF(OR('第 4 天'!F$5="停車費",'第 4 天'!F$5="其他"),'第 4 天'!F65,0),IF(OR('第 4 天'!H$5="停車費",'第 4 天'!H$5="其他"),'第 4 天'!H65,0),IF(OR('第 4 天'!J$5="停車費",'第 4 天'!J$5="其他"),'第 4 天'!J65,0),IF(OR('第 4 天'!L$5="停車費",'第 4 天'!L$5="其他"),'第 4 天'!L65,0),IF(OR('第 4 天'!N$5="停車費",'第 4 天'!N$5="其他"),'第 4 天'!N65,0),IF(OR('第 4 天'!P$5="停車費",'第 4 天'!P$5="其他"),'第 4 天'!P65,0))</f>
        <v>0</v>
      </c>
      <c r="G105" s="14" t="n">
        <f aca="false">SUM(C105:F105)</f>
        <v>0</v>
      </c>
      <c r="H105" s="14" t="n">
        <f aca="false">IF(LEN(TRIM(成員名單!$B18))=0,0,SUM(IF('第 4 天'!D$7=$B105,'第 4 天'!D46,0),IF('第 4 天'!F$7=$B105,'第 4 天'!F46,0),IF('第 4 天'!H$7=$B105,'第 4 天'!H46,0),IF('第 4 天'!J$7=$B105,'第 4 天'!J46,0),IF('第 4 天'!L$7=$B105,'第 4 天'!L46,0),IF('第 4 天'!N$7=$B105,'第 4 天'!N46,0),IF('第 4 天'!P$7=$B105,'第 4 天'!P46,0)))</f>
        <v>0</v>
      </c>
    </row>
    <row r="106" customFormat="false" ht="15" hidden="false" customHeight="false" outlineLevel="0" collapsed="false">
      <c r="A106" s="13" t="s">
        <v>107</v>
      </c>
      <c r="B106" s="13" t="s">
        <v>32</v>
      </c>
      <c r="C106" s="14" t="n">
        <f aca="false">SUM(IF(OR('第 4 天'!D$5="早餐",'第 4 天'!D$5="午餐",'第 4 天'!D$5="晚餐"),'第 4 天'!D66,0),IF(OR('第 4 天'!F$5="早餐",'第 4 天'!F$5="午餐",'第 4 天'!F$5="晚餐"),'第 4 天'!F66,0),IF(OR('第 4 天'!H$5="早餐",'第 4 天'!H$5="午餐",'第 4 天'!H$5="晚餐"),'第 4 天'!H66,0),IF(OR('第 4 天'!J$5="早餐",'第 4 天'!J$5="午餐",'第 4 天'!J$5="晚餐"),'第 4 天'!J66,0),IF(OR('第 4 天'!L$5="早餐",'第 4 天'!L$5="午餐",'第 4 天'!L$5="晚餐"),'第 4 天'!L66,0),IF(OR('第 4 天'!N$5="早餐",'第 4 天'!N$5="午餐",'第 4 天'!N$5="晚餐"),'第 4 天'!N66,0),IF(OR('第 4 天'!P$5="早餐",'第 4 天'!P$5="午餐",'第 4 天'!P$5="晚餐"),'第 4 天'!P66,0))</f>
        <v>0</v>
      </c>
      <c r="D106" s="14" t="n">
        <f aca="false">SUM(IF(OR('第 4 天'!D$5="油錢"),'第 4 天'!D66,0),IF(OR('第 4 天'!F$5="油錢"),'第 4 天'!F66,0),IF(OR('第 4 天'!H$5="油錢"),'第 4 天'!H66,0),IF(OR('第 4 天'!J$5="油錢"),'第 4 天'!J66,0),IF(OR('第 4 天'!L$5="油錢"),'第 4 天'!L66,0),IF(OR('第 4 天'!N$5="油錢"),'第 4 天'!N66,0),IF(OR('第 4 天'!P$5="油錢"),'第 4 天'!P66,0))</f>
        <v>0</v>
      </c>
      <c r="E106" s="14" t="n">
        <f aca="false">SUM(IF(OR('第 4 天'!D$5="租車費"),'第 4 天'!D66,0),IF(OR('第 4 天'!F$5="租車費"),'第 4 天'!F66,0),IF(OR('第 4 天'!H$5="租車費"),'第 4 天'!H66,0),IF(OR('第 4 天'!J$5="租車費"),'第 4 天'!J66,0),IF(OR('第 4 天'!L$5="租車費"),'第 4 天'!L66,0),IF(OR('第 4 天'!N$5="租車費"),'第 4 天'!N66,0),IF(OR('第 4 天'!P$5="租車費"),'第 4 天'!P66,0))</f>
        <v>0</v>
      </c>
      <c r="F106" s="14" t="n">
        <f aca="false">SUM(IF(OR('第 4 天'!D$5="停車費",'第 4 天'!D$5="其他"),'第 4 天'!D66,0),IF(OR('第 4 天'!F$5="停車費",'第 4 天'!F$5="其他"),'第 4 天'!F66,0),IF(OR('第 4 天'!H$5="停車費",'第 4 天'!H$5="其他"),'第 4 天'!H66,0),IF(OR('第 4 天'!J$5="停車費",'第 4 天'!J$5="其他"),'第 4 天'!J66,0),IF(OR('第 4 天'!L$5="停車費",'第 4 天'!L$5="其他"),'第 4 天'!L66,0),IF(OR('第 4 天'!N$5="停車費",'第 4 天'!N$5="其他"),'第 4 天'!N66,0),IF(OR('第 4 天'!P$5="停車費",'第 4 天'!P$5="其他"),'第 4 天'!P66,0))</f>
        <v>0</v>
      </c>
      <c r="G106" s="14" t="n">
        <f aca="false">SUM(C106:F106)</f>
        <v>0</v>
      </c>
      <c r="H106" s="14" t="n">
        <f aca="false">IF(LEN(TRIM(成員名單!$B19))=0,0,SUM(IF('第 4 天'!D$7=$B106,'第 4 天'!D46,0),IF('第 4 天'!F$7=$B106,'第 4 天'!F46,0),IF('第 4 天'!H$7=$B106,'第 4 天'!H46,0),IF('第 4 天'!J$7=$B106,'第 4 天'!J46,0),IF('第 4 天'!L$7=$B106,'第 4 天'!L46,0),IF('第 4 天'!N$7=$B106,'第 4 天'!N46,0),IF('第 4 天'!P$7=$B106,'第 4 天'!P46,0)))</f>
        <v>0</v>
      </c>
    </row>
    <row r="107" customFormat="false" ht="15" hidden="false" customHeight="false" outlineLevel="0" collapsed="false">
      <c r="A107" s="13" t="s">
        <v>107</v>
      </c>
      <c r="B107" s="13" t="s">
        <v>33</v>
      </c>
      <c r="C107" s="14" t="n">
        <f aca="false">SUM(IF(OR('第 4 天'!D$5="早餐",'第 4 天'!D$5="午餐",'第 4 天'!D$5="晚餐"),'第 4 天'!D67,0),IF(OR('第 4 天'!F$5="早餐",'第 4 天'!F$5="午餐",'第 4 天'!F$5="晚餐"),'第 4 天'!F67,0),IF(OR('第 4 天'!H$5="早餐",'第 4 天'!H$5="午餐",'第 4 天'!H$5="晚餐"),'第 4 天'!H67,0),IF(OR('第 4 天'!J$5="早餐",'第 4 天'!J$5="午餐",'第 4 天'!J$5="晚餐"),'第 4 天'!J67,0),IF(OR('第 4 天'!L$5="早餐",'第 4 天'!L$5="午餐",'第 4 天'!L$5="晚餐"),'第 4 天'!L67,0),IF(OR('第 4 天'!N$5="早餐",'第 4 天'!N$5="午餐",'第 4 天'!N$5="晚餐"),'第 4 天'!N67,0),IF(OR('第 4 天'!P$5="早餐",'第 4 天'!P$5="午餐",'第 4 天'!P$5="晚餐"),'第 4 天'!P67,0))</f>
        <v>0</v>
      </c>
      <c r="D107" s="14" t="n">
        <f aca="false">SUM(IF(OR('第 4 天'!D$5="油錢"),'第 4 天'!D67,0),IF(OR('第 4 天'!F$5="油錢"),'第 4 天'!F67,0),IF(OR('第 4 天'!H$5="油錢"),'第 4 天'!H67,0),IF(OR('第 4 天'!J$5="油錢"),'第 4 天'!J67,0),IF(OR('第 4 天'!L$5="油錢"),'第 4 天'!L67,0),IF(OR('第 4 天'!N$5="油錢"),'第 4 天'!N67,0),IF(OR('第 4 天'!P$5="油錢"),'第 4 天'!P67,0))</f>
        <v>0</v>
      </c>
      <c r="E107" s="14" t="n">
        <f aca="false">SUM(IF(OR('第 4 天'!D$5="租車費"),'第 4 天'!D67,0),IF(OR('第 4 天'!F$5="租車費"),'第 4 天'!F67,0),IF(OR('第 4 天'!H$5="租車費"),'第 4 天'!H67,0),IF(OR('第 4 天'!J$5="租車費"),'第 4 天'!J67,0),IF(OR('第 4 天'!L$5="租車費"),'第 4 天'!L67,0),IF(OR('第 4 天'!N$5="租車費"),'第 4 天'!N67,0),IF(OR('第 4 天'!P$5="租車費"),'第 4 天'!P67,0))</f>
        <v>0</v>
      </c>
      <c r="F107" s="14" t="n">
        <f aca="false">SUM(IF(OR('第 4 天'!D$5="停車費",'第 4 天'!D$5="其他"),'第 4 天'!D67,0),IF(OR('第 4 天'!F$5="停車費",'第 4 天'!F$5="其他"),'第 4 天'!F67,0),IF(OR('第 4 天'!H$5="停車費",'第 4 天'!H$5="其他"),'第 4 天'!H67,0),IF(OR('第 4 天'!J$5="停車費",'第 4 天'!J$5="其他"),'第 4 天'!J67,0),IF(OR('第 4 天'!L$5="停車費",'第 4 天'!L$5="其他"),'第 4 天'!L67,0),IF(OR('第 4 天'!N$5="停車費",'第 4 天'!N$5="其他"),'第 4 天'!N67,0),IF(OR('第 4 天'!P$5="停車費",'第 4 天'!P$5="其他"),'第 4 天'!P67,0))</f>
        <v>0</v>
      </c>
      <c r="G107" s="14" t="n">
        <f aca="false">SUM(C107:F107)</f>
        <v>0</v>
      </c>
      <c r="H107" s="14" t="n">
        <f aca="false">IF(LEN(TRIM(成員名單!$B20))=0,0,SUM(IF('第 4 天'!D$7=$B107,'第 4 天'!D46,0),IF('第 4 天'!F$7=$B107,'第 4 天'!F46,0),IF('第 4 天'!H$7=$B107,'第 4 天'!H46,0),IF('第 4 天'!J$7=$B107,'第 4 天'!J46,0),IF('第 4 天'!L$7=$B107,'第 4 天'!L46,0),IF('第 4 天'!N$7=$B107,'第 4 天'!N46,0),IF('第 4 天'!P$7=$B107,'第 4 天'!P46,0)))</f>
        <v>0</v>
      </c>
    </row>
    <row r="108" customFormat="false" ht="15" hidden="false" customHeight="false" outlineLevel="0" collapsed="false">
      <c r="A108" s="13" t="s">
        <v>107</v>
      </c>
      <c r="B108" s="13" t="s">
        <v>34</v>
      </c>
      <c r="C108" s="14" t="n">
        <f aca="false">SUM(IF(OR('第 4 天'!D$5="早餐",'第 4 天'!D$5="午餐",'第 4 天'!D$5="晚餐"),'第 4 天'!D68,0),IF(OR('第 4 天'!F$5="早餐",'第 4 天'!F$5="午餐",'第 4 天'!F$5="晚餐"),'第 4 天'!F68,0),IF(OR('第 4 天'!H$5="早餐",'第 4 天'!H$5="午餐",'第 4 天'!H$5="晚餐"),'第 4 天'!H68,0),IF(OR('第 4 天'!J$5="早餐",'第 4 天'!J$5="午餐",'第 4 天'!J$5="晚餐"),'第 4 天'!J68,0),IF(OR('第 4 天'!L$5="早餐",'第 4 天'!L$5="午餐",'第 4 天'!L$5="晚餐"),'第 4 天'!L68,0),IF(OR('第 4 天'!N$5="早餐",'第 4 天'!N$5="午餐",'第 4 天'!N$5="晚餐"),'第 4 天'!N68,0),IF(OR('第 4 天'!P$5="早餐",'第 4 天'!P$5="午餐",'第 4 天'!P$5="晚餐"),'第 4 天'!P68,0))</f>
        <v>0</v>
      </c>
      <c r="D108" s="14" t="n">
        <f aca="false">SUM(IF(OR('第 4 天'!D$5="油錢"),'第 4 天'!D68,0),IF(OR('第 4 天'!F$5="油錢"),'第 4 天'!F68,0),IF(OR('第 4 天'!H$5="油錢"),'第 4 天'!H68,0),IF(OR('第 4 天'!J$5="油錢"),'第 4 天'!J68,0),IF(OR('第 4 天'!L$5="油錢"),'第 4 天'!L68,0),IF(OR('第 4 天'!N$5="油錢"),'第 4 天'!N68,0),IF(OR('第 4 天'!P$5="油錢"),'第 4 天'!P68,0))</f>
        <v>0</v>
      </c>
      <c r="E108" s="14" t="n">
        <f aca="false">SUM(IF(OR('第 4 天'!D$5="租車費"),'第 4 天'!D68,0),IF(OR('第 4 天'!F$5="租車費"),'第 4 天'!F68,0),IF(OR('第 4 天'!H$5="租車費"),'第 4 天'!H68,0),IF(OR('第 4 天'!J$5="租車費"),'第 4 天'!J68,0),IF(OR('第 4 天'!L$5="租車費"),'第 4 天'!L68,0),IF(OR('第 4 天'!N$5="租車費"),'第 4 天'!N68,0),IF(OR('第 4 天'!P$5="租車費"),'第 4 天'!P68,0))</f>
        <v>0</v>
      </c>
      <c r="F108" s="14" t="n">
        <f aca="false">SUM(IF(OR('第 4 天'!D$5="停車費",'第 4 天'!D$5="其他"),'第 4 天'!D68,0),IF(OR('第 4 天'!F$5="停車費",'第 4 天'!F$5="其他"),'第 4 天'!F68,0),IF(OR('第 4 天'!H$5="停車費",'第 4 天'!H$5="其他"),'第 4 天'!H68,0),IF(OR('第 4 天'!J$5="停車費",'第 4 天'!J$5="其他"),'第 4 天'!J68,0),IF(OR('第 4 天'!L$5="停車費",'第 4 天'!L$5="其他"),'第 4 天'!L68,0),IF(OR('第 4 天'!N$5="停車費",'第 4 天'!N$5="其他"),'第 4 天'!N68,0),IF(OR('第 4 天'!P$5="停車費",'第 4 天'!P$5="其他"),'第 4 天'!P68,0))</f>
        <v>0</v>
      </c>
      <c r="G108" s="14" t="n">
        <f aca="false">SUM(C108:F108)</f>
        <v>0</v>
      </c>
      <c r="H108" s="14" t="n">
        <f aca="false">IF(LEN(TRIM(成員名單!$B21))=0,0,SUM(IF('第 4 天'!D$7=$B108,'第 4 天'!D46,0),IF('第 4 天'!F$7=$B108,'第 4 天'!F46,0),IF('第 4 天'!H$7=$B108,'第 4 天'!H46,0),IF('第 4 天'!J$7=$B108,'第 4 天'!J46,0),IF('第 4 天'!L$7=$B108,'第 4 天'!L46,0),IF('第 4 天'!N$7=$B108,'第 4 天'!N46,0),IF('第 4 天'!P$7=$B108,'第 4 天'!P46,0)))</f>
        <v>0</v>
      </c>
    </row>
    <row r="109" customFormat="false" ht="15" hidden="false" customHeight="false" outlineLevel="0" collapsed="false">
      <c r="A109" s="13" t="s">
        <v>107</v>
      </c>
      <c r="B109" s="13" t="s">
        <v>35</v>
      </c>
      <c r="C109" s="14" t="n">
        <f aca="false">SUM(IF(OR('第 4 天'!D$5="早餐",'第 4 天'!D$5="午餐",'第 4 天'!D$5="晚餐"),'第 4 天'!D69,0),IF(OR('第 4 天'!F$5="早餐",'第 4 天'!F$5="午餐",'第 4 天'!F$5="晚餐"),'第 4 天'!F69,0),IF(OR('第 4 天'!H$5="早餐",'第 4 天'!H$5="午餐",'第 4 天'!H$5="晚餐"),'第 4 天'!H69,0),IF(OR('第 4 天'!J$5="早餐",'第 4 天'!J$5="午餐",'第 4 天'!J$5="晚餐"),'第 4 天'!J69,0),IF(OR('第 4 天'!L$5="早餐",'第 4 天'!L$5="午餐",'第 4 天'!L$5="晚餐"),'第 4 天'!L69,0),IF(OR('第 4 天'!N$5="早餐",'第 4 天'!N$5="午餐",'第 4 天'!N$5="晚餐"),'第 4 天'!N69,0),IF(OR('第 4 天'!P$5="早餐",'第 4 天'!P$5="午餐",'第 4 天'!P$5="晚餐"),'第 4 天'!P69,0))</f>
        <v>0</v>
      </c>
      <c r="D109" s="14" t="n">
        <f aca="false">SUM(IF(OR('第 4 天'!D$5="油錢"),'第 4 天'!D69,0),IF(OR('第 4 天'!F$5="油錢"),'第 4 天'!F69,0),IF(OR('第 4 天'!H$5="油錢"),'第 4 天'!H69,0),IF(OR('第 4 天'!J$5="油錢"),'第 4 天'!J69,0),IF(OR('第 4 天'!L$5="油錢"),'第 4 天'!L69,0),IF(OR('第 4 天'!N$5="油錢"),'第 4 天'!N69,0),IF(OR('第 4 天'!P$5="油錢"),'第 4 天'!P69,0))</f>
        <v>0</v>
      </c>
      <c r="E109" s="14" t="n">
        <f aca="false">SUM(IF(OR('第 4 天'!D$5="租車費"),'第 4 天'!D69,0),IF(OR('第 4 天'!F$5="租車費"),'第 4 天'!F69,0),IF(OR('第 4 天'!H$5="租車費"),'第 4 天'!H69,0),IF(OR('第 4 天'!J$5="租車費"),'第 4 天'!J69,0),IF(OR('第 4 天'!L$5="租車費"),'第 4 天'!L69,0),IF(OR('第 4 天'!N$5="租車費"),'第 4 天'!N69,0),IF(OR('第 4 天'!P$5="租車費"),'第 4 天'!P69,0))</f>
        <v>0</v>
      </c>
      <c r="F109" s="14" t="n">
        <f aca="false">SUM(IF(OR('第 4 天'!D$5="停車費",'第 4 天'!D$5="其他"),'第 4 天'!D69,0),IF(OR('第 4 天'!F$5="停車費",'第 4 天'!F$5="其他"),'第 4 天'!F69,0),IF(OR('第 4 天'!H$5="停車費",'第 4 天'!H$5="其他"),'第 4 天'!H69,0),IF(OR('第 4 天'!J$5="停車費",'第 4 天'!J$5="其他"),'第 4 天'!J69,0),IF(OR('第 4 天'!L$5="停車費",'第 4 天'!L$5="其他"),'第 4 天'!L69,0),IF(OR('第 4 天'!N$5="停車費",'第 4 天'!N$5="其他"),'第 4 天'!N69,0),IF(OR('第 4 天'!P$5="停車費",'第 4 天'!P$5="其他"),'第 4 天'!P69,0))</f>
        <v>0</v>
      </c>
      <c r="G109" s="14" t="n">
        <f aca="false">SUM(C109:F109)</f>
        <v>0</v>
      </c>
      <c r="H109" s="14" t="n">
        <f aca="false">IF(LEN(TRIM(成員名單!$B22))=0,0,SUM(IF('第 4 天'!D$7=$B109,'第 4 天'!D46,0),IF('第 4 天'!F$7=$B109,'第 4 天'!F46,0),IF('第 4 天'!H$7=$B109,'第 4 天'!H46,0),IF('第 4 天'!J$7=$B109,'第 4 天'!J46,0),IF('第 4 天'!L$7=$B109,'第 4 天'!L46,0),IF('第 4 天'!N$7=$B109,'第 4 天'!N46,0),IF('第 4 天'!P$7=$B109,'第 4 天'!P46,0)))</f>
        <v>0</v>
      </c>
    </row>
    <row r="110" customFormat="false" ht="15" hidden="false" customHeight="false" outlineLevel="0" collapsed="false">
      <c r="A110" s="13" t="s">
        <v>107</v>
      </c>
      <c r="B110" s="13" t="s">
        <v>36</v>
      </c>
      <c r="C110" s="14" t="n">
        <f aca="false">SUM(IF(OR('第 4 天'!D$5="早餐",'第 4 天'!D$5="午餐",'第 4 天'!D$5="晚餐"),'第 4 天'!D70,0),IF(OR('第 4 天'!F$5="早餐",'第 4 天'!F$5="午餐",'第 4 天'!F$5="晚餐"),'第 4 天'!F70,0),IF(OR('第 4 天'!H$5="早餐",'第 4 天'!H$5="午餐",'第 4 天'!H$5="晚餐"),'第 4 天'!H70,0),IF(OR('第 4 天'!J$5="早餐",'第 4 天'!J$5="午餐",'第 4 天'!J$5="晚餐"),'第 4 天'!J70,0),IF(OR('第 4 天'!L$5="早餐",'第 4 天'!L$5="午餐",'第 4 天'!L$5="晚餐"),'第 4 天'!L70,0),IF(OR('第 4 天'!N$5="早餐",'第 4 天'!N$5="午餐",'第 4 天'!N$5="晚餐"),'第 4 天'!N70,0),IF(OR('第 4 天'!P$5="早餐",'第 4 天'!P$5="午餐",'第 4 天'!P$5="晚餐"),'第 4 天'!P70,0))</f>
        <v>0</v>
      </c>
      <c r="D110" s="14" t="n">
        <f aca="false">SUM(IF(OR('第 4 天'!D$5="油錢"),'第 4 天'!D70,0),IF(OR('第 4 天'!F$5="油錢"),'第 4 天'!F70,0),IF(OR('第 4 天'!H$5="油錢"),'第 4 天'!H70,0),IF(OR('第 4 天'!J$5="油錢"),'第 4 天'!J70,0),IF(OR('第 4 天'!L$5="油錢"),'第 4 天'!L70,0),IF(OR('第 4 天'!N$5="油錢"),'第 4 天'!N70,0),IF(OR('第 4 天'!P$5="油錢"),'第 4 天'!P70,0))</f>
        <v>0</v>
      </c>
      <c r="E110" s="14" t="n">
        <f aca="false">SUM(IF(OR('第 4 天'!D$5="租車費"),'第 4 天'!D70,0),IF(OR('第 4 天'!F$5="租車費"),'第 4 天'!F70,0),IF(OR('第 4 天'!H$5="租車費"),'第 4 天'!H70,0),IF(OR('第 4 天'!J$5="租車費"),'第 4 天'!J70,0),IF(OR('第 4 天'!L$5="租車費"),'第 4 天'!L70,0),IF(OR('第 4 天'!N$5="租車費"),'第 4 天'!N70,0),IF(OR('第 4 天'!P$5="租車費"),'第 4 天'!P70,0))</f>
        <v>0</v>
      </c>
      <c r="F110" s="14" t="n">
        <f aca="false">SUM(IF(OR('第 4 天'!D$5="停車費",'第 4 天'!D$5="其他"),'第 4 天'!D70,0),IF(OR('第 4 天'!F$5="停車費",'第 4 天'!F$5="其他"),'第 4 天'!F70,0),IF(OR('第 4 天'!H$5="停車費",'第 4 天'!H$5="其他"),'第 4 天'!H70,0),IF(OR('第 4 天'!J$5="停車費",'第 4 天'!J$5="其他"),'第 4 天'!J70,0),IF(OR('第 4 天'!L$5="停車費",'第 4 天'!L$5="其他"),'第 4 天'!L70,0),IF(OR('第 4 天'!N$5="停車費",'第 4 天'!N$5="其他"),'第 4 天'!N70,0),IF(OR('第 4 天'!P$5="停車費",'第 4 天'!P$5="其他"),'第 4 天'!P70,0))</f>
        <v>0</v>
      </c>
      <c r="G110" s="14" t="n">
        <f aca="false">SUM(C110:F110)</f>
        <v>0</v>
      </c>
      <c r="H110" s="14" t="n">
        <f aca="false">IF(LEN(TRIM(成員名單!$B23))=0,0,SUM(IF('第 4 天'!D$7=$B110,'第 4 天'!D46,0),IF('第 4 天'!F$7=$B110,'第 4 天'!F46,0),IF('第 4 天'!H$7=$B110,'第 4 天'!H46,0),IF('第 4 天'!J$7=$B110,'第 4 天'!J46,0),IF('第 4 天'!L$7=$B110,'第 4 天'!L46,0),IF('第 4 天'!N$7=$B110,'第 4 天'!N46,0),IF('第 4 天'!P$7=$B110,'第 4 天'!P46,0)))</f>
        <v>0</v>
      </c>
    </row>
    <row r="111" customFormat="false" ht="15" hidden="false" customHeight="false" outlineLevel="0" collapsed="false">
      <c r="A111" s="13" t="s">
        <v>107</v>
      </c>
      <c r="B111" s="13" t="s">
        <v>37</v>
      </c>
      <c r="C111" s="14" t="n">
        <f aca="false">SUM(IF(OR('第 4 天'!D$5="早餐",'第 4 天'!D$5="午餐",'第 4 天'!D$5="晚餐"),'第 4 天'!D71,0),IF(OR('第 4 天'!F$5="早餐",'第 4 天'!F$5="午餐",'第 4 天'!F$5="晚餐"),'第 4 天'!F71,0),IF(OR('第 4 天'!H$5="早餐",'第 4 天'!H$5="午餐",'第 4 天'!H$5="晚餐"),'第 4 天'!H71,0),IF(OR('第 4 天'!J$5="早餐",'第 4 天'!J$5="午餐",'第 4 天'!J$5="晚餐"),'第 4 天'!J71,0),IF(OR('第 4 天'!L$5="早餐",'第 4 天'!L$5="午餐",'第 4 天'!L$5="晚餐"),'第 4 天'!L71,0),IF(OR('第 4 天'!N$5="早餐",'第 4 天'!N$5="午餐",'第 4 天'!N$5="晚餐"),'第 4 天'!N71,0),IF(OR('第 4 天'!P$5="早餐",'第 4 天'!P$5="午餐",'第 4 天'!P$5="晚餐"),'第 4 天'!P71,0))</f>
        <v>0</v>
      </c>
      <c r="D111" s="14" t="n">
        <f aca="false">SUM(IF(OR('第 4 天'!D$5="油錢"),'第 4 天'!D71,0),IF(OR('第 4 天'!F$5="油錢"),'第 4 天'!F71,0),IF(OR('第 4 天'!H$5="油錢"),'第 4 天'!H71,0),IF(OR('第 4 天'!J$5="油錢"),'第 4 天'!J71,0),IF(OR('第 4 天'!L$5="油錢"),'第 4 天'!L71,0),IF(OR('第 4 天'!N$5="油錢"),'第 4 天'!N71,0),IF(OR('第 4 天'!P$5="油錢"),'第 4 天'!P71,0))</f>
        <v>0</v>
      </c>
      <c r="E111" s="14" t="n">
        <f aca="false">SUM(IF(OR('第 4 天'!D$5="租車費"),'第 4 天'!D71,0),IF(OR('第 4 天'!F$5="租車費"),'第 4 天'!F71,0),IF(OR('第 4 天'!H$5="租車費"),'第 4 天'!H71,0),IF(OR('第 4 天'!J$5="租車費"),'第 4 天'!J71,0),IF(OR('第 4 天'!L$5="租車費"),'第 4 天'!L71,0),IF(OR('第 4 天'!N$5="租車費"),'第 4 天'!N71,0),IF(OR('第 4 天'!P$5="租車費"),'第 4 天'!P71,0))</f>
        <v>0</v>
      </c>
      <c r="F111" s="14" t="n">
        <f aca="false">SUM(IF(OR('第 4 天'!D$5="停車費",'第 4 天'!D$5="其他"),'第 4 天'!D71,0),IF(OR('第 4 天'!F$5="停車費",'第 4 天'!F$5="其他"),'第 4 天'!F71,0),IF(OR('第 4 天'!H$5="停車費",'第 4 天'!H$5="其他"),'第 4 天'!H71,0),IF(OR('第 4 天'!J$5="停車費",'第 4 天'!J$5="其他"),'第 4 天'!J71,0),IF(OR('第 4 天'!L$5="停車費",'第 4 天'!L$5="其他"),'第 4 天'!L71,0),IF(OR('第 4 天'!N$5="停車費",'第 4 天'!N$5="其他"),'第 4 天'!N71,0),IF(OR('第 4 天'!P$5="停車費",'第 4 天'!P$5="其他"),'第 4 天'!P71,0))</f>
        <v>0</v>
      </c>
      <c r="G111" s="14" t="n">
        <f aca="false">SUM(C111:F111)</f>
        <v>0</v>
      </c>
      <c r="H111" s="14" t="n">
        <f aca="false">IF(LEN(TRIM(成員名單!$B24))=0,0,SUM(IF('第 4 天'!D$7=$B111,'第 4 天'!D46,0),IF('第 4 天'!F$7=$B111,'第 4 天'!F46,0),IF('第 4 天'!H$7=$B111,'第 4 天'!H46,0),IF('第 4 天'!J$7=$B111,'第 4 天'!J46,0),IF('第 4 天'!L$7=$B111,'第 4 天'!L46,0),IF('第 4 天'!N$7=$B111,'第 4 天'!N46,0),IF('第 4 天'!P$7=$B111,'第 4 天'!P46,0)))</f>
        <v>0</v>
      </c>
    </row>
    <row r="112" customFormat="false" ht="15" hidden="false" customHeight="false" outlineLevel="0" collapsed="false">
      <c r="A112" s="13" t="s">
        <v>107</v>
      </c>
      <c r="B112" s="13" t="s">
        <v>38</v>
      </c>
      <c r="C112" s="14" t="n">
        <f aca="false">SUM(IF(OR('第 4 天'!D$5="早餐",'第 4 天'!D$5="午餐",'第 4 天'!D$5="晚餐"),'第 4 天'!D72,0),IF(OR('第 4 天'!F$5="早餐",'第 4 天'!F$5="午餐",'第 4 天'!F$5="晚餐"),'第 4 天'!F72,0),IF(OR('第 4 天'!H$5="早餐",'第 4 天'!H$5="午餐",'第 4 天'!H$5="晚餐"),'第 4 天'!H72,0),IF(OR('第 4 天'!J$5="早餐",'第 4 天'!J$5="午餐",'第 4 天'!J$5="晚餐"),'第 4 天'!J72,0),IF(OR('第 4 天'!L$5="早餐",'第 4 天'!L$5="午餐",'第 4 天'!L$5="晚餐"),'第 4 天'!L72,0),IF(OR('第 4 天'!N$5="早餐",'第 4 天'!N$5="午餐",'第 4 天'!N$5="晚餐"),'第 4 天'!N72,0),IF(OR('第 4 天'!P$5="早餐",'第 4 天'!P$5="午餐",'第 4 天'!P$5="晚餐"),'第 4 天'!P72,0))</f>
        <v>0</v>
      </c>
      <c r="D112" s="14" t="n">
        <f aca="false">SUM(IF(OR('第 4 天'!D$5="油錢"),'第 4 天'!D72,0),IF(OR('第 4 天'!F$5="油錢"),'第 4 天'!F72,0),IF(OR('第 4 天'!H$5="油錢"),'第 4 天'!H72,0),IF(OR('第 4 天'!J$5="油錢"),'第 4 天'!J72,0),IF(OR('第 4 天'!L$5="油錢"),'第 4 天'!L72,0),IF(OR('第 4 天'!N$5="油錢"),'第 4 天'!N72,0),IF(OR('第 4 天'!P$5="油錢"),'第 4 天'!P72,0))</f>
        <v>0</v>
      </c>
      <c r="E112" s="14" t="n">
        <f aca="false">SUM(IF(OR('第 4 天'!D$5="租車費"),'第 4 天'!D72,0),IF(OR('第 4 天'!F$5="租車費"),'第 4 天'!F72,0),IF(OR('第 4 天'!H$5="租車費"),'第 4 天'!H72,0),IF(OR('第 4 天'!J$5="租車費"),'第 4 天'!J72,0),IF(OR('第 4 天'!L$5="租車費"),'第 4 天'!L72,0),IF(OR('第 4 天'!N$5="租車費"),'第 4 天'!N72,0),IF(OR('第 4 天'!P$5="租車費"),'第 4 天'!P72,0))</f>
        <v>0</v>
      </c>
      <c r="F112" s="14" t="n">
        <f aca="false">SUM(IF(OR('第 4 天'!D$5="停車費",'第 4 天'!D$5="其他"),'第 4 天'!D72,0),IF(OR('第 4 天'!F$5="停車費",'第 4 天'!F$5="其他"),'第 4 天'!F72,0),IF(OR('第 4 天'!H$5="停車費",'第 4 天'!H$5="其他"),'第 4 天'!H72,0),IF(OR('第 4 天'!J$5="停車費",'第 4 天'!J$5="其他"),'第 4 天'!J72,0),IF(OR('第 4 天'!L$5="停車費",'第 4 天'!L$5="其他"),'第 4 天'!L72,0),IF(OR('第 4 天'!N$5="停車費",'第 4 天'!N$5="其他"),'第 4 天'!N72,0),IF(OR('第 4 天'!P$5="停車費",'第 4 天'!P$5="其他"),'第 4 天'!P72,0))</f>
        <v>0</v>
      </c>
      <c r="G112" s="14" t="n">
        <f aca="false">SUM(C112:F112)</f>
        <v>0</v>
      </c>
      <c r="H112" s="14" t="n">
        <f aca="false">IF(LEN(TRIM(成員名單!$B25))=0,0,SUM(IF('第 4 天'!D$7=$B112,'第 4 天'!D46,0),IF('第 4 天'!F$7=$B112,'第 4 天'!F46,0),IF('第 4 天'!H$7=$B112,'第 4 天'!H46,0),IF('第 4 天'!J$7=$B112,'第 4 天'!J46,0),IF('第 4 天'!L$7=$B112,'第 4 天'!L46,0),IF('第 4 天'!N$7=$B112,'第 4 天'!N46,0),IF('第 4 天'!P$7=$B112,'第 4 天'!P46,0)))</f>
        <v>0</v>
      </c>
    </row>
    <row r="113" customFormat="false" ht="15" hidden="false" customHeight="false" outlineLevel="0" collapsed="false">
      <c r="A113" s="13" t="s">
        <v>107</v>
      </c>
      <c r="B113" s="13" t="s">
        <v>39</v>
      </c>
      <c r="C113" s="14" t="n">
        <f aca="false">SUM(IF(OR('第 4 天'!D$5="早餐",'第 4 天'!D$5="午餐",'第 4 天'!D$5="晚餐"),'第 4 天'!D73,0),IF(OR('第 4 天'!F$5="早餐",'第 4 天'!F$5="午餐",'第 4 天'!F$5="晚餐"),'第 4 天'!F73,0),IF(OR('第 4 天'!H$5="早餐",'第 4 天'!H$5="午餐",'第 4 天'!H$5="晚餐"),'第 4 天'!H73,0),IF(OR('第 4 天'!J$5="早餐",'第 4 天'!J$5="午餐",'第 4 天'!J$5="晚餐"),'第 4 天'!J73,0),IF(OR('第 4 天'!L$5="早餐",'第 4 天'!L$5="午餐",'第 4 天'!L$5="晚餐"),'第 4 天'!L73,0),IF(OR('第 4 天'!N$5="早餐",'第 4 天'!N$5="午餐",'第 4 天'!N$5="晚餐"),'第 4 天'!N73,0),IF(OR('第 4 天'!P$5="早餐",'第 4 天'!P$5="午餐",'第 4 天'!P$5="晚餐"),'第 4 天'!P73,0))</f>
        <v>0</v>
      </c>
      <c r="D113" s="14" t="n">
        <f aca="false">SUM(IF(OR('第 4 天'!D$5="油錢"),'第 4 天'!D73,0),IF(OR('第 4 天'!F$5="油錢"),'第 4 天'!F73,0),IF(OR('第 4 天'!H$5="油錢"),'第 4 天'!H73,0),IF(OR('第 4 天'!J$5="油錢"),'第 4 天'!J73,0),IF(OR('第 4 天'!L$5="油錢"),'第 4 天'!L73,0),IF(OR('第 4 天'!N$5="油錢"),'第 4 天'!N73,0),IF(OR('第 4 天'!P$5="油錢"),'第 4 天'!P73,0))</f>
        <v>0</v>
      </c>
      <c r="E113" s="14" t="n">
        <f aca="false">SUM(IF(OR('第 4 天'!D$5="租車費"),'第 4 天'!D73,0),IF(OR('第 4 天'!F$5="租車費"),'第 4 天'!F73,0),IF(OR('第 4 天'!H$5="租車費"),'第 4 天'!H73,0),IF(OR('第 4 天'!J$5="租車費"),'第 4 天'!J73,0),IF(OR('第 4 天'!L$5="租車費"),'第 4 天'!L73,0),IF(OR('第 4 天'!N$5="租車費"),'第 4 天'!N73,0),IF(OR('第 4 天'!P$5="租車費"),'第 4 天'!P73,0))</f>
        <v>0</v>
      </c>
      <c r="F113" s="14" t="n">
        <f aca="false">SUM(IF(OR('第 4 天'!D$5="停車費",'第 4 天'!D$5="其他"),'第 4 天'!D73,0),IF(OR('第 4 天'!F$5="停車費",'第 4 天'!F$5="其他"),'第 4 天'!F73,0),IF(OR('第 4 天'!H$5="停車費",'第 4 天'!H$5="其他"),'第 4 天'!H73,0),IF(OR('第 4 天'!J$5="停車費",'第 4 天'!J$5="其他"),'第 4 天'!J73,0),IF(OR('第 4 天'!L$5="停車費",'第 4 天'!L$5="其他"),'第 4 天'!L73,0),IF(OR('第 4 天'!N$5="停車費",'第 4 天'!N$5="其他"),'第 4 天'!N73,0),IF(OR('第 4 天'!P$5="停車費",'第 4 天'!P$5="其他"),'第 4 天'!P73,0))</f>
        <v>0</v>
      </c>
      <c r="G113" s="14" t="n">
        <f aca="false">SUM(C113:F113)</f>
        <v>0</v>
      </c>
      <c r="H113" s="14" t="n">
        <f aca="false">IF(LEN(TRIM(成員名單!$B26))=0,0,SUM(IF('第 4 天'!D$7=$B113,'第 4 天'!D46,0),IF('第 4 天'!F$7=$B113,'第 4 天'!F46,0),IF('第 4 天'!H$7=$B113,'第 4 天'!H46,0),IF('第 4 天'!J$7=$B113,'第 4 天'!J46,0),IF('第 4 天'!L$7=$B113,'第 4 天'!L46,0),IF('第 4 天'!N$7=$B113,'第 4 天'!N46,0),IF('第 4 天'!P$7=$B113,'第 4 天'!P46,0)))</f>
        <v>0</v>
      </c>
    </row>
    <row r="114" customFormat="false" ht="15" hidden="false" customHeight="false" outlineLevel="0" collapsed="false">
      <c r="A114" s="13" t="s">
        <v>107</v>
      </c>
      <c r="B114" s="13" t="s">
        <v>40</v>
      </c>
      <c r="C114" s="14" t="n">
        <f aca="false">SUM(IF(OR('第 4 天'!D$5="早餐",'第 4 天'!D$5="午餐",'第 4 天'!D$5="晚餐"),'第 4 天'!D74,0),IF(OR('第 4 天'!F$5="早餐",'第 4 天'!F$5="午餐",'第 4 天'!F$5="晚餐"),'第 4 天'!F74,0),IF(OR('第 4 天'!H$5="早餐",'第 4 天'!H$5="午餐",'第 4 天'!H$5="晚餐"),'第 4 天'!H74,0),IF(OR('第 4 天'!J$5="早餐",'第 4 天'!J$5="午餐",'第 4 天'!J$5="晚餐"),'第 4 天'!J74,0),IF(OR('第 4 天'!L$5="早餐",'第 4 天'!L$5="午餐",'第 4 天'!L$5="晚餐"),'第 4 天'!L74,0),IF(OR('第 4 天'!N$5="早餐",'第 4 天'!N$5="午餐",'第 4 天'!N$5="晚餐"),'第 4 天'!N74,0),IF(OR('第 4 天'!P$5="早餐",'第 4 天'!P$5="午餐",'第 4 天'!P$5="晚餐"),'第 4 天'!P74,0))</f>
        <v>0</v>
      </c>
      <c r="D114" s="14" t="n">
        <f aca="false">SUM(IF(OR('第 4 天'!D$5="油錢"),'第 4 天'!D74,0),IF(OR('第 4 天'!F$5="油錢"),'第 4 天'!F74,0),IF(OR('第 4 天'!H$5="油錢"),'第 4 天'!H74,0),IF(OR('第 4 天'!J$5="油錢"),'第 4 天'!J74,0),IF(OR('第 4 天'!L$5="油錢"),'第 4 天'!L74,0),IF(OR('第 4 天'!N$5="油錢"),'第 4 天'!N74,0),IF(OR('第 4 天'!P$5="油錢"),'第 4 天'!P74,0))</f>
        <v>0</v>
      </c>
      <c r="E114" s="14" t="n">
        <f aca="false">SUM(IF(OR('第 4 天'!D$5="租車費"),'第 4 天'!D74,0),IF(OR('第 4 天'!F$5="租車費"),'第 4 天'!F74,0),IF(OR('第 4 天'!H$5="租車費"),'第 4 天'!H74,0),IF(OR('第 4 天'!J$5="租車費"),'第 4 天'!J74,0),IF(OR('第 4 天'!L$5="租車費"),'第 4 天'!L74,0),IF(OR('第 4 天'!N$5="租車費"),'第 4 天'!N74,0),IF(OR('第 4 天'!P$5="租車費"),'第 4 天'!P74,0))</f>
        <v>0</v>
      </c>
      <c r="F114" s="14" t="n">
        <f aca="false">SUM(IF(OR('第 4 天'!D$5="停車費",'第 4 天'!D$5="其他"),'第 4 天'!D74,0),IF(OR('第 4 天'!F$5="停車費",'第 4 天'!F$5="其他"),'第 4 天'!F74,0),IF(OR('第 4 天'!H$5="停車費",'第 4 天'!H$5="其他"),'第 4 天'!H74,0),IF(OR('第 4 天'!J$5="停車費",'第 4 天'!J$5="其他"),'第 4 天'!J74,0),IF(OR('第 4 天'!L$5="停車費",'第 4 天'!L$5="其他"),'第 4 天'!L74,0),IF(OR('第 4 天'!N$5="停車費",'第 4 天'!N$5="其他"),'第 4 天'!N74,0),IF(OR('第 4 天'!P$5="停車費",'第 4 天'!P$5="其他"),'第 4 天'!P74,0))</f>
        <v>0</v>
      </c>
      <c r="G114" s="14" t="n">
        <f aca="false">SUM(C114:F114)</f>
        <v>0</v>
      </c>
      <c r="H114" s="14" t="n">
        <f aca="false">IF(LEN(TRIM(成員名單!$B27))=0,0,SUM(IF('第 4 天'!D$7=$B114,'第 4 天'!D46,0),IF('第 4 天'!F$7=$B114,'第 4 天'!F46,0),IF('第 4 天'!H$7=$B114,'第 4 天'!H46,0),IF('第 4 天'!J$7=$B114,'第 4 天'!J46,0),IF('第 4 天'!L$7=$B114,'第 4 天'!L46,0),IF('第 4 天'!N$7=$B114,'第 4 天'!N46,0),IF('第 4 天'!P$7=$B114,'第 4 天'!P46,0)))</f>
        <v>0</v>
      </c>
    </row>
    <row r="115" customFormat="false" ht="15" hidden="false" customHeight="false" outlineLevel="0" collapsed="false">
      <c r="A115" s="13" t="s">
        <v>107</v>
      </c>
      <c r="B115" s="13" t="s">
        <v>41</v>
      </c>
      <c r="C115" s="14" t="n">
        <f aca="false">SUM(IF(OR('第 4 天'!D$5="早餐",'第 4 天'!D$5="午餐",'第 4 天'!D$5="晚餐"),'第 4 天'!D75,0),IF(OR('第 4 天'!F$5="早餐",'第 4 天'!F$5="午餐",'第 4 天'!F$5="晚餐"),'第 4 天'!F75,0),IF(OR('第 4 天'!H$5="早餐",'第 4 天'!H$5="午餐",'第 4 天'!H$5="晚餐"),'第 4 天'!H75,0),IF(OR('第 4 天'!J$5="早餐",'第 4 天'!J$5="午餐",'第 4 天'!J$5="晚餐"),'第 4 天'!J75,0),IF(OR('第 4 天'!L$5="早餐",'第 4 天'!L$5="午餐",'第 4 天'!L$5="晚餐"),'第 4 天'!L75,0),IF(OR('第 4 天'!N$5="早餐",'第 4 天'!N$5="午餐",'第 4 天'!N$5="晚餐"),'第 4 天'!N75,0),IF(OR('第 4 天'!P$5="早餐",'第 4 天'!P$5="午餐",'第 4 天'!P$5="晚餐"),'第 4 天'!P75,0))</f>
        <v>0</v>
      </c>
      <c r="D115" s="14" t="n">
        <f aca="false">SUM(IF(OR('第 4 天'!D$5="油錢"),'第 4 天'!D75,0),IF(OR('第 4 天'!F$5="油錢"),'第 4 天'!F75,0),IF(OR('第 4 天'!H$5="油錢"),'第 4 天'!H75,0),IF(OR('第 4 天'!J$5="油錢"),'第 4 天'!J75,0),IF(OR('第 4 天'!L$5="油錢"),'第 4 天'!L75,0),IF(OR('第 4 天'!N$5="油錢"),'第 4 天'!N75,0),IF(OR('第 4 天'!P$5="油錢"),'第 4 天'!P75,0))</f>
        <v>0</v>
      </c>
      <c r="E115" s="14" t="n">
        <f aca="false">SUM(IF(OR('第 4 天'!D$5="租車費"),'第 4 天'!D75,0),IF(OR('第 4 天'!F$5="租車費"),'第 4 天'!F75,0),IF(OR('第 4 天'!H$5="租車費"),'第 4 天'!H75,0),IF(OR('第 4 天'!J$5="租車費"),'第 4 天'!J75,0),IF(OR('第 4 天'!L$5="租車費"),'第 4 天'!L75,0),IF(OR('第 4 天'!N$5="租車費"),'第 4 天'!N75,0),IF(OR('第 4 天'!P$5="租車費"),'第 4 天'!P75,0))</f>
        <v>0</v>
      </c>
      <c r="F115" s="14" t="n">
        <f aca="false">SUM(IF(OR('第 4 天'!D$5="停車費",'第 4 天'!D$5="其他"),'第 4 天'!D75,0),IF(OR('第 4 天'!F$5="停車費",'第 4 天'!F$5="其他"),'第 4 天'!F75,0),IF(OR('第 4 天'!H$5="停車費",'第 4 天'!H$5="其他"),'第 4 天'!H75,0),IF(OR('第 4 天'!J$5="停車費",'第 4 天'!J$5="其他"),'第 4 天'!J75,0),IF(OR('第 4 天'!L$5="停車費",'第 4 天'!L$5="其他"),'第 4 天'!L75,0),IF(OR('第 4 天'!N$5="停車費",'第 4 天'!N$5="其他"),'第 4 天'!N75,0),IF(OR('第 4 天'!P$5="停車費",'第 4 天'!P$5="其他"),'第 4 天'!P75,0))</f>
        <v>0</v>
      </c>
      <c r="G115" s="14" t="n">
        <f aca="false">SUM(C115:F115)</f>
        <v>0</v>
      </c>
      <c r="H115" s="14" t="n">
        <f aca="false">IF(LEN(TRIM(成員名單!$B28))=0,0,SUM(IF('第 4 天'!D$7=$B115,'第 4 天'!D46,0),IF('第 4 天'!F$7=$B115,'第 4 天'!F46,0),IF('第 4 天'!H$7=$B115,'第 4 天'!H46,0),IF('第 4 天'!J$7=$B115,'第 4 天'!J46,0),IF('第 4 天'!L$7=$B115,'第 4 天'!L46,0),IF('第 4 天'!N$7=$B115,'第 4 天'!N46,0),IF('第 4 天'!P$7=$B115,'第 4 天'!P46,0)))</f>
        <v>0</v>
      </c>
    </row>
    <row r="116" customFormat="false" ht="15" hidden="false" customHeight="false" outlineLevel="0" collapsed="false">
      <c r="A116" s="13" t="s">
        <v>107</v>
      </c>
      <c r="B116" s="13" t="s">
        <v>42</v>
      </c>
      <c r="C116" s="14" t="n">
        <f aca="false">SUM(IF(OR('第 4 天'!D$5="早餐",'第 4 天'!D$5="午餐",'第 4 天'!D$5="晚餐"),'第 4 天'!D76,0),IF(OR('第 4 天'!F$5="早餐",'第 4 天'!F$5="午餐",'第 4 天'!F$5="晚餐"),'第 4 天'!F76,0),IF(OR('第 4 天'!H$5="早餐",'第 4 天'!H$5="午餐",'第 4 天'!H$5="晚餐"),'第 4 天'!H76,0),IF(OR('第 4 天'!J$5="早餐",'第 4 天'!J$5="午餐",'第 4 天'!J$5="晚餐"),'第 4 天'!J76,0),IF(OR('第 4 天'!L$5="早餐",'第 4 天'!L$5="午餐",'第 4 天'!L$5="晚餐"),'第 4 天'!L76,0),IF(OR('第 4 天'!N$5="早餐",'第 4 天'!N$5="午餐",'第 4 天'!N$5="晚餐"),'第 4 天'!N76,0),IF(OR('第 4 天'!P$5="早餐",'第 4 天'!P$5="午餐",'第 4 天'!P$5="晚餐"),'第 4 天'!P76,0))</f>
        <v>0</v>
      </c>
      <c r="D116" s="14" t="n">
        <f aca="false">SUM(IF(OR('第 4 天'!D$5="油錢"),'第 4 天'!D76,0),IF(OR('第 4 天'!F$5="油錢"),'第 4 天'!F76,0),IF(OR('第 4 天'!H$5="油錢"),'第 4 天'!H76,0),IF(OR('第 4 天'!J$5="油錢"),'第 4 天'!J76,0),IF(OR('第 4 天'!L$5="油錢"),'第 4 天'!L76,0),IF(OR('第 4 天'!N$5="油錢"),'第 4 天'!N76,0),IF(OR('第 4 天'!P$5="油錢"),'第 4 天'!P76,0))</f>
        <v>0</v>
      </c>
      <c r="E116" s="14" t="n">
        <f aca="false">SUM(IF(OR('第 4 天'!D$5="租車費"),'第 4 天'!D76,0),IF(OR('第 4 天'!F$5="租車費"),'第 4 天'!F76,0),IF(OR('第 4 天'!H$5="租車費"),'第 4 天'!H76,0),IF(OR('第 4 天'!J$5="租車費"),'第 4 天'!J76,0),IF(OR('第 4 天'!L$5="租車費"),'第 4 天'!L76,0),IF(OR('第 4 天'!N$5="租車費"),'第 4 天'!N76,0),IF(OR('第 4 天'!P$5="租車費"),'第 4 天'!P76,0))</f>
        <v>0</v>
      </c>
      <c r="F116" s="14" t="n">
        <f aca="false">SUM(IF(OR('第 4 天'!D$5="停車費",'第 4 天'!D$5="其他"),'第 4 天'!D76,0),IF(OR('第 4 天'!F$5="停車費",'第 4 天'!F$5="其他"),'第 4 天'!F76,0),IF(OR('第 4 天'!H$5="停車費",'第 4 天'!H$5="其他"),'第 4 天'!H76,0),IF(OR('第 4 天'!J$5="停車費",'第 4 天'!J$5="其他"),'第 4 天'!J76,0),IF(OR('第 4 天'!L$5="停車費",'第 4 天'!L$5="其他"),'第 4 天'!L76,0),IF(OR('第 4 天'!N$5="停車費",'第 4 天'!N$5="其他"),'第 4 天'!N76,0),IF(OR('第 4 天'!P$5="停車費",'第 4 天'!P$5="其他"),'第 4 天'!P76,0))</f>
        <v>0</v>
      </c>
      <c r="G116" s="14" t="n">
        <f aca="false">SUM(C116:F116)</f>
        <v>0</v>
      </c>
      <c r="H116" s="14" t="n">
        <f aca="false">IF(LEN(TRIM(成員名單!$B29))=0,0,SUM(IF('第 4 天'!D$7=$B116,'第 4 天'!D46,0),IF('第 4 天'!F$7=$B116,'第 4 天'!F46,0),IF('第 4 天'!H$7=$B116,'第 4 天'!H46,0),IF('第 4 天'!J$7=$B116,'第 4 天'!J46,0),IF('第 4 天'!L$7=$B116,'第 4 天'!L46,0),IF('第 4 天'!N$7=$B116,'第 4 天'!N46,0),IF('第 4 天'!P$7=$B116,'第 4 天'!P46,0)))</f>
        <v>0</v>
      </c>
    </row>
    <row r="117" customFormat="false" ht="15" hidden="false" customHeight="false" outlineLevel="0" collapsed="false">
      <c r="A117" s="13" t="s">
        <v>107</v>
      </c>
      <c r="B117" s="13" t="s">
        <v>43</v>
      </c>
      <c r="C117" s="14" t="n">
        <f aca="false">SUM(IF(OR('第 4 天'!D$5="早餐",'第 4 天'!D$5="午餐",'第 4 天'!D$5="晚餐"),'第 4 天'!D77,0),IF(OR('第 4 天'!F$5="早餐",'第 4 天'!F$5="午餐",'第 4 天'!F$5="晚餐"),'第 4 天'!F77,0),IF(OR('第 4 天'!H$5="早餐",'第 4 天'!H$5="午餐",'第 4 天'!H$5="晚餐"),'第 4 天'!H77,0),IF(OR('第 4 天'!J$5="早餐",'第 4 天'!J$5="午餐",'第 4 天'!J$5="晚餐"),'第 4 天'!J77,0),IF(OR('第 4 天'!L$5="早餐",'第 4 天'!L$5="午餐",'第 4 天'!L$5="晚餐"),'第 4 天'!L77,0),IF(OR('第 4 天'!N$5="早餐",'第 4 天'!N$5="午餐",'第 4 天'!N$5="晚餐"),'第 4 天'!N77,0),IF(OR('第 4 天'!P$5="早餐",'第 4 天'!P$5="午餐",'第 4 天'!P$5="晚餐"),'第 4 天'!P77,0))</f>
        <v>0</v>
      </c>
      <c r="D117" s="14" t="n">
        <f aca="false">SUM(IF(OR('第 4 天'!D$5="油錢"),'第 4 天'!D77,0),IF(OR('第 4 天'!F$5="油錢"),'第 4 天'!F77,0),IF(OR('第 4 天'!H$5="油錢"),'第 4 天'!H77,0),IF(OR('第 4 天'!J$5="油錢"),'第 4 天'!J77,0),IF(OR('第 4 天'!L$5="油錢"),'第 4 天'!L77,0),IF(OR('第 4 天'!N$5="油錢"),'第 4 天'!N77,0),IF(OR('第 4 天'!P$5="油錢"),'第 4 天'!P77,0))</f>
        <v>0</v>
      </c>
      <c r="E117" s="14" t="n">
        <f aca="false">SUM(IF(OR('第 4 天'!D$5="租車費"),'第 4 天'!D77,0),IF(OR('第 4 天'!F$5="租車費"),'第 4 天'!F77,0),IF(OR('第 4 天'!H$5="租車費"),'第 4 天'!H77,0),IF(OR('第 4 天'!J$5="租車費"),'第 4 天'!J77,0),IF(OR('第 4 天'!L$5="租車費"),'第 4 天'!L77,0),IF(OR('第 4 天'!N$5="租車費"),'第 4 天'!N77,0),IF(OR('第 4 天'!P$5="租車費"),'第 4 天'!P77,0))</f>
        <v>0</v>
      </c>
      <c r="F117" s="14" t="n">
        <f aca="false">SUM(IF(OR('第 4 天'!D$5="停車費",'第 4 天'!D$5="其他"),'第 4 天'!D77,0),IF(OR('第 4 天'!F$5="停車費",'第 4 天'!F$5="其他"),'第 4 天'!F77,0),IF(OR('第 4 天'!H$5="停車費",'第 4 天'!H$5="其他"),'第 4 天'!H77,0),IF(OR('第 4 天'!J$5="停車費",'第 4 天'!J$5="其他"),'第 4 天'!J77,0),IF(OR('第 4 天'!L$5="停車費",'第 4 天'!L$5="其他"),'第 4 天'!L77,0),IF(OR('第 4 天'!N$5="停車費",'第 4 天'!N$5="其他"),'第 4 天'!N77,0),IF(OR('第 4 天'!P$5="停車費",'第 4 天'!P$5="其他"),'第 4 天'!P77,0))</f>
        <v>0</v>
      </c>
      <c r="G117" s="14" t="n">
        <f aca="false">SUM(C117:F117)</f>
        <v>0</v>
      </c>
      <c r="H117" s="14" t="n">
        <f aca="false">IF(LEN(TRIM(成員名單!$B30))=0,0,SUM(IF('第 4 天'!D$7=$B117,'第 4 天'!D46,0),IF('第 4 天'!F$7=$B117,'第 4 天'!F46,0),IF('第 4 天'!H$7=$B117,'第 4 天'!H46,0),IF('第 4 天'!J$7=$B117,'第 4 天'!J46,0),IF('第 4 天'!L$7=$B117,'第 4 天'!L46,0),IF('第 4 天'!N$7=$B117,'第 4 天'!N46,0),IF('第 4 天'!P$7=$B117,'第 4 天'!P46,0)))</f>
        <v>0</v>
      </c>
    </row>
    <row r="118" customFormat="false" ht="15" hidden="false" customHeight="false" outlineLevel="0" collapsed="false">
      <c r="A118" s="13" t="s">
        <v>107</v>
      </c>
      <c r="B118" s="13" t="s">
        <v>44</v>
      </c>
      <c r="C118" s="14" t="n">
        <f aca="false">SUM(IF(OR('第 4 天'!D$5="早餐",'第 4 天'!D$5="午餐",'第 4 天'!D$5="晚餐"),'第 4 天'!D78,0),IF(OR('第 4 天'!F$5="早餐",'第 4 天'!F$5="午餐",'第 4 天'!F$5="晚餐"),'第 4 天'!F78,0),IF(OR('第 4 天'!H$5="早餐",'第 4 天'!H$5="午餐",'第 4 天'!H$5="晚餐"),'第 4 天'!H78,0),IF(OR('第 4 天'!J$5="早餐",'第 4 天'!J$5="午餐",'第 4 天'!J$5="晚餐"),'第 4 天'!J78,0),IF(OR('第 4 天'!L$5="早餐",'第 4 天'!L$5="午餐",'第 4 天'!L$5="晚餐"),'第 4 天'!L78,0),IF(OR('第 4 天'!N$5="早餐",'第 4 天'!N$5="午餐",'第 4 天'!N$5="晚餐"),'第 4 天'!N78,0),IF(OR('第 4 天'!P$5="早餐",'第 4 天'!P$5="午餐",'第 4 天'!P$5="晚餐"),'第 4 天'!P78,0))</f>
        <v>0</v>
      </c>
      <c r="D118" s="14" t="n">
        <f aca="false">SUM(IF(OR('第 4 天'!D$5="油錢"),'第 4 天'!D78,0),IF(OR('第 4 天'!F$5="油錢"),'第 4 天'!F78,0),IF(OR('第 4 天'!H$5="油錢"),'第 4 天'!H78,0),IF(OR('第 4 天'!J$5="油錢"),'第 4 天'!J78,0),IF(OR('第 4 天'!L$5="油錢"),'第 4 天'!L78,0),IF(OR('第 4 天'!N$5="油錢"),'第 4 天'!N78,0),IF(OR('第 4 天'!P$5="油錢"),'第 4 天'!P78,0))</f>
        <v>0</v>
      </c>
      <c r="E118" s="14" t="n">
        <f aca="false">SUM(IF(OR('第 4 天'!D$5="租車費"),'第 4 天'!D78,0),IF(OR('第 4 天'!F$5="租車費"),'第 4 天'!F78,0),IF(OR('第 4 天'!H$5="租車費"),'第 4 天'!H78,0),IF(OR('第 4 天'!J$5="租車費"),'第 4 天'!J78,0),IF(OR('第 4 天'!L$5="租車費"),'第 4 天'!L78,0),IF(OR('第 4 天'!N$5="租車費"),'第 4 天'!N78,0),IF(OR('第 4 天'!P$5="租車費"),'第 4 天'!P78,0))</f>
        <v>0</v>
      </c>
      <c r="F118" s="14" t="n">
        <f aca="false">SUM(IF(OR('第 4 天'!D$5="停車費",'第 4 天'!D$5="其他"),'第 4 天'!D78,0),IF(OR('第 4 天'!F$5="停車費",'第 4 天'!F$5="其他"),'第 4 天'!F78,0),IF(OR('第 4 天'!H$5="停車費",'第 4 天'!H$5="其他"),'第 4 天'!H78,0),IF(OR('第 4 天'!J$5="停車費",'第 4 天'!J$5="其他"),'第 4 天'!J78,0),IF(OR('第 4 天'!L$5="停車費",'第 4 天'!L$5="其他"),'第 4 天'!L78,0),IF(OR('第 4 天'!N$5="停車費",'第 4 天'!N$5="其他"),'第 4 天'!N78,0),IF(OR('第 4 天'!P$5="停車費",'第 4 天'!P$5="其他"),'第 4 天'!P78,0))</f>
        <v>0</v>
      </c>
      <c r="G118" s="14" t="n">
        <f aca="false">SUM(C118:F118)</f>
        <v>0</v>
      </c>
      <c r="H118" s="14" t="n">
        <f aca="false">IF(LEN(TRIM(成員名單!$B31))=0,0,SUM(IF('第 4 天'!D$7=$B118,'第 4 天'!D46,0),IF('第 4 天'!F$7=$B118,'第 4 天'!F46,0),IF('第 4 天'!H$7=$B118,'第 4 天'!H46,0),IF('第 4 天'!J$7=$B118,'第 4 天'!J46,0),IF('第 4 天'!L$7=$B118,'第 4 天'!L46,0),IF('第 4 天'!N$7=$B118,'第 4 天'!N46,0),IF('第 4 天'!P$7=$B118,'第 4 天'!P46,0)))</f>
        <v>0</v>
      </c>
    </row>
    <row r="119" customFormat="false" ht="15" hidden="false" customHeight="false" outlineLevel="0" collapsed="false">
      <c r="A119" s="13" t="s">
        <v>107</v>
      </c>
      <c r="B119" s="13" t="s">
        <v>45</v>
      </c>
      <c r="C119" s="14" t="n">
        <f aca="false">SUM(IF(OR('第 4 天'!D$5="早餐",'第 4 天'!D$5="午餐",'第 4 天'!D$5="晚餐"),'第 4 天'!D79,0),IF(OR('第 4 天'!F$5="早餐",'第 4 天'!F$5="午餐",'第 4 天'!F$5="晚餐"),'第 4 天'!F79,0),IF(OR('第 4 天'!H$5="早餐",'第 4 天'!H$5="午餐",'第 4 天'!H$5="晚餐"),'第 4 天'!H79,0),IF(OR('第 4 天'!J$5="早餐",'第 4 天'!J$5="午餐",'第 4 天'!J$5="晚餐"),'第 4 天'!J79,0),IF(OR('第 4 天'!L$5="早餐",'第 4 天'!L$5="午餐",'第 4 天'!L$5="晚餐"),'第 4 天'!L79,0),IF(OR('第 4 天'!N$5="早餐",'第 4 天'!N$5="午餐",'第 4 天'!N$5="晚餐"),'第 4 天'!N79,0),IF(OR('第 4 天'!P$5="早餐",'第 4 天'!P$5="午餐",'第 4 天'!P$5="晚餐"),'第 4 天'!P79,0))</f>
        <v>0</v>
      </c>
      <c r="D119" s="14" t="n">
        <f aca="false">SUM(IF(OR('第 4 天'!D$5="油錢"),'第 4 天'!D79,0),IF(OR('第 4 天'!F$5="油錢"),'第 4 天'!F79,0),IF(OR('第 4 天'!H$5="油錢"),'第 4 天'!H79,0),IF(OR('第 4 天'!J$5="油錢"),'第 4 天'!J79,0),IF(OR('第 4 天'!L$5="油錢"),'第 4 天'!L79,0),IF(OR('第 4 天'!N$5="油錢"),'第 4 天'!N79,0),IF(OR('第 4 天'!P$5="油錢"),'第 4 天'!P79,0))</f>
        <v>0</v>
      </c>
      <c r="E119" s="14" t="n">
        <f aca="false">SUM(IF(OR('第 4 天'!D$5="租車費"),'第 4 天'!D79,0),IF(OR('第 4 天'!F$5="租車費"),'第 4 天'!F79,0),IF(OR('第 4 天'!H$5="租車費"),'第 4 天'!H79,0),IF(OR('第 4 天'!J$5="租車費"),'第 4 天'!J79,0),IF(OR('第 4 天'!L$5="租車費"),'第 4 天'!L79,0),IF(OR('第 4 天'!N$5="租車費"),'第 4 天'!N79,0),IF(OR('第 4 天'!P$5="租車費"),'第 4 天'!P79,0))</f>
        <v>0</v>
      </c>
      <c r="F119" s="14" t="n">
        <f aca="false">SUM(IF(OR('第 4 天'!D$5="停車費",'第 4 天'!D$5="其他"),'第 4 天'!D79,0),IF(OR('第 4 天'!F$5="停車費",'第 4 天'!F$5="其他"),'第 4 天'!F79,0),IF(OR('第 4 天'!H$5="停車費",'第 4 天'!H$5="其他"),'第 4 天'!H79,0),IF(OR('第 4 天'!J$5="停車費",'第 4 天'!J$5="其他"),'第 4 天'!J79,0),IF(OR('第 4 天'!L$5="停車費",'第 4 天'!L$5="其他"),'第 4 天'!L79,0),IF(OR('第 4 天'!N$5="停車費",'第 4 天'!N$5="其他"),'第 4 天'!N79,0),IF(OR('第 4 天'!P$5="停車費",'第 4 天'!P$5="其他"),'第 4 天'!P79,0))</f>
        <v>0</v>
      </c>
      <c r="G119" s="14" t="n">
        <f aca="false">SUM(C119:F119)</f>
        <v>0</v>
      </c>
      <c r="H119" s="14" t="n">
        <f aca="false">IF(LEN(TRIM(成員名單!$B32))=0,0,SUM(IF('第 4 天'!D$7=$B119,'第 4 天'!D46,0),IF('第 4 天'!F$7=$B119,'第 4 天'!F46,0),IF('第 4 天'!H$7=$B119,'第 4 天'!H46,0),IF('第 4 天'!J$7=$B119,'第 4 天'!J46,0),IF('第 4 天'!L$7=$B119,'第 4 天'!L46,0),IF('第 4 天'!N$7=$B119,'第 4 天'!N46,0),IF('第 4 天'!P$7=$B119,'第 4 天'!P46,0)))</f>
        <v>0</v>
      </c>
    </row>
    <row r="120" customFormat="false" ht="15" hidden="false" customHeight="false" outlineLevel="0" collapsed="false">
      <c r="A120" s="13" t="s">
        <v>107</v>
      </c>
      <c r="B120" s="13" t="s">
        <v>46</v>
      </c>
      <c r="C120" s="14" t="n">
        <f aca="false">SUM(IF(OR('第 4 天'!D$5="早餐",'第 4 天'!D$5="午餐",'第 4 天'!D$5="晚餐"),'第 4 天'!D80,0),IF(OR('第 4 天'!F$5="早餐",'第 4 天'!F$5="午餐",'第 4 天'!F$5="晚餐"),'第 4 天'!F80,0),IF(OR('第 4 天'!H$5="早餐",'第 4 天'!H$5="午餐",'第 4 天'!H$5="晚餐"),'第 4 天'!H80,0),IF(OR('第 4 天'!J$5="早餐",'第 4 天'!J$5="午餐",'第 4 天'!J$5="晚餐"),'第 4 天'!J80,0),IF(OR('第 4 天'!L$5="早餐",'第 4 天'!L$5="午餐",'第 4 天'!L$5="晚餐"),'第 4 天'!L80,0),IF(OR('第 4 天'!N$5="早餐",'第 4 天'!N$5="午餐",'第 4 天'!N$5="晚餐"),'第 4 天'!N80,0),IF(OR('第 4 天'!P$5="早餐",'第 4 天'!P$5="午餐",'第 4 天'!P$5="晚餐"),'第 4 天'!P80,0))</f>
        <v>0</v>
      </c>
      <c r="D120" s="14" t="n">
        <f aca="false">SUM(IF(OR('第 4 天'!D$5="油錢"),'第 4 天'!D80,0),IF(OR('第 4 天'!F$5="油錢"),'第 4 天'!F80,0),IF(OR('第 4 天'!H$5="油錢"),'第 4 天'!H80,0),IF(OR('第 4 天'!J$5="油錢"),'第 4 天'!J80,0),IF(OR('第 4 天'!L$5="油錢"),'第 4 天'!L80,0),IF(OR('第 4 天'!N$5="油錢"),'第 4 天'!N80,0),IF(OR('第 4 天'!P$5="油錢"),'第 4 天'!P80,0))</f>
        <v>0</v>
      </c>
      <c r="E120" s="14" t="n">
        <f aca="false">SUM(IF(OR('第 4 天'!D$5="租車費"),'第 4 天'!D80,0),IF(OR('第 4 天'!F$5="租車費"),'第 4 天'!F80,0),IF(OR('第 4 天'!H$5="租車費"),'第 4 天'!H80,0),IF(OR('第 4 天'!J$5="租車費"),'第 4 天'!J80,0),IF(OR('第 4 天'!L$5="租車費"),'第 4 天'!L80,0),IF(OR('第 4 天'!N$5="租車費"),'第 4 天'!N80,0),IF(OR('第 4 天'!P$5="租車費"),'第 4 天'!P80,0))</f>
        <v>0</v>
      </c>
      <c r="F120" s="14" t="n">
        <f aca="false">SUM(IF(OR('第 4 天'!D$5="停車費",'第 4 天'!D$5="其他"),'第 4 天'!D80,0),IF(OR('第 4 天'!F$5="停車費",'第 4 天'!F$5="其他"),'第 4 天'!F80,0),IF(OR('第 4 天'!H$5="停車費",'第 4 天'!H$5="其他"),'第 4 天'!H80,0),IF(OR('第 4 天'!J$5="停車費",'第 4 天'!J$5="其他"),'第 4 天'!J80,0),IF(OR('第 4 天'!L$5="停車費",'第 4 天'!L$5="其他"),'第 4 天'!L80,0),IF(OR('第 4 天'!N$5="停車費",'第 4 天'!N$5="其他"),'第 4 天'!N80,0),IF(OR('第 4 天'!P$5="停車費",'第 4 天'!P$5="其他"),'第 4 天'!P80,0))</f>
        <v>0</v>
      </c>
      <c r="G120" s="14" t="n">
        <f aca="false">SUM(C120:F120)</f>
        <v>0</v>
      </c>
      <c r="H120" s="14" t="n">
        <f aca="false">IF(LEN(TRIM(成員名單!$B33))=0,0,SUM(IF('第 4 天'!D$7=$B120,'第 4 天'!D46,0),IF('第 4 天'!F$7=$B120,'第 4 天'!F46,0),IF('第 4 天'!H$7=$B120,'第 4 天'!H46,0),IF('第 4 天'!J$7=$B120,'第 4 天'!J46,0),IF('第 4 天'!L$7=$B120,'第 4 天'!L46,0),IF('第 4 天'!N$7=$B120,'第 4 天'!N46,0),IF('第 4 天'!P$7=$B120,'第 4 天'!P46,0)))</f>
        <v>0</v>
      </c>
    </row>
    <row r="121" customFormat="false" ht="15" hidden="false" customHeight="false" outlineLevel="0" collapsed="false">
      <c r="A121" s="13" t="s">
        <v>107</v>
      </c>
      <c r="B121" s="13" t="s">
        <v>47</v>
      </c>
      <c r="C121" s="14" t="n">
        <f aca="false">SUM(IF(OR('第 4 天'!D$5="早餐",'第 4 天'!D$5="午餐",'第 4 天'!D$5="晚餐"),'第 4 天'!D81,0),IF(OR('第 4 天'!F$5="早餐",'第 4 天'!F$5="午餐",'第 4 天'!F$5="晚餐"),'第 4 天'!F81,0),IF(OR('第 4 天'!H$5="早餐",'第 4 天'!H$5="午餐",'第 4 天'!H$5="晚餐"),'第 4 天'!H81,0),IF(OR('第 4 天'!J$5="早餐",'第 4 天'!J$5="午餐",'第 4 天'!J$5="晚餐"),'第 4 天'!J81,0),IF(OR('第 4 天'!L$5="早餐",'第 4 天'!L$5="午餐",'第 4 天'!L$5="晚餐"),'第 4 天'!L81,0),IF(OR('第 4 天'!N$5="早餐",'第 4 天'!N$5="午餐",'第 4 天'!N$5="晚餐"),'第 4 天'!N81,0),IF(OR('第 4 天'!P$5="早餐",'第 4 天'!P$5="午餐",'第 4 天'!P$5="晚餐"),'第 4 天'!P81,0))</f>
        <v>0</v>
      </c>
      <c r="D121" s="14" t="n">
        <f aca="false">SUM(IF(OR('第 4 天'!D$5="油錢"),'第 4 天'!D81,0),IF(OR('第 4 天'!F$5="油錢"),'第 4 天'!F81,0),IF(OR('第 4 天'!H$5="油錢"),'第 4 天'!H81,0),IF(OR('第 4 天'!J$5="油錢"),'第 4 天'!J81,0),IF(OR('第 4 天'!L$5="油錢"),'第 4 天'!L81,0),IF(OR('第 4 天'!N$5="油錢"),'第 4 天'!N81,0),IF(OR('第 4 天'!P$5="油錢"),'第 4 天'!P81,0))</f>
        <v>0</v>
      </c>
      <c r="E121" s="14" t="n">
        <f aca="false">SUM(IF(OR('第 4 天'!D$5="租車費"),'第 4 天'!D81,0),IF(OR('第 4 天'!F$5="租車費"),'第 4 天'!F81,0),IF(OR('第 4 天'!H$5="租車費"),'第 4 天'!H81,0),IF(OR('第 4 天'!J$5="租車費"),'第 4 天'!J81,0),IF(OR('第 4 天'!L$5="租車費"),'第 4 天'!L81,0),IF(OR('第 4 天'!N$5="租車費"),'第 4 天'!N81,0),IF(OR('第 4 天'!P$5="租車費"),'第 4 天'!P81,0))</f>
        <v>0</v>
      </c>
      <c r="F121" s="14" t="n">
        <f aca="false">SUM(IF(OR('第 4 天'!D$5="停車費",'第 4 天'!D$5="其他"),'第 4 天'!D81,0),IF(OR('第 4 天'!F$5="停車費",'第 4 天'!F$5="其他"),'第 4 天'!F81,0),IF(OR('第 4 天'!H$5="停車費",'第 4 天'!H$5="其他"),'第 4 天'!H81,0),IF(OR('第 4 天'!J$5="停車費",'第 4 天'!J$5="其他"),'第 4 天'!J81,0),IF(OR('第 4 天'!L$5="停車費",'第 4 天'!L$5="其他"),'第 4 天'!L81,0),IF(OR('第 4 天'!N$5="停車費",'第 4 天'!N$5="其他"),'第 4 天'!N81,0),IF(OR('第 4 天'!P$5="停車費",'第 4 天'!P$5="其他"),'第 4 天'!P81,0))</f>
        <v>0</v>
      </c>
      <c r="G121" s="14" t="n">
        <f aca="false">SUM(C121:F121)</f>
        <v>0</v>
      </c>
      <c r="H121" s="14" t="n">
        <f aca="false">IF(LEN(TRIM(成員名單!$B34))=0,0,SUM(IF('第 4 天'!D$7=$B121,'第 4 天'!D46,0),IF('第 4 天'!F$7=$B121,'第 4 天'!F46,0),IF('第 4 天'!H$7=$B121,'第 4 天'!H46,0),IF('第 4 天'!J$7=$B121,'第 4 天'!J46,0),IF('第 4 天'!L$7=$B121,'第 4 天'!L46,0),IF('第 4 天'!N$7=$B121,'第 4 天'!N46,0),IF('第 4 天'!P$7=$B121,'第 4 天'!P46,0)))</f>
        <v>0</v>
      </c>
    </row>
    <row r="122" customFormat="false" ht="15" hidden="false" customHeight="false" outlineLevel="0" collapsed="false">
      <c r="A122" s="13" t="s">
        <v>116</v>
      </c>
      <c r="B122" s="13" t="s">
        <v>18</v>
      </c>
      <c r="C122" s="14" t="n">
        <f aca="false">SUM(IF(OR('第 5 天'!D$5="早餐",'第 5 天'!D$5="午餐",'第 5 天'!D$5="晚餐"),'第 5 天'!D52,0),IF(OR('第 5 天'!F$5="早餐",'第 5 天'!F$5="午餐",'第 5 天'!F$5="晚餐"),'第 5 天'!F52,0),IF(OR('第 5 天'!H$5="早餐",'第 5 天'!H$5="午餐",'第 5 天'!H$5="晚餐"),'第 5 天'!H52,0),IF(OR('第 5 天'!J$5="早餐",'第 5 天'!J$5="午餐",'第 5 天'!J$5="晚餐"),'第 5 天'!J52,0),IF(OR('第 5 天'!L$5="早餐",'第 5 天'!L$5="午餐",'第 5 天'!L$5="晚餐"),'第 5 天'!L52,0),IF(OR('第 5 天'!N$5="早餐",'第 5 天'!N$5="午餐",'第 5 天'!N$5="晚餐"),'第 5 天'!N52,0),IF(OR('第 5 天'!P$5="早餐",'第 5 天'!P$5="午餐",'第 5 天'!P$5="晚餐"),'第 5 天'!P52,0))</f>
        <v>0</v>
      </c>
      <c r="D122" s="14" t="n">
        <f aca="false">SUM(IF(OR('第 5 天'!D$5="油錢"),'第 5 天'!D52,0),IF(OR('第 5 天'!F$5="油錢"),'第 5 天'!F52,0),IF(OR('第 5 天'!H$5="油錢"),'第 5 天'!H52,0),IF(OR('第 5 天'!J$5="油錢"),'第 5 天'!J52,0),IF(OR('第 5 天'!L$5="油錢"),'第 5 天'!L52,0),IF(OR('第 5 天'!N$5="油錢"),'第 5 天'!N52,0),IF(OR('第 5 天'!P$5="油錢"),'第 5 天'!P52,0))</f>
        <v>0</v>
      </c>
      <c r="E122" s="14" t="n">
        <f aca="false">SUM(IF(OR('第 5 天'!D$5="租車費"),'第 5 天'!D52,0),IF(OR('第 5 天'!F$5="租車費"),'第 5 天'!F52,0),IF(OR('第 5 天'!H$5="租車費"),'第 5 天'!H52,0),IF(OR('第 5 天'!J$5="租車費"),'第 5 天'!J52,0),IF(OR('第 5 天'!L$5="租車費"),'第 5 天'!L52,0),IF(OR('第 5 天'!N$5="租車費"),'第 5 天'!N52,0),IF(OR('第 5 天'!P$5="租車費"),'第 5 天'!P52,0))</f>
        <v>0</v>
      </c>
      <c r="F122" s="14" t="n">
        <f aca="false">SUM(IF(OR('第 5 天'!D$5="停車費",'第 5 天'!D$5="其他"),'第 5 天'!D52,0),IF(OR('第 5 天'!F$5="停車費",'第 5 天'!F$5="其他"),'第 5 天'!F52,0),IF(OR('第 5 天'!H$5="停車費",'第 5 天'!H$5="其他"),'第 5 天'!H52,0),IF(OR('第 5 天'!J$5="停車費",'第 5 天'!J$5="其他"),'第 5 天'!J52,0),IF(OR('第 5 天'!L$5="停車費",'第 5 天'!L$5="其他"),'第 5 天'!L52,0),IF(OR('第 5 天'!N$5="停車費",'第 5 天'!N$5="其他"),'第 5 天'!N52,0),IF(OR('第 5 天'!P$5="停車費",'第 5 天'!P$5="其他"),'第 5 天'!P52,0))</f>
        <v>0</v>
      </c>
      <c r="G122" s="14" t="n">
        <f aca="false">SUM(C122:F122)</f>
        <v>0</v>
      </c>
      <c r="H122" s="14" t="n">
        <f aca="false">IF(LEN(TRIM(成員名單!$B5))=0,0,SUM(IF('第 5 天'!D$7=$B122,'第 5 天'!D46,0),IF('第 5 天'!F$7=$B122,'第 5 天'!F46,0),IF('第 5 天'!H$7=$B122,'第 5 天'!H46,0),IF('第 5 天'!J$7=$B122,'第 5 天'!J46,0),IF('第 5 天'!L$7=$B122,'第 5 天'!L46,0),IF('第 5 天'!N$7=$B122,'第 5 天'!N46,0),IF('第 5 天'!P$7=$B122,'第 5 天'!P46,0)))</f>
        <v>0</v>
      </c>
    </row>
    <row r="123" customFormat="false" ht="15" hidden="false" customHeight="false" outlineLevel="0" collapsed="false">
      <c r="A123" s="13" t="s">
        <v>116</v>
      </c>
      <c r="B123" s="13" t="s">
        <v>19</v>
      </c>
      <c r="C123" s="14" t="n">
        <f aca="false">SUM(IF(OR('第 5 天'!D$5="早餐",'第 5 天'!D$5="午餐",'第 5 天'!D$5="晚餐"),'第 5 天'!D53,0),IF(OR('第 5 天'!F$5="早餐",'第 5 天'!F$5="午餐",'第 5 天'!F$5="晚餐"),'第 5 天'!F53,0),IF(OR('第 5 天'!H$5="早餐",'第 5 天'!H$5="午餐",'第 5 天'!H$5="晚餐"),'第 5 天'!H53,0),IF(OR('第 5 天'!J$5="早餐",'第 5 天'!J$5="午餐",'第 5 天'!J$5="晚餐"),'第 5 天'!J53,0),IF(OR('第 5 天'!L$5="早餐",'第 5 天'!L$5="午餐",'第 5 天'!L$5="晚餐"),'第 5 天'!L53,0),IF(OR('第 5 天'!N$5="早餐",'第 5 天'!N$5="午餐",'第 5 天'!N$5="晚餐"),'第 5 天'!N53,0),IF(OR('第 5 天'!P$5="早餐",'第 5 天'!P$5="午餐",'第 5 天'!P$5="晚餐"),'第 5 天'!P53,0))</f>
        <v>0</v>
      </c>
      <c r="D123" s="14" t="n">
        <f aca="false">SUM(IF(OR('第 5 天'!D$5="油錢"),'第 5 天'!D53,0),IF(OR('第 5 天'!F$5="油錢"),'第 5 天'!F53,0),IF(OR('第 5 天'!H$5="油錢"),'第 5 天'!H53,0),IF(OR('第 5 天'!J$5="油錢"),'第 5 天'!J53,0),IF(OR('第 5 天'!L$5="油錢"),'第 5 天'!L53,0),IF(OR('第 5 天'!N$5="油錢"),'第 5 天'!N53,0),IF(OR('第 5 天'!P$5="油錢"),'第 5 天'!P53,0))</f>
        <v>0</v>
      </c>
      <c r="E123" s="14" t="n">
        <f aca="false">SUM(IF(OR('第 5 天'!D$5="租車費"),'第 5 天'!D53,0),IF(OR('第 5 天'!F$5="租車費"),'第 5 天'!F53,0),IF(OR('第 5 天'!H$5="租車費"),'第 5 天'!H53,0),IF(OR('第 5 天'!J$5="租車費"),'第 5 天'!J53,0),IF(OR('第 5 天'!L$5="租車費"),'第 5 天'!L53,0),IF(OR('第 5 天'!N$5="租車費"),'第 5 天'!N53,0),IF(OR('第 5 天'!P$5="租車費"),'第 5 天'!P53,0))</f>
        <v>0</v>
      </c>
      <c r="F123" s="14" t="n">
        <f aca="false">SUM(IF(OR('第 5 天'!D$5="停車費",'第 5 天'!D$5="其他"),'第 5 天'!D53,0),IF(OR('第 5 天'!F$5="停車費",'第 5 天'!F$5="其他"),'第 5 天'!F53,0),IF(OR('第 5 天'!H$5="停車費",'第 5 天'!H$5="其他"),'第 5 天'!H53,0),IF(OR('第 5 天'!J$5="停車費",'第 5 天'!J$5="其他"),'第 5 天'!J53,0),IF(OR('第 5 天'!L$5="停車費",'第 5 天'!L$5="其他"),'第 5 天'!L53,0),IF(OR('第 5 天'!N$5="停車費",'第 5 天'!N$5="其他"),'第 5 天'!N53,0),IF(OR('第 5 天'!P$5="停車費",'第 5 天'!P$5="其他"),'第 5 天'!P53,0))</f>
        <v>0</v>
      </c>
      <c r="G123" s="14" t="n">
        <f aca="false">SUM(C123:F123)</f>
        <v>0</v>
      </c>
      <c r="H123" s="14" t="n">
        <f aca="false">IF(LEN(TRIM(成員名單!$B6))=0,0,SUM(IF('第 5 天'!D$7=$B123,'第 5 天'!D46,0),IF('第 5 天'!F$7=$B123,'第 5 天'!F46,0),IF('第 5 天'!H$7=$B123,'第 5 天'!H46,0),IF('第 5 天'!J$7=$B123,'第 5 天'!J46,0),IF('第 5 天'!L$7=$B123,'第 5 天'!L46,0),IF('第 5 天'!N$7=$B123,'第 5 天'!N46,0),IF('第 5 天'!P$7=$B123,'第 5 天'!P46,0)))</f>
        <v>0</v>
      </c>
    </row>
    <row r="124" customFormat="false" ht="15" hidden="false" customHeight="false" outlineLevel="0" collapsed="false">
      <c r="A124" s="13" t="s">
        <v>116</v>
      </c>
      <c r="B124" s="13" t="s">
        <v>20</v>
      </c>
      <c r="C124" s="14" t="n">
        <f aca="false">SUM(IF(OR('第 5 天'!D$5="早餐",'第 5 天'!D$5="午餐",'第 5 天'!D$5="晚餐"),'第 5 天'!D54,0),IF(OR('第 5 天'!F$5="早餐",'第 5 天'!F$5="午餐",'第 5 天'!F$5="晚餐"),'第 5 天'!F54,0),IF(OR('第 5 天'!H$5="早餐",'第 5 天'!H$5="午餐",'第 5 天'!H$5="晚餐"),'第 5 天'!H54,0),IF(OR('第 5 天'!J$5="早餐",'第 5 天'!J$5="午餐",'第 5 天'!J$5="晚餐"),'第 5 天'!J54,0),IF(OR('第 5 天'!L$5="早餐",'第 5 天'!L$5="午餐",'第 5 天'!L$5="晚餐"),'第 5 天'!L54,0),IF(OR('第 5 天'!N$5="早餐",'第 5 天'!N$5="午餐",'第 5 天'!N$5="晚餐"),'第 5 天'!N54,0),IF(OR('第 5 天'!P$5="早餐",'第 5 天'!P$5="午餐",'第 5 天'!P$5="晚餐"),'第 5 天'!P54,0))</f>
        <v>0</v>
      </c>
      <c r="D124" s="14" t="n">
        <f aca="false">SUM(IF(OR('第 5 天'!D$5="油錢"),'第 5 天'!D54,0),IF(OR('第 5 天'!F$5="油錢"),'第 5 天'!F54,0),IF(OR('第 5 天'!H$5="油錢"),'第 5 天'!H54,0),IF(OR('第 5 天'!J$5="油錢"),'第 5 天'!J54,0),IF(OR('第 5 天'!L$5="油錢"),'第 5 天'!L54,0),IF(OR('第 5 天'!N$5="油錢"),'第 5 天'!N54,0),IF(OR('第 5 天'!P$5="油錢"),'第 5 天'!P54,0))</f>
        <v>0</v>
      </c>
      <c r="E124" s="14" t="n">
        <f aca="false">SUM(IF(OR('第 5 天'!D$5="租車費"),'第 5 天'!D54,0),IF(OR('第 5 天'!F$5="租車費"),'第 5 天'!F54,0),IF(OR('第 5 天'!H$5="租車費"),'第 5 天'!H54,0),IF(OR('第 5 天'!J$5="租車費"),'第 5 天'!J54,0),IF(OR('第 5 天'!L$5="租車費"),'第 5 天'!L54,0),IF(OR('第 5 天'!N$5="租車費"),'第 5 天'!N54,0),IF(OR('第 5 天'!P$5="租車費"),'第 5 天'!P54,0))</f>
        <v>0</v>
      </c>
      <c r="F124" s="14" t="n">
        <f aca="false">SUM(IF(OR('第 5 天'!D$5="停車費",'第 5 天'!D$5="其他"),'第 5 天'!D54,0),IF(OR('第 5 天'!F$5="停車費",'第 5 天'!F$5="其他"),'第 5 天'!F54,0),IF(OR('第 5 天'!H$5="停車費",'第 5 天'!H$5="其他"),'第 5 天'!H54,0),IF(OR('第 5 天'!J$5="停車費",'第 5 天'!J$5="其他"),'第 5 天'!J54,0),IF(OR('第 5 天'!L$5="停車費",'第 5 天'!L$5="其他"),'第 5 天'!L54,0),IF(OR('第 5 天'!N$5="停車費",'第 5 天'!N$5="其他"),'第 5 天'!N54,0),IF(OR('第 5 天'!P$5="停車費",'第 5 天'!P$5="其他"),'第 5 天'!P54,0))</f>
        <v>0</v>
      </c>
      <c r="G124" s="14" t="n">
        <f aca="false">SUM(C124:F124)</f>
        <v>0</v>
      </c>
      <c r="H124" s="14" t="n">
        <f aca="false">IF(LEN(TRIM(成員名單!$B7))=0,0,SUM(IF('第 5 天'!D$7=$B124,'第 5 天'!D46,0),IF('第 5 天'!F$7=$B124,'第 5 天'!F46,0),IF('第 5 天'!H$7=$B124,'第 5 天'!H46,0),IF('第 5 天'!J$7=$B124,'第 5 天'!J46,0),IF('第 5 天'!L$7=$B124,'第 5 天'!L46,0),IF('第 5 天'!N$7=$B124,'第 5 天'!N46,0),IF('第 5 天'!P$7=$B124,'第 5 天'!P46,0)))</f>
        <v>0</v>
      </c>
    </row>
    <row r="125" customFormat="false" ht="15" hidden="false" customHeight="false" outlineLevel="0" collapsed="false">
      <c r="A125" s="13" t="s">
        <v>116</v>
      </c>
      <c r="B125" s="13" t="s">
        <v>21</v>
      </c>
      <c r="C125" s="14" t="n">
        <f aca="false">SUM(IF(OR('第 5 天'!D$5="早餐",'第 5 天'!D$5="午餐",'第 5 天'!D$5="晚餐"),'第 5 天'!D55,0),IF(OR('第 5 天'!F$5="早餐",'第 5 天'!F$5="午餐",'第 5 天'!F$5="晚餐"),'第 5 天'!F55,0),IF(OR('第 5 天'!H$5="早餐",'第 5 天'!H$5="午餐",'第 5 天'!H$5="晚餐"),'第 5 天'!H55,0),IF(OR('第 5 天'!J$5="早餐",'第 5 天'!J$5="午餐",'第 5 天'!J$5="晚餐"),'第 5 天'!J55,0),IF(OR('第 5 天'!L$5="早餐",'第 5 天'!L$5="午餐",'第 5 天'!L$5="晚餐"),'第 5 天'!L55,0),IF(OR('第 5 天'!N$5="早餐",'第 5 天'!N$5="午餐",'第 5 天'!N$5="晚餐"),'第 5 天'!N55,0),IF(OR('第 5 天'!P$5="早餐",'第 5 天'!P$5="午餐",'第 5 天'!P$5="晚餐"),'第 5 天'!P55,0))</f>
        <v>0</v>
      </c>
      <c r="D125" s="14" t="n">
        <f aca="false">SUM(IF(OR('第 5 天'!D$5="油錢"),'第 5 天'!D55,0),IF(OR('第 5 天'!F$5="油錢"),'第 5 天'!F55,0),IF(OR('第 5 天'!H$5="油錢"),'第 5 天'!H55,0),IF(OR('第 5 天'!J$5="油錢"),'第 5 天'!J55,0),IF(OR('第 5 天'!L$5="油錢"),'第 5 天'!L55,0),IF(OR('第 5 天'!N$5="油錢"),'第 5 天'!N55,0),IF(OR('第 5 天'!P$5="油錢"),'第 5 天'!P55,0))</f>
        <v>0</v>
      </c>
      <c r="E125" s="14" t="n">
        <f aca="false">SUM(IF(OR('第 5 天'!D$5="租車費"),'第 5 天'!D55,0),IF(OR('第 5 天'!F$5="租車費"),'第 5 天'!F55,0),IF(OR('第 5 天'!H$5="租車費"),'第 5 天'!H55,0),IF(OR('第 5 天'!J$5="租車費"),'第 5 天'!J55,0),IF(OR('第 5 天'!L$5="租車費"),'第 5 天'!L55,0),IF(OR('第 5 天'!N$5="租車費"),'第 5 天'!N55,0),IF(OR('第 5 天'!P$5="租車費"),'第 5 天'!P55,0))</f>
        <v>0</v>
      </c>
      <c r="F125" s="14" t="n">
        <f aca="false">SUM(IF(OR('第 5 天'!D$5="停車費",'第 5 天'!D$5="其他"),'第 5 天'!D55,0),IF(OR('第 5 天'!F$5="停車費",'第 5 天'!F$5="其他"),'第 5 天'!F55,0),IF(OR('第 5 天'!H$5="停車費",'第 5 天'!H$5="其他"),'第 5 天'!H55,0),IF(OR('第 5 天'!J$5="停車費",'第 5 天'!J$5="其他"),'第 5 天'!J55,0),IF(OR('第 5 天'!L$5="停車費",'第 5 天'!L$5="其他"),'第 5 天'!L55,0),IF(OR('第 5 天'!N$5="停車費",'第 5 天'!N$5="其他"),'第 5 天'!N55,0),IF(OR('第 5 天'!P$5="停車費",'第 5 天'!P$5="其他"),'第 5 天'!P55,0))</f>
        <v>0</v>
      </c>
      <c r="G125" s="14" t="n">
        <f aca="false">SUM(C125:F125)</f>
        <v>0</v>
      </c>
      <c r="H125" s="14" t="n">
        <f aca="false">IF(LEN(TRIM(成員名單!$B8))=0,0,SUM(IF('第 5 天'!D$7=$B125,'第 5 天'!D46,0),IF('第 5 天'!F$7=$B125,'第 5 天'!F46,0),IF('第 5 天'!H$7=$B125,'第 5 天'!H46,0),IF('第 5 天'!J$7=$B125,'第 5 天'!J46,0),IF('第 5 天'!L$7=$B125,'第 5 天'!L46,0),IF('第 5 天'!N$7=$B125,'第 5 天'!N46,0),IF('第 5 天'!P$7=$B125,'第 5 天'!P46,0)))</f>
        <v>0</v>
      </c>
    </row>
    <row r="126" customFormat="false" ht="15" hidden="false" customHeight="false" outlineLevel="0" collapsed="false">
      <c r="A126" s="13" t="s">
        <v>116</v>
      </c>
      <c r="B126" s="13" t="s">
        <v>22</v>
      </c>
      <c r="C126" s="14" t="n">
        <f aca="false">SUM(IF(OR('第 5 天'!D$5="早餐",'第 5 天'!D$5="午餐",'第 5 天'!D$5="晚餐"),'第 5 天'!D56,0),IF(OR('第 5 天'!F$5="早餐",'第 5 天'!F$5="午餐",'第 5 天'!F$5="晚餐"),'第 5 天'!F56,0),IF(OR('第 5 天'!H$5="早餐",'第 5 天'!H$5="午餐",'第 5 天'!H$5="晚餐"),'第 5 天'!H56,0),IF(OR('第 5 天'!J$5="早餐",'第 5 天'!J$5="午餐",'第 5 天'!J$5="晚餐"),'第 5 天'!J56,0),IF(OR('第 5 天'!L$5="早餐",'第 5 天'!L$5="午餐",'第 5 天'!L$5="晚餐"),'第 5 天'!L56,0),IF(OR('第 5 天'!N$5="早餐",'第 5 天'!N$5="午餐",'第 5 天'!N$5="晚餐"),'第 5 天'!N56,0),IF(OR('第 5 天'!P$5="早餐",'第 5 天'!P$5="午餐",'第 5 天'!P$5="晚餐"),'第 5 天'!P56,0))</f>
        <v>0</v>
      </c>
      <c r="D126" s="14" t="n">
        <f aca="false">SUM(IF(OR('第 5 天'!D$5="油錢"),'第 5 天'!D56,0),IF(OR('第 5 天'!F$5="油錢"),'第 5 天'!F56,0),IF(OR('第 5 天'!H$5="油錢"),'第 5 天'!H56,0),IF(OR('第 5 天'!J$5="油錢"),'第 5 天'!J56,0),IF(OR('第 5 天'!L$5="油錢"),'第 5 天'!L56,0),IF(OR('第 5 天'!N$5="油錢"),'第 5 天'!N56,0),IF(OR('第 5 天'!P$5="油錢"),'第 5 天'!P56,0))</f>
        <v>0</v>
      </c>
      <c r="E126" s="14" t="n">
        <f aca="false">SUM(IF(OR('第 5 天'!D$5="租車費"),'第 5 天'!D56,0),IF(OR('第 5 天'!F$5="租車費"),'第 5 天'!F56,0),IF(OR('第 5 天'!H$5="租車費"),'第 5 天'!H56,0),IF(OR('第 5 天'!J$5="租車費"),'第 5 天'!J56,0),IF(OR('第 5 天'!L$5="租車費"),'第 5 天'!L56,0),IF(OR('第 5 天'!N$5="租車費"),'第 5 天'!N56,0),IF(OR('第 5 天'!P$5="租車費"),'第 5 天'!P56,0))</f>
        <v>0</v>
      </c>
      <c r="F126" s="14" t="n">
        <f aca="false">SUM(IF(OR('第 5 天'!D$5="停車費",'第 5 天'!D$5="其他"),'第 5 天'!D56,0),IF(OR('第 5 天'!F$5="停車費",'第 5 天'!F$5="其他"),'第 5 天'!F56,0),IF(OR('第 5 天'!H$5="停車費",'第 5 天'!H$5="其他"),'第 5 天'!H56,0),IF(OR('第 5 天'!J$5="停車費",'第 5 天'!J$5="其他"),'第 5 天'!J56,0),IF(OR('第 5 天'!L$5="停車費",'第 5 天'!L$5="其他"),'第 5 天'!L56,0),IF(OR('第 5 天'!N$5="停車費",'第 5 天'!N$5="其他"),'第 5 天'!N56,0),IF(OR('第 5 天'!P$5="停車費",'第 5 天'!P$5="其他"),'第 5 天'!P56,0))</f>
        <v>0</v>
      </c>
      <c r="G126" s="14" t="n">
        <f aca="false">SUM(C126:F126)</f>
        <v>0</v>
      </c>
      <c r="H126" s="14" t="n">
        <f aca="false">IF(LEN(TRIM(成員名單!$B9))=0,0,SUM(IF('第 5 天'!D$7=$B126,'第 5 天'!D46,0),IF('第 5 天'!F$7=$B126,'第 5 天'!F46,0),IF('第 5 天'!H$7=$B126,'第 5 天'!H46,0),IF('第 5 天'!J$7=$B126,'第 5 天'!J46,0),IF('第 5 天'!L$7=$B126,'第 5 天'!L46,0),IF('第 5 天'!N$7=$B126,'第 5 天'!N46,0),IF('第 5 天'!P$7=$B126,'第 5 天'!P46,0)))</f>
        <v>0</v>
      </c>
    </row>
    <row r="127" customFormat="false" ht="15" hidden="false" customHeight="false" outlineLevel="0" collapsed="false">
      <c r="A127" s="13" t="s">
        <v>116</v>
      </c>
      <c r="B127" s="13" t="s">
        <v>23</v>
      </c>
      <c r="C127" s="14" t="n">
        <f aca="false">SUM(IF(OR('第 5 天'!D$5="早餐",'第 5 天'!D$5="午餐",'第 5 天'!D$5="晚餐"),'第 5 天'!D57,0),IF(OR('第 5 天'!F$5="早餐",'第 5 天'!F$5="午餐",'第 5 天'!F$5="晚餐"),'第 5 天'!F57,0),IF(OR('第 5 天'!H$5="早餐",'第 5 天'!H$5="午餐",'第 5 天'!H$5="晚餐"),'第 5 天'!H57,0),IF(OR('第 5 天'!J$5="早餐",'第 5 天'!J$5="午餐",'第 5 天'!J$5="晚餐"),'第 5 天'!J57,0),IF(OR('第 5 天'!L$5="早餐",'第 5 天'!L$5="午餐",'第 5 天'!L$5="晚餐"),'第 5 天'!L57,0),IF(OR('第 5 天'!N$5="早餐",'第 5 天'!N$5="午餐",'第 5 天'!N$5="晚餐"),'第 5 天'!N57,0),IF(OR('第 5 天'!P$5="早餐",'第 5 天'!P$5="午餐",'第 5 天'!P$5="晚餐"),'第 5 天'!P57,0))</f>
        <v>0</v>
      </c>
      <c r="D127" s="14" t="n">
        <f aca="false">SUM(IF(OR('第 5 天'!D$5="油錢"),'第 5 天'!D57,0),IF(OR('第 5 天'!F$5="油錢"),'第 5 天'!F57,0),IF(OR('第 5 天'!H$5="油錢"),'第 5 天'!H57,0),IF(OR('第 5 天'!J$5="油錢"),'第 5 天'!J57,0),IF(OR('第 5 天'!L$5="油錢"),'第 5 天'!L57,0),IF(OR('第 5 天'!N$5="油錢"),'第 5 天'!N57,0),IF(OR('第 5 天'!P$5="油錢"),'第 5 天'!P57,0))</f>
        <v>0</v>
      </c>
      <c r="E127" s="14" t="n">
        <f aca="false">SUM(IF(OR('第 5 天'!D$5="租車費"),'第 5 天'!D57,0),IF(OR('第 5 天'!F$5="租車費"),'第 5 天'!F57,0),IF(OR('第 5 天'!H$5="租車費"),'第 5 天'!H57,0),IF(OR('第 5 天'!J$5="租車費"),'第 5 天'!J57,0),IF(OR('第 5 天'!L$5="租車費"),'第 5 天'!L57,0),IF(OR('第 5 天'!N$5="租車費"),'第 5 天'!N57,0),IF(OR('第 5 天'!P$5="租車費"),'第 5 天'!P57,0))</f>
        <v>0</v>
      </c>
      <c r="F127" s="14" t="n">
        <f aca="false">SUM(IF(OR('第 5 天'!D$5="停車費",'第 5 天'!D$5="其他"),'第 5 天'!D57,0),IF(OR('第 5 天'!F$5="停車費",'第 5 天'!F$5="其他"),'第 5 天'!F57,0),IF(OR('第 5 天'!H$5="停車費",'第 5 天'!H$5="其他"),'第 5 天'!H57,0),IF(OR('第 5 天'!J$5="停車費",'第 5 天'!J$5="其他"),'第 5 天'!J57,0),IF(OR('第 5 天'!L$5="停車費",'第 5 天'!L$5="其他"),'第 5 天'!L57,0),IF(OR('第 5 天'!N$5="停車費",'第 5 天'!N$5="其他"),'第 5 天'!N57,0),IF(OR('第 5 天'!P$5="停車費",'第 5 天'!P$5="其他"),'第 5 天'!P57,0))</f>
        <v>0</v>
      </c>
      <c r="G127" s="14" t="n">
        <f aca="false">SUM(C127:F127)</f>
        <v>0</v>
      </c>
      <c r="H127" s="14" t="n">
        <f aca="false">IF(LEN(TRIM(成員名單!$B10))=0,0,SUM(IF('第 5 天'!D$7=$B127,'第 5 天'!D46,0),IF('第 5 天'!F$7=$B127,'第 5 天'!F46,0),IF('第 5 天'!H$7=$B127,'第 5 天'!H46,0),IF('第 5 天'!J$7=$B127,'第 5 天'!J46,0),IF('第 5 天'!L$7=$B127,'第 5 天'!L46,0),IF('第 5 天'!N$7=$B127,'第 5 天'!N46,0),IF('第 5 天'!P$7=$B127,'第 5 天'!P46,0)))</f>
        <v>0</v>
      </c>
    </row>
    <row r="128" customFormat="false" ht="15" hidden="false" customHeight="false" outlineLevel="0" collapsed="false">
      <c r="A128" s="13" t="s">
        <v>116</v>
      </c>
      <c r="B128" s="13" t="s">
        <v>24</v>
      </c>
      <c r="C128" s="14" t="n">
        <f aca="false">SUM(IF(OR('第 5 天'!D$5="早餐",'第 5 天'!D$5="午餐",'第 5 天'!D$5="晚餐"),'第 5 天'!D58,0),IF(OR('第 5 天'!F$5="早餐",'第 5 天'!F$5="午餐",'第 5 天'!F$5="晚餐"),'第 5 天'!F58,0),IF(OR('第 5 天'!H$5="早餐",'第 5 天'!H$5="午餐",'第 5 天'!H$5="晚餐"),'第 5 天'!H58,0),IF(OR('第 5 天'!J$5="早餐",'第 5 天'!J$5="午餐",'第 5 天'!J$5="晚餐"),'第 5 天'!J58,0),IF(OR('第 5 天'!L$5="早餐",'第 5 天'!L$5="午餐",'第 5 天'!L$5="晚餐"),'第 5 天'!L58,0),IF(OR('第 5 天'!N$5="早餐",'第 5 天'!N$5="午餐",'第 5 天'!N$5="晚餐"),'第 5 天'!N58,0),IF(OR('第 5 天'!P$5="早餐",'第 5 天'!P$5="午餐",'第 5 天'!P$5="晚餐"),'第 5 天'!P58,0))</f>
        <v>0</v>
      </c>
      <c r="D128" s="14" t="n">
        <f aca="false">SUM(IF(OR('第 5 天'!D$5="油錢"),'第 5 天'!D58,0),IF(OR('第 5 天'!F$5="油錢"),'第 5 天'!F58,0),IF(OR('第 5 天'!H$5="油錢"),'第 5 天'!H58,0),IF(OR('第 5 天'!J$5="油錢"),'第 5 天'!J58,0),IF(OR('第 5 天'!L$5="油錢"),'第 5 天'!L58,0),IF(OR('第 5 天'!N$5="油錢"),'第 5 天'!N58,0),IF(OR('第 5 天'!P$5="油錢"),'第 5 天'!P58,0))</f>
        <v>0</v>
      </c>
      <c r="E128" s="14" t="n">
        <f aca="false">SUM(IF(OR('第 5 天'!D$5="租車費"),'第 5 天'!D58,0),IF(OR('第 5 天'!F$5="租車費"),'第 5 天'!F58,0),IF(OR('第 5 天'!H$5="租車費"),'第 5 天'!H58,0),IF(OR('第 5 天'!J$5="租車費"),'第 5 天'!J58,0),IF(OR('第 5 天'!L$5="租車費"),'第 5 天'!L58,0),IF(OR('第 5 天'!N$5="租車費"),'第 5 天'!N58,0),IF(OR('第 5 天'!P$5="租車費"),'第 5 天'!P58,0))</f>
        <v>0</v>
      </c>
      <c r="F128" s="14" t="n">
        <f aca="false">SUM(IF(OR('第 5 天'!D$5="停車費",'第 5 天'!D$5="其他"),'第 5 天'!D58,0),IF(OR('第 5 天'!F$5="停車費",'第 5 天'!F$5="其他"),'第 5 天'!F58,0),IF(OR('第 5 天'!H$5="停車費",'第 5 天'!H$5="其他"),'第 5 天'!H58,0),IF(OR('第 5 天'!J$5="停車費",'第 5 天'!J$5="其他"),'第 5 天'!J58,0),IF(OR('第 5 天'!L$5="停車費",'第 5 天'!L$5="其他"),'第 5 天'!L58,0),IF(OR('第 5 天'!N$5="停車費",'第 5 天'!N$5="其他"),'第 5 天'!N58,0),IF(OR('第 5 天'!P$5="停車費",'第 5 天'!P$5="其他"),'第 5 天'!P58,0))</f>
        <v>0</v>
      </c>
      <c r="G128" s="14" t="n">
        <f aca="false">SUM(C128:F128)</f>
        <v>0</v>
      </c>
      <c r="H128" s="14" t="n">
        <f aca="false">IF(LEN(TRIM(成員名單!$B11))=0,0,SUM(IF('第 5 天'!D$7=$B128,'第 5 天'!D46,0),IF('第 5 天'!F$7=$B128,'第 5 天'!F46,0),IF('第 5 天'!H$7=$B128,'第 5 天'!H46,0),IF('第 5 天'!J$7=$B128,'第 5 天'!J46,0),IF('第 5 天'!L$7=$B128,'第 5 天'!L46,0),IF('第 5 天'!N$7=$B128,'第 5 天'!N46,0),IF('第 5 天'!P$7=$B128,'第 5 天'!P46,0)))</f>
        <v>0</v>
      </c>
    </row>
    <row r="129" customFormat="false" ht="15" hidden="false" customHeight="false" outlineLevel="0" collapsed="false">
      <c r="A129" s="13" t="s">
        <v>116</v>
      </c>
      <c r="B129" s="13" t="s">
        <v>25</v>
      </c>
      <c r="C129" s="14" t="n">
        <f aca="false">SUM(IF(OR('第 5 天'!D$5="早餐",'第 5 天'!D$5="午餐",'第 5 天'!D$5="晚餐"),'第 5 天'!D59,0),IF(OR('第 5 天'!F$5="早餐",'第 5 天'!F$5="午餐",'第 5 天'!F$5="晚餐"),'第 5 天'!F59,0),IF(OR('第 5 天'!H$5="早餐",'第 5 天'!H$5="午餐",'第 5 天'!H$5="晚餐"),'第 5 天'!H59,0),IF(OR('第 5 天'!J$5="早餐",'第 5 天'!J$5="午餐",'第 5 天'!J$5="晚餐"),'第 5 天'!J59,0),IF(OR('第 5 天'!L$5="早餐",'第 5 天'!L$5="午餐",'第 5 天'!L$5="晚餐"),'第 5 天'!L59,0),IF(OR('第 5 天'!N$5="早餐",'第 5 天'!N$5="午餐",'第 5 天'!N$5="晚餐"),'第 5 天'!N59,0),IF(OR('第 5 天'!P$5="早餐",'第 5 天'!P$5="午餐",'第 5 天'!P$5="晚餐"),'第 5 天'!P59,0))</f>
        <v>0</v>
      </c>
      <c r="D129" s="14" t="n">
        <f aca="false">SUM(IF(OR('第 5 天'!D$5="油錢"),'第 5 天'!D59,0),IF(OR('第 5 天'!F$5="油錢"),'第 5 天'!F59,0),IF(OR('第 5 天'!H$5="油錢"),'第 5 天'!H59,0),IF(OR('第 5 天'!J$5="油錢"),'第 5 天'!J59,0),IF(OR('第 5 天'!L$5="油錢"),'第 5 天'!L59,0),IF(OR('第 5 天'!N$5="油錢"),'第 5 天'!N59,0),IF(OR('第 5 天'!P$5="油錢"),'第 5 天'!P59,0))</f>
        <v>0</v>
      </c>
      <c r="E129" s="14" t="n">
        <f aca="false">SUM(IF(OR('第 5 天'!D$5="租車費"),'第 5 天'!D59,0),IF(OR('第 5 天'!F$5="租車費"),'第 5 天'!F59,0),IF(OR('第 5 天'!H$5="租車費"),'第 5 天'!H59,0),IF(OR('第 5 天'!J$5="租車費"),'第 5 天'!J59,0),IF(OR('第 5 天'!L$5="租車費"),'第 5 天'!L59,0),IF(OR('第 5 天'!N$5="租車費"),'第 5 天'!N59,0),IF(OR('第 5 天'!P$5="租車費"),'第 5 天'!P59,0))</f>
        <v>0</v>
      </c>
      <c r="F129" s="14" t="n">
        <f aca="false">SUM(IF(OR('第 5 天'!D$5="停車費",'第 5 天'!D$5="其他"),'第 5 天'!D59,0),IF(OR('第 5 天'!F$5="停車費",'第 5 天'!F$5="其他"),'第 5 天'!F59,0),IF(OR('第 5 天'!H$5="停車費",'第 5 天'!H$5="其他"),'第 5 天'!H59,0),IF(OR('第 5 天'!J$5="停車費",'第 5 天'!J$5="其他"),'第 5 天'!J59,0),IF(OR('第 5 天'!L$5="停車費",'第 5 天'!L$5="其他"),'第 5 天'!L59,0),IF(OR('第 5 天'!N$5="停車費",'第 5 天'!N$5="其他"),'第 5 天'!N59,0),IF(OR('第 5 天'!P$5="停車費",'第 5 天'!P$5="其他"),'第 5 天'!P59,0))</f>
        <v>0</v>
      </c>
      <c r="G129" s="14" t="n">
        <f aca="false">SUM(C129:F129)</f>
        <v>0</v>
      </c>
      <c r="H129" s="14" t="n">
        <f aca="false">IF(LEN(TRIM(成員名單!$B12))=0,0,SUM(IF('第 5 天'!D$7=$B129,'第 5 天'!D46,0),IF('第 5 天'!F$7=$B129,'第 5 天'!F46,0),IF('第 5 天'!H$7=$B129,'第 5 天'!H46,0),IF('第 5 天'!J$7=$B129,'第 5 天'!J46,0),IF('第 5 天'!L$7=$B129,'第 5 天'!L46,0),IF('第 5 天'!N$7=$B129,'第 5 天'!N46,0),IF('第 5 天'!P$7=$B129,'第 5 天'!P46,0)))</f>
        <v>0</v>
      </c>
    </row>
    <row r="130" customFormat="false" ht="15" hidden="false" customHeight="false" outlineLevel="0" collapsed="false">
      <c r="A130" s="13" t="s">
        <v>116</v>
      </c>
      <c r="B130" s="13" t="s">
        <v>26</v>
      </c>
      <c r="C130" s="14" t="n">
        <f aca="false">SUM(IF(OR('第 5 天'!D$5="早餐",'第 5 天'!D$5="午餐",'第 5 天'!D$5="晚餐"),'第 5 天'!D60,0),IF(OR('第 5 天'!F$5="早餐",'第 5 天'!F$5="午餐",'第 5 天'!F$5="晚餐"),'第 5 天'!F60,0),IF(OR('第 5 天'!H$5="早餐",'第 5 天'!H$5="午餐",'第 5 天'!H$5="晚餐"),'第 5 天'!H60,0),IF(OR('第 5 天'!J$5="早餐",'第 5 天'!J$5="午餐",'第 5 天'!J$5="晚餐"),'第 5 天'!J60,0),IF(OR('第 5 天'!L$5="早餐",'第 5 天'!L$5="午餐",'第 5 天'!L$5="晚餐"),'第 5 天'!L60,0),IF(OR('第 5 天'!N$5="早餐",'第 5 天'!N$5="午餐",'第 5 天'!N$5="晚餐"),'第 5 天'!N60,0),IF(OR('第 5 天'!P$5="早餐",'第 5 天'!P$5="午餐",'第 5 天'!P$5="晚餐"),'第 5 天'!P60,0))</f>
        <v>0</v>
      </c>
      <c r="D130" s="14" t="n">
        <f aca="false">SUM(IF(OR('第 5 天'!D$5="油錢"),'第 5 天'!D60,0),IF(OR('第 5 天'!F$5="油錢"),'第 5 天'!F60,0),IF(OR('第 5 天'!H$5="油錢"),'第 5 天'!H60,0),IF(OR('第 5 天'!J$5="油錢"),'第 5 天'!J60,0),IF(OR('第 5 天'!L$5="油錢"),'第 5 天'!L60,0),IF(OR('第 5 天'!N$5="油錢"),'第 5 天'!N60,0),IF(OR('第 5 天'!P$5="油錢"),'第 5 天'!P60,0))</f>
        <v>0</v>
      </c>
      <c r="E130" s="14" t="n">
        <f aca="false">SUM(IF(OR('第 5 天'!D$5="租車費"),'第 5 天'!D60,0),IF(OR('第 5 天'!F$5="租車費"),'第 5 天'!F60,0),IF(OR('第 5 天'!H$5="租車費"),'第 5 天'!H60,0),IF(OR('第 5 天'!J$5="租車費"),'第 5 天'!J60,0),IF(OR('第 5 天'!L$5="租車費"),'第 5 天'!L60,0),IF(OR('第 5 天'!N$5="租車費"),'第 5 天'!N60,0),IF(OR('第 5 天'!P$5="租車費"),'第 5 天'!P60,0))</f>
        <v>0</v>
      </c>
      <c r="F130" s="14" t="n">
        <f aca="false">SUM(IF(OR('第 5 天'!D$5="停車費",'第 5 天'!D$5="其他"),'第 5 天'!D60,0),IF(OR('第 5 天'!F$5="停車費",'第 5 天'!F$5="其他"),'第 5 天'!F60,0),IF(OR('第 5 天'!H$5="停車費",'第 5 天'!H$5="其他"),'第 5 天'!H60,0),IF(OR('第 5 天'!J$5="停車費",'第 5 天'!J$5="其他"),'第 5 天'!J60,0),IF(OR('第 5 天'!L$5="停車費",'第 5 天'!L$5="其他"),'第 5 天'!L60,0),IF(OR('第 5 天'!N$5="停車費",'第 5 天'!N$5="其他"),'第 5 天'!N60,0),IF(OR('第 5 天'!P$5="停車費",'第 5 天'!P$5="其他"),'第 5 天'!P60,0))</f>
        <v>0</v>
      </c>
      <c r="G130" s="14" t="n">
        <f aca="false">SUM(C130:F130)</f>
        <v>0</v>
      </c>
      <c r="H130" s="14" t="n">
        <f aca="false">IF(LEN(TRIM(成員名單!$B13))=0,0,SUM(IF('第 5 天'!D$7=$B130,'第 5 天'!D46,0),IF('第 5 天'!F$7=$B130,'第 5 天'!F46,0),IF('第 5 天'!H$7=$B130,'第 5 天'!H46,0),IF('第 5 天'!J$7=$B130,'第 5 天'!J46,0),IF('第 5 天'!L$7=$B130,'第 5 天'!L46,0),IF('第 5 天'!N$7=$B130,'第 5 天'!N46,0),IF('第 5 天'!P$7=$B130,'第 5 天'!P46,0)))</f>
        <v>0</v>
      </c>
    </row>
    <row r="131" customFormat="false" ht="15" hidden="false" customHeight="false" outlineLevel="0" collapsed="false">
      <c r="A131" s="13" t="s">
        <v>116</v>
      </c>
      <c r="B131" s="13" t="s">
        <v>27</v>
      </c>
      <c r="C131" s="14" t="n">
        <f aca="false">SUM(IF(OR('第 5 天'!D$5="早餐",'第 5 天'!D$5="午餐",'第 5 天'!D$5="晚餐"),'第 5 天'!D61,0),IF(OR('第 5 天'!F$5="早餐",'第 5 天'!F$5="午餐",'第 5 天'!F$5="晚餐"),'第 5 天'!F61,0),IF(OR('第 5 天'!H$5="早餐",'第 5 天'!H$5="午餐",'第 5 天'!H$5="晚餐"),'第 5 天'!H61,0),IF(OR('第 5 天'!J$5="早餐",'第 5 天'!J$5="午餐",'第 5 天'!J$5="晚餐"),'第 5 天'!J61,0),IF(OR('第 5 天'!L$5="早餐",'第 5 天'!L$5="午餐",'第 5 天'!L$5="晚餐"),'第 5 天'!L61,0),IF(OR('第 5 天'!N$5="早餐",'第 5 天'!N$5="午餐",'第 5 天'!N$5="晚餐"),'第 5 天'!N61,0),IF(OR('第 5 天'!P$5="早餐",'第 5 天'!P$5="午餐",'第 5 天'!P$5="晚餐"),'第 5 天'!P61,0))</f>
        <v>0</v>
      </c>
      <c r="D131" s="14" t="n">
        <f aca="false">SUM(IF(OR('第 5 天'!D$5="油錢"),'第 5 天'!D61,0),IF(OR('第 5 天'!F$5="油錢"),'第 5 天'!F61,0),IF(OR('第 5 天'!H$5="油錢"),'第 5 天'!H61,0),IF(OR('第 5 天'!J$5="油錢"),'第 5 天'!J61,0),IF(OR('第 5 天'!L$5="油錢"),'第 5 天'!L61,0),IF(OR('第 5 天'!N$5="油錢"),'第 5 天'!N61,0),IF(OR('第 5 天'!P$5="油錢"),'第 5 天'!P61,0))</f>
        <v>0</v>
      </c>
      <c r="E131" s="14" t="n">
        <f aca="false">SUM(IF(OR('第 5 天'!D$5="租車費"),'第 5 天'!D61,0),IF(OR('第 5 天'!F$5="租車費"),'第 5 天'!F61,0),IF(OR('第 5 天'!H$5="租車費"),'第 5 天'!H61,0),IF(OR('第 5 天'!J$5="租車費"),'第 5 天'!J61,0),IF(OR('第 5 天'!L$5="租車費"),'第 5 天'!L61,0),IF(OR('第 5 天'!N$5="租車費"),'第 5 天'!N61,0),IF(OR('第 5 天'!P$5="租車費"),'第 5 天'!P61,0))</f>
        <v>0</v>
      </c>
      <c r="F131" s="14" t="n">
        <f aca="false">SUM(IF(OR('第 5 天'!D$5="停車費",'第 5 天'!D$5="其他"),'第 5 天'!D61,0),IF(OR('第 5 天'!F$5="停車費",'第 5 天'!F$5="其他"),'第 5 天'!F61,0),IF(OR('第 5 天'!H$5="停車費",'第 5 天'!H$5="其他"),'第 5 天'!H61,0),IF(OR('第 5 天'!J$5="停車費",'第 5 天'!J$5="其他"),'第 5 天'!J61,0),IF(OR('第 5 天'!L$5="停車費",'第 5 天'!L$5="其他"),'第 5 天'!L61,0),IF(OR('第 5 天'!N$5="停車費",'第 5 天'!N$5="其他"),'第 5 天'!N61,0),IF(OR('第 5 天'!P$5="停車費",'第 5 天'!P$5="其他"),'第 5 天'!P61,0))</f>
        <v>0</v>
      </c>
      <c r="G131" s="14" t="n">
        <f aca="false">SUM(C131:F131)</f>
        <v>0</v>
      </c>
      <c r="H131" s="14" t="n">
        <f aca="false">IF(LEN(TRIM(成員名單!$B14))=0,0,SUM(IF('第 5 天'!D$7=$B131,'第 5 天'!D46,0),IF('第 5 天'!F$7=$B131,'第 5 天'!F46,0),IF('第 5 天'!H$7=$B131,'第 5 天'!H46,0),IF('第 5 天'!J$7=$B131,'第 5 天'!J46,0),IF('第 5 天'!L$7=$B131,'第 5 天'!L46,0),IF('第 5 天'!N$7=$B131,'第 5 天'!N46,0),IF('第 5 天'!P$7=$B131,'第 5 天'!P46,0)))</f>
        <v>0</v>
      </c>
    </row>
    <row r="132" customFormat="false" ht="15" hidden="false" customHeight="false" outlineLevel="0" collapsed="false">
      <c r="A132" s="13" t="s">
        <v>116</v>
      </c>
      <c r="B132" s="13" t="s">
        <v>28</v>
      </c>
      <c r="C132" s="14" t="n">
        <f aca="false">SUM(IF(OR('第 5 天'!D$5="早餐",'第 5 天'!D$5="午餐",'第 5 天'!D$5="晚餐"),'第 5 天'!D62,0),IF(OR('第 5 天'!F$5="早餐",'第 5 天'!F$5="午餐",'第 5 天'!F$5="晚餐"),'第 5 天'!F62,0),IF(OR('第 5 天'!H$5="早餐",'第 5 天'!H$5="午餐",'第 5 天'!H$5="晚餐"),'第 5 天'!H62,0),IF(OR('第 5 天'!J$5="早餐",'第 5 天'!J$5="午餐",'第 5 天'!J$5="晚餐"),'第 5 天'!J62,0),IF(OR('第 5 天'!L$5="早餐",'第 5 天'!L$5="午餐",'第 5 天'!L$5="晚餐"),'第 5 天'!L62,0),IF(OR('第 5 天'!N$5="早餐",'第 5 天'!N$5="午餐",'第 5 天'!N$5="晚餐"),'第 5 天'!N62,0),IF(OR('第 5 天'!P$5="早餐",'第 5 天'!P$5="午餐",'第 5 天'!P$5="晚餐"),'第 5 天'!P62,0))</f>
        <v>0</v>
      </c>
      <c r="D132" s="14" t="n">
        <f aca="false">SUM(IF(OR('第 5 天'!D$5="油錢"),'第 5 天'!D62,0),IF(OR('第 5 天'!F$5="油錢"),'第 5 天'!F62,0),IF(OR('第 5 天'!H$5="油錢"),'第 5 天'!H62,0),IF(OR('第 5 天'!J$5="油錢"),'第 5 天'!J62,0),IF(OR('第 5 天'!L$5="油錢"),'第 5 天'!L62,0),IF(OR('第 5 天'!N$5="油錢"),'第 5 天'!N62,0),IF(OR('第 5 天'!P$5="油錢"),'第 5 天'!P62,0))</f>
        <v>0</v>
      </c>
      <c r="E132" s="14" t="n">
        <f aca="false">SUM(IF(OR('第 5 天'!D$5="租車費"),'第 5 天'!D62,0),IF(OR('第 5 天'!F$5="租車費"),'第 5 天'!F62,0),IF(OR('第 5 天'!H$5="租車費"),'第 5 天'!H62,0),IF(OR('第 5 天'!J$5="租車費"),'第 5 天'!J62,0),IF(OR('第 5 天'!L$5="租車費"),'第 5 天'!L62,0),IF(OR('第 5 天'!N$5="租車費"),'第 5 天'!N62,0),IF(OR('第 5 天'!P$5="租車費"),'第 5 天'!P62,0))</f>
        <v>0</v>
      </c>
      <c r="F132" s="14" t="n">
        <f aca="false">SUM(IF(OR('第 5 天'!D$5="停車費",'第 5 天'!D$5="其他"),'第 5 天'!D62,0),IF(OR('第 5 天'!F$5="停車費",'第 5 天'!F$5="其他"),'第 5 天'!F62,0),IF(OR('第 5 天'!H$5="停車費",'第 5 天'!H$5="其他"),'第 5 天'!H62,0),IF(OR('第 5 天'!J$5="停車費",'第 5 天'!J$5="其他"),'第 5 天'!J62,0),IF(OR('第 5 天'!L$5="停車費",'第 5 天'!L$5="其他"),'第 5 天'!L62,0),IF(OR('第 5 天'!N$5="停車費",'第 5 天'!N$5="其他"),'第 5 天'!N62,0),IF(OR('第 5 天'!P$5="停車費",'第 5 天'!P$5="其他"),'第 5 天'!P62,0))</f>
        <v>0</v>
      </c>
      <c r="G132" s="14" t="n">
        <f aca="false">SUM(C132:F132)</f>
        <v>0</v>
      </c>
      <c r="H132" s="14" t="n">
        <f aca="false">IF(LEN(TRIM(成員名單!$B15))=0,0,SUM(IF('第 5 天'!D$7=$B132,'第 5 天'!D46,0),IF('第 5 天'!F$7=$B132,'第 5 天'!F46,0),IF('第 5 天'!H$7=$B132,'第 5 天'!H46,0),IF('第 5 天'!J$7=$B132,'第 5 天'!J46,0),IF('第 5 天'!L$7=$B132,'第 5 天'!L46,0),IF('第 5 天'!N$7=$B132,'第 5 天'!N46,0),IF('第 5 天'!P$7=$B132,'第 5 天'!P46,0)))</f>
        <v>0</v>
      </c>
    </row>
    <row r="133" customFormat="false" ht="15" hidden="false" customHeight="false" outlineLevel="0" collapsed="false">
      <c r="A133" s="13" t="s">
        <v>116</v>
      </c>
      <c r="B133" s="13" t="s">
        <v>29</v>
      </c>
      <c r="C133" s="14" t="n">
        <f aca="false">SUM(IF(OR('第 5 天'!D$5="早餐",'第 5 天'!D$5="午餐",'第 5 天'!D$5="晚餐"),'第 5 天'!D63,0),IF(OR('第 5 天'!F$5="早餐",'第 5 天'!F$5="午餐",'第 5 天'!F$5="晚餐"),'第 5 天'!F63,0),IF(OR('第 5 天'!H$5="早餐",'第 5 天'!H$5="午餐",'第 5 天'!H$5="晚餐"),'第 5 天'!H63,0),IF(OR('第 5 天'!J$5="早餐",'第 5 天'!J$5="午餐",'第 5 天'!J$5="晚餐"),'第 5 天'!J63,0),IF(OR('第 5 天'!L$5="早餐",'第 5 天'!L$5="午餐",'第 5 天'!L$5="晚餐"),'第 5 天'!L63,0),IF(OR('第 5 天'!N$5="早餐",'第 5 天'!N$5="午餐",'第 5 天'!N$5="晚餐"),'第 5 天'!N63,0),IF(OR('第 5 天'!P$5="早餐",'第 5 天'!P$5="午餐",'第 5 天'!P$5="晚餐"),'第 5 天'!P63,0))</f>
        <v>0</v>
      </c>
      <c r="D133" s="14" t="n">
        <f aca="false">SUM(IF(OR('第 5 天'!D$5="油錢"),'第 5 天'!D63,0),IF(OR('第 5 天'!F$5="油錢"),'第 5 天'!F63,0),IF(OR('第 5 天'!H$5="油錢"),'第 5 天'!H63,0),IF(OR('第 5 天'!J$5="油錢"),'第 5 天'!J63,0),IF(OR('第 5 天'!L$5="油錢"),'第 5 天'!L63,0),IF(OR('第 5 天'!N$5="油錢"),'第 5 天'!N63,0),IF(OR('第 5 天'!P$5="油錢"),'第 5 天'!P63,0))</f>
        <v>0</v>
      </c>
      <c r="E133" s="14" t="n">
        <f aca="false">SUM(IF(OR('第 5 天'!D$5="租車費"),'第 5 天'!D63,0),IF(OR('第 5 天'!F$5="租車費"),'第 5 天'!F63,0),IF(OR('第 5 天'!H$5="租車費"),'第 5 天'!H63,0),IF(OR('第 5 天'!J$5="租車費"),'第 5 天'!J63,0),IF(OR('第 5 天'!L$5="租車費"),'第 5 天'!L63,0),IF(OR('第 5 天'!N$5="租車費"),'第 5 天'!N63,0),IF(OR('第 5 天'!P$5="租車費"),'第 5 天'!P63,0))</f>
        <v>0</v>
      </c>
      <c r="F133" s="14" t="n">
        <f aca="false">SUM(IF(OR('第 5 天'!D$5="停車費",'第 5 天'!D$5="其他"),'第 5 天'!D63,0),IF(OR('第 5 天'!F$5="停車費",'第 5 天'!F$5="其他"),'第 5 天'!F63,0),IF(OR('第 5 天'!H$5="停車費",'第 5 天'!H$5="其他"),'第 5 天'!H63,0),IF(OR('第 5 天'!J$5="停車費",'第 5 天'!J$5="其他"),'第 5 天'!J63,0),IF(OR('第 5 天'!L$5="停車費",'第 5 天'!L$5="其他"),'第 5 天'!L63,0),IF(OR('第 5 天'!N$5="停車費",'第 5 天'!N$5="其他"),'第 5 天'!N63,0),IF(OR('第 5 天'!P$5="停車費",'第 5 天'!P$5="其他"),'第 5 天'!P63,0))</f>
        <v>0</v>
      </c>
      <c r="G133" s="14" t="n">
        <f aca="false">SUM(C133:F133)</f>
        <v>0</v>
      </c>
      <c r="H133" s="14" t="n">
        <f aca="false">IF(LEN(TRIM(成員名單!$B16))=0,0,SUM(IF('第 5 天'!D$7=$B133,'第 5 天'!D46,0),IF('第 5 天'!F$7=$B133,'第 5 天'!F46,0),IF('第 5 天'!H$7=$B133,'第 5 天'!H46,0),IF('第 5 天'!J$7=$B133,'第 5 天'!J46,0),IF('第 5 天'!L$7=$B133,'第 5 天'!L46,0),IF('第 5 天'!N$7=$B133,'第 5 天'!N46,0),IF('第 5 天'!P$7=$B133,'第 5 天'!P46,0)))</f>
        <v>0</v>
      </c>
    </row>
    <row r="134" customFormat="false" ht="15" hidden="false" customHeight="false" outlineLevel="0" collapsed="false">
      <c r="A134" s="13" t="s">
        <v>116</v>
      </c>
      <c r="B134" s="13" t="s">
        <v>30</v>
      </c>
      <c r="C134" s="14" t="n">
        <f aca="false">SUM(IF(OR('第 5 天'!D$5="早餐",'第 5 天'!D$5="午餐",'第 5 天'!D$5="晚餐"),'第 5 天'!D64,0),IF(OR('第 5 天'!F$5="早餐",'第 5 天'!F$5="午餐",'第 5 天'!F$5="晚餐"),'第 5 天'!F64,0),IF(OR('第 5 天'!H$5="早餐",'第 5 天'!H$5="午餐",'第 5 天'!H$5="晚餐"),'第 5 天'!H64,0),IF(OR('第 5 天'!J$5="早餐",'第 5 天'!J$5="午餐",'第 5 天'!J$5="晚餐"),'第 5 天'!J64,0),IF(OR('第 5 天'!L$5="早餐",'第 5 天'!L$5="午餐",'第 5 天'!L$5="晚餐"),'第 5 天'!L64,0),IF(OR('第 5 天'!N$5="早餐",'第 5 天'!N$5="午餐",'第 5 天'!N$5="晚餐"),'第 5 天'!N64,0),IF(OR('第 5 天'!P$5="早餐",'第 5 天'!P$5="午餐",'第 5 天'!P$5="晚餐"),'第 5 天'!P64,0))</f>
        <v>0</v>
      </c>
      <c r="D134" s="14" t="n">
        <f aca="false">SUM(IF(OR('第 5 天'!D$5="油錢"),'第 5 天'!D64,0),IF(OR('第 5 天'!F$5="油錢"),'第 5 天'!F64,0),IF(OR('第 5 天'!H$5="油錢"),'第 5 天'!H64,0),IF(OR('第 5 天'!J$5="油錢"),'第 5 天'!J64,0),IF(OR('第 5 天'!L$5="油錢"),'第 5 天'!L64,0),IF(OR('第 5 天'!N$5="油錢"),'第 5 天'!N64,0),IF(OR('第 5 天'!P$5="油錢"),'第 5 天'!P64,0))</f>
        <v>0</v>
      </c>
      <c r="E134" s="14" t="n">
        <f aca="false">SUM(IF(OR('第 5 天'!D$5="租車費"),'第 5 天'!D64,0),IF(OR('第 5 天'!F$5="租車費"),'第 5 天'!F64,0),IF(OR('第 5 天'!H$5="租車費"),'第 5 天'!H64,0),IF(OR('第 5 天'!J$5="租車費"),'第 5 天'!J64,0),IF(OR('第 5 天'!L$5="租車費"),'第 5 天'!L64,0),IF(OR('第 5 天'!N$5="租車費"),'第 5 天'!N64,0),IF(OR('第 5 天'!P$5="租車費"),'第 5 天'!P64,0))</f>
        <v>0</v>
      </c>
      <c r="F134" s="14" t="n">
        <f aca="false">SUM(IF(OR('第 5 天'!D$5="停車費",'第 5 天'!D$5="其他"),'第 5 天'!D64,0),IF(OR('第 5 天'!F$5="停車費",'第 5 天'!F$5="其他"),'第 5 天'!F64,0),IF(OR('第 5 天'!H$5="停車費",'第 5 天'!H$5="其他"),'第 5 天'!H64,0),IF(OR('第 5 天'!J$5="停車費",'第 5 天'!J$5="其他"),'第 5 天'!J64,0),IF(OR('第 5 天'!L$5="停車費",'第 5 天'!L$5="其他"),'第 5 天'!L64,0),IF(OR('第 5 天'!N$5="停車費",'第 5 天'!N$5="其他"),'第 5 天'!N64,0),IF(OR('第 5 天'!P$5="停車費",'第 5 天'!P$5="其他"),'第 5 天'!P64,0))</f>
        <v>0</v>
      </c>
      <c r="G134" s="14" t="n">
        <f aca="false">SUM(C134:F134)</f>
        <v>0</v>
      </c>
      <c r="H134" s="14" t="n">
        <f aca="false">IF(LEN(TRIM(成員名單!$B17))=0,0,SUM(IF('第 5 天'!D$7=$B134,'第 5 天'!D46,0),IF('第 5 天'!F$7=$B134,'第 5 天'!F46,0),IF('第 5 天'!H$7=$B134,'第 5 天'!H46,0),IF('第 5 天'!J$7=$B134,'第 5 天'!J46,0),IF('第 5 天'!L$7=$B134,'第 5 天'!L46,0),IF('第 5 天'!N$7=$B134,'第 5 天'!N46,0),IF('第 5 天'!P$7=$B134,'第 5 天'!P46,0)))</f>
        <v>0</v>
      </c>
    </row>
    <row r="135" customFormat="false" ht="15" hidden="false" customHeight="false" outlineLevel="0" collapsed="false">
      <c r="A135" s="13" t="s">
        <v>116</v>
      </c>
      <c r="B135" s="13" t="s">
        <v>31</v>
      </c>
      <c r="C135" s="14" t="n">
        <f aca="false">SUM(IF(OR('第 5 天'!D$5="早餐",'第 5 天'!D$5="午餐",'第 5 天'!D$5="晚餐"),'第 5 天'!D65,0),IF(OR('第 5 天'!F$5="早餐",'第 5 天'!F$5="午餐",'第 5 天'!F$5="晚餐"),'第 5 天'!F65,0),IF(OR('第 5 天'!H$5="早餐",'第 5 天'!H$5="午餐",'第 5 天'!H$5="晚餐"),'第 5 天'!H65,0),IF(OR('第 5 天'!J$5="早餐",'第 5 天'!J$5="午餐",'第 5 天'!J$5="晚餐"),'第 5 天'!J65,0),IF(OR('第 5 天'!L$5="早餐",'第 5 天'!L$5="午餐",'第 5 天'!L$5="晚餐"),'第 5 天'!L65,0),IF(OR('第 5 天'!N$5="早餐",'第 5 天'!N$5="午餐",'第 5 天'!N$5="晚餐"),'第 5 天'!N65,0),IF(OR('第 5 天'!P$5="早餐",'第 5 天'!P$5="午餐",'第 5 天'!P$5="晚餐"),'第 5 天'!P65,0))</f>
        <v>0</v>
      </c>
      <c r="D135" s="14" t="n">
        <f aca="false">SUM(IF(OR('第 5 天'!D$5="油錢"),'第 5 天'!D65,0),IF(OR('第 5 天'!F$5="油錢"),'第 5 天'!F65,0),IF(OR('第 5 天'!H$5="油錢"),'第 5 天'!H65,0),IF(OR('第 5 天'!J$5="油錢"),'第 5 天'!J65,0),IF(OR('第 5 天'!L$5="油錢"),'第 5 天'!L65,0),IF(OR('第 5 天'!N$5="油錢"),'第 5 天'!N65,0),IF(OR('第 5 天'!P$5="油錢"),'第 5 天'!P65,0))</f>
        <v>0</v>
      </c>
      <c r="E135" s="14" t="n">
        <f aca="false">SUM(IF(OR('第 5 天'!D$5="租車費"),'第 5 天'!D65,0),IF(OR('第 5 天'!F$5="租車費"),'第 5 天'!F65,0),IF(OR('第 5 天'!H$5="租車費"),'第 5 天'!H65,0),IF(OR('第 5 天'!J$5="租車費"),'第 5 天'!J65,0),IF(OR('第 5 天'!L$5="租車費"),'第 5 天'!L65,0),IF(OR('第 5 天'!N$5="租車費"),'第 5 天'!N65,0),IF(OR('第 5 天'!P$5="租車費"),'第 5 天'!P65,0))</f>
        <v>0</v>
      </c>
      <c r="F135" s="14" t="n">
        <f aca="false">SUM(IF(OR('第 5 天'!D$5="停車費",'第 5 天'!D$5="其他"),'第 5 天'!D65,0),IF(OR('第 5 天'!F$5="停車費",'第 5 天'!F$5="其他"),'第 5 天'!F65,0),IF(OR('第 5 天'!H$5="停車費",'第 5 天'!H$5="其他"),'第 5 天'!H65,0),IF(OR('第 5 天'!J$5="停車費",'第 5 天'!J$5="其他"),'第 5 天'!J65,0),IF(OR('第 5 天'!L$5="停車費",'第 5 天'!L$5="其他"),'第 5 天'!L65,0),IF(OR('第 5 天'!N$5="停車費",'第 5 天'!N$5="其他"),'第 5 天'!N65,0),IF(OR('第 5 天'!P$5="停車費",'第 5 天'!P$5="其他"),'第 5 天'!P65,0))</f>
        <v>0</v>
      </c>
      <c r="G135" s="14" t="n">
        <f aca="false">SUM(C135:F135)</f>
        <v>0</v>
      </c>
      <c r="H135" s="14" t="n">
        <f aca="false">IF(LEN(TRIM(成員名單!$B18))=0,0,SUM(IF('第 5 天'!D$7=$B135,'第 5 天'!D46,0),IF('第 5 天'!F$7=$B135,'第 5 天'!F46,0),IF('第 5 天'!H$7=$B135,'第 5 天'!H46,0),IF('第 5 天'!J$7=$B135,'第 5 天'!J46,0),IF('第 5 天'!L$7=$B135,'第 5 天'!L46,0),IF('第 5 天'!N$7=$B135,'第 5 天'!N46,0),IF('第 5 天'!P$7=$B135,'第 5 天'!P46,0)))</f>
        <v>0</v>
      </c>
    </row>
    <row r="136" customFormat="false" ht="15" hidden="false" customHeight="false" outlineLevel="0" collapsed="false">
      <c r="A136" s="13" t="s">
        <v>116</v>
      </c>
      <c r="B136" s="13" t="s">
        <v>32</v>
      </c>
      <c r="C136" s="14" t="n">
        <f aca="false">SUM(IF(OR('第 5 天'!D$5="早餐",'第 5 天'!D$5="午餐",'第 5 天'!D$5="晚餐"),'第 5 天'!D66,0),IF(OR('第 5 天'!F$5="早餐",'第 5 天'!F$5="午餐",'第 5 天'!F$5="晚餐"),'第 5 天'!F66,0),IF(OR('第 5 天'!H$5="早餐",'第 5 天'!H$5="午餐",'第 5 天'!H$5="晚餐"),'第 5 天'!H66,0),IF(OR('第 5 天'!J$5="早餐",'第 5 天'!J$5="午餐",'第 5 天'!J$5="晚餐"),'第 5 天'!J66,0),IF(OR('第 5 天'!L$5="早餐",'第 5 天'!L$5="午餐",'第 5 天'!L$5="晚餐"),'第 5 天'!L66,0),IF(OR('第 5 天'!N$5="早餐",'第 5 天'!N$5="午餐",'第 5 天'!N$5="晚餐"),'第 5 天'!N66,0),IF(OR('第 5 天'!P$5="早餐",'第 5 天'!P$5="午餐",'第 5 天'!P$5="晚餐"),'第 5 天'!P66,0))</f>
        <v>0</v>
      </c>
      <c r="D136" s="14" t="n">
        <f aca="false">SUM(IF(OR('第 5 天'!D$5="油錢"),'第 5 天'!D66,0),IF(OR('第 5 天'!F$5="油錢"),'第 5 天'!F66,0),IF(OR('第 5 天'!H$5="油錢"),'第 5 天'!H66,0),IF(OR('第 5 天'!J$5="油錢"),'第 5 天'!J66,0),IF(OR('第 5 天'!L$5="油錢"),'第 5 天'!L66,0),IF(OR('第 5 天'!N$5="油錢"),'第 5 天'!N66,0),IF(OR('第 5 天'!P$5="油錢"),'第 5 天'!P66,0))</f>
        <v>0</v>
      </c>
      <c r="E136" s="14" t="n">
        <f aca="false">SUM(IF(OR('第 5 天'!D$5="租車費"),'第 5 天'!D66,0),IF(OR('第 5 天'!F$5="租車費"),'第 5 天'!F66,0),IF(OR('第 5 天'!H$5="租車費"),'第 5 天'!H66,0),IF(OR('第 5 天'!J$5="租車費"),'第 5 天'!J66,0),IF(OR('第 5 天'!L$5="租車費"),'第 5 天'!L66,0),IF(OR('第 5 天'!N$5="租車費"),'第 5 天'!N66,0),IF(OR('第 5 天'!P$5="租車費"),'第 5 天'!P66,0))</f>
        <v>0</v>
      </c>
      <c r="F136" s="14" t="n">
        <f aca="false">SUM(IF(OR('第 5 天'!D$5="停車費",'第 5 天'!D$5="其他"),'第 5 天'!D66,0),IF(OR('第 5 天'!F$5="停車費",'第 5 天'!F$5="其他"),'第 5 天'!F66,0),IF(OR('第 5 天'!H$5="停車費",'第 5 天'!H$5="其他"),'第 5 天'!H66,0),IF(OR('第 5 天'!J$5="停車費",'第 5 天'!J$5="其他"),'第 5 天'!J66,0),IF(OR('第 5 天'!L$5="停車費",'第 5 天'!L$5="其他"),'第 5 天'!L66,0),IF(OR('第 5 天'!N$5="停車費",'第 5 天'!N$5="其他"),'第 5 天'!N66,0),IF(OR('第 5 天'!P$5="停車費",'第 5 天'!P$5="其他"),'第 5 天'!P66,0))</f>
        <v>0</v>
      </c>
      <c r="G136" s="14" t="n">
        <f aca="false">SUM(C136:F136)</f>
        <v>0</v>
      </c>
      <c r="H136" s="14" t="n">
        <f aca="false">IF(LEN(TRIM(成員名單!$B19))=0,0,SUM(IF('第 5 天'!D$7=$B136,'第 5 天'!D46,0),IF('第 5 天'!F$7=$B136,'第 5 天'!F46,0),IF('第 5 天'!H$7=$B136,'第 5 天'!H46,0),IF('第 5 天'!J$7=$B136,'第 5 天'!J46,0),IF('第 5 天'!L$7=$B136,'第 5 天'!L46,0),IF('第 5 天'!N$7=$B136,'第 5 天'!N46,0),IF('第 5 天'!P$7=$B136,'第 5 天'!P46,0)))</f>
        <v>0</v>
      </c>
    </row>
    <row r="137" customFormat="false" ht="15" hidden="false" customHeight="false" outlineLevel="0" collapsed="false">
      <c r="A137" s="13" t="s">
        <v>116</v>
      </c>
      <c r="B137" s="13" t="s">
        <v>33</v>
      </c>
      <c r="C137" s="14" t="n">
        <f aca="false">SUM(IF(OR('第 5 天'!D$5="早餐",'第 5 天'!D$5="午餐",'第 5 天'!D$5="晚餐"),'第 5 天'!D67,0),IF(OR('第 5 天'!F$5="早餐",'第 5 天'!F$5="午餐",'第 5 天'!F$5="晚餐"),'第 5 天'!F67,0),IF(OR('第 5 天'!H$5="早餐",'第 5 天'!H$5="午餐",'第 5 天'!H$5="晚餐"),'第 5 天'!H67,0),IF(OR('第 5 天'!J$5="早餐",'第 5 天'!J$5="午餐",'第 5 天'!J$5="晚餐"),'第 5 天'!J67,0),IF(OR('第 5 天'!L$5="早餐",'第 5 天'!L$5="午餐",'第 5 天'!L$5="晚餐"),'第 5 天'!L67,0),IF(OR('第 5 天'!N$5="早餐",'第 5 天'!N$5="午餐",'第 5 天'!N$5="晚餐"),'第 5 天'!N67,0),IF(OR('第 5 天'!P$5="早餐",'第 5 天'!P$5="午餐",'第 5 天'!P$5="晚餐"),'第 5 天'!P67,0))</f>
        <v>0</v>
      </c>
      <c r="D137" s="14" t="n">
        <f aca="false">SUM(IF(OR('第 5 天'!D$5="油錢"),'第 5 天'!D67,0),IF(OR('第 5 天'!F$5="油錢"),'第 5 天'!F67,0),IF(OR('第 5 天'!H$5="油錢"),'第 5 天'!H67,0),IF(OR('第 5 天'!J$5="油錢"),'第 5 天'!J67,0),IF(OR('第 5 天'!L$5="油錢"),'第 5 天'!L67,0),IF(OR('第 5 天'!N$5="油錢"),'第 5 天'!N67,0),IF(OR('第 5 天'!P$5="油錢"),'第 5 天'!P67,0))</f>
        <v>0</v>
      </c>
      <c r="E137" s="14" t="n">
        <f aca="false">SUM(IF(OR('第 5 天'!D$5="租車費"),'第 5 天'!D67,0),IF(OR('第 5 天'!F$5="租車費"),'第 5 天'!F67,0),IF(OR('第 5 天'!H$5="租車費"),'第 5 天'!H67,0),IF(OR('第 5 天'!J$5="租車費"),'第 5 天'!J67,0),IF(OR('第 5 天'!L$5="租車費"),'第 5 天'!L67,0),IF(OR('第 5 天'!N$5="租車費"),'第 5 天'!N67,0),IF(OR('第 5 天'!P$5="租車費"),'第 5 天'!P67,0))</f>
        <v>0</v>
      </c>
      <c r="F137" s="14" t="n">
        <f aca="false">SUM(IF(OR('第 5 天'!D$5="停車費",'第 5 天'!D$5="其他"),'第 5 天'!D67,0),IF(OR('第 5 天'!F$5="停車費",'第 5 天'!F$5="其他"),'第 5 天'!F67,0),IF(OR('第 5 天'!H$5="停車費",'第 5 天'!H$5="其他"),'第 5 天'!H67,0),IF(OR('第 5 天'!J$5="停車費",'第 5 天'!J$5="其他"),'第 5 天'!J67,0),IF(OR('第 5 天'!L$5="停車費",'第 5 天'!L$5="其他"),'第 5 天'!L67,0),IF(OR('第 5 天'!N$5="停車費",'第 5 天'!N$5="其他"),'第 5 天'!N67,0),IF(OR('第 5 天'!P$5="停車費",'第 5 天'!P$5="其他"),'第 5 天'!P67,0))</f>
        <v>0</v>
      </c>
      <c r="G137" s="14" t="n">
        <f aca="false">SUM(C137:F137)</f>
        <v>0</v>
      </c>
      <c r="H137" s="14" t="n">
        <f aca="false">IF(LEN(TRIM(成員名單!$B20))=0,0,SUM(IF('第 5 天'!D$7=$B137,'第 5 天'!D46,0),IF('第 5 天'!F$7=$B137,'第 5 天'!F46,0),IF('第 5 天'!H$7=$B137,'第 5 天'!H46,0),IF('第 5 天'!J$7=$B137,'第 5 天'!J46,0),IF('第 5 天'!L$7=$B137,'第 5 天'!L46,0),IF('第 5 天'!N$7=$B137,'第 5 天'!N46,0),IF('第 5 天'!P$7=$B137,'第 5 天'!P46,0)))</f>
        <v>0</v>
      </c>
    </row>
    <row r="138" customFormat="false" ht="15" hidden="false" customHeight="false" outlineLevel="0" collapsed="false">
      <c r="A138" s="13" t="s">
        <v>116</v>
      </c>
      <c r="B138" s="13" t="s">
        <v>34</v>
      </c>
      <c r="C138" s="14" t="n">
        <f aca="false">SUM(IF(OR('第 5 天'!D$5="早餐",'第 5 天'!D$5="午餐",'第 5 天'!D$5="晚餐"),'第 5 天'!D68,0),IF(OR('第 5 天'!F$5="早餐",'第 5 天'!F$5="午餐",'第 5 天'!F$5="晚餐"),'第 5 天'!F68,0),IF(OR('第 5 天'!H$5="早餐",'第 5 天'!H$5="午餐",'第 5 天'!H$5="晚餐"),'第 5 天'!H68,0),IF(OR('第 5 天'!J$5="早餐",'第 5 天'!J$5="午餐",'第 5 天'!J$5="晚餐"),'第 5 天'!J68,0),IF(OR('第 5 天'!L$5="早餐",'第 5 天'!L$5="午餐",'第 5 天'!L$5="晚餐"),'第 5 天'!L68,0),IF(OR('第 5 天'!N$5="早餐",'第 5 天'!N$5="午餐",'第 5 天'!N$5="晚餐"),'第 5 天'!N68,0),IF(OR('第 5 天'!P$5="早餐",'第 5 天'!P$5="午餐",'第 5 天'!P$5="晚餐"),'第 5 天'!P68,0))</f>
        <v>0</v>
      </c>
      <c r="D138" s="14" t="n">
        <f aca="false">SUM(IF(OR('第 5 天'!D$5="油錢"),'第 5 天'!D68,0),IF(OR('第 5 天'!F$5="油錢"),'第 5 天'!F68,0),IF(OR('第 5 天'!H$5="油錢"),'第 5 天'!H68,0),IF(OR('第 5 天'!J$5="油錢"),'第 5 天'!J68,0),IF(OR('第 5 天'!L$5="油錢"),'第 5 天'!L68,0),IF(OR('第 5 天'!N$5="油錢"),'第 5 天'!N68,0),IF(OR('第 5 天'!P$5="油錢"),'第 5 天'!P68,0))</f>
        <v>0</v>
      </c>
      <c r="E138" s="14" t="n">
        <f aca="false">SUM(IF(OR('第 5 天'!D$5="租車費"),'第 5 天'!D68,0),IF(OR('第 5 天'!F$5="租車費"),'第 5 天'!F68,0),IF(OR('第 5 天'!H$5="租車費"),'第 5 天'!H68,0),IF(OR('第 5 天'!J$5="租車費"),'第 5 天'!J68,0),IF(OR('第 5 天'!L$5="租車費"),'第 5 天'!L68,0),IF(OR('第 5 天'!N$5="租車費"),'第 5 天'!N68,0),IF(OR('第 5 天'!P$5="租車費"),'第 5 天'!P68,0))</f>
        <v>0</v>
      </c>
      <c r="F138" s="14" t="n">
        <f aca="false">SUM(IF(OR('第 5 天'!D$5="停車費",'第 5 天'!D$5="其他"),'第 5 天'!D68,0),IF(OR('第 5 天'!F$5="停車費",'第 5 天'!F$5="其他"),'第 5 天'!F68,0),IF(OR('第 5 天'!H$5="停車費",'第 5 天'!H$5="其他"),'第 5 天'!H68,0),IF(OR('第 5 天'!J$5="停車費",'第 5 天'!J$5="其他"),'第 5 天'!J68,0),IF(OR('第 5 天'!L$5="停車費",'第 5 天'!L$5="其他"),'第 5 天'!L68,0),IF(OR('第 5 天'!N$5="停車費",'第 5 天'!N$5="其他"),'第 5 天'!N68,0),IF(OR('第 5 天'!P$5="停車費",'第 5 天'!P$5="其他"),'第 5 天'!P68,0))</f>
        <v>0</v>
      </c>
      <c r="G138" s="14" t="n">
        <f aca="false">SUM(C138:F138)</f>
        <v>0</v>
      </c>
      <c r="H138" s="14" t="n">
        <f aca="false">IF(LEN(TRIM(成員名單!$B21))=0,0,SUM(IF('第 5 天'!D$7=$B138,'第 5 天'!D46,0),IF('第 5 天'!F$7=$B138,'第 5 天'!F46,0),IF('第 5 天'!H$7=$B138,'第 5 天'!H46,0),IF('第 5 天'!J$7=$B138,'第 5 天'!J46,0),IF('第 5 天'!L$7=$B138,'第 5 天'!L46,0),IF('第 5 天'!N$7=$B138,'第 5 天'!N46,0),IF('第 5 天'!P$7=$B138,'第 5 天'!P46,0)))</f>
        <v>0</v>
      </c>
    </row>
    <row r="139" customFormat="false" ht="15" hidden="false" customHeight="false" outlineLevel="0" collapsed="false">
      <c r="A139" s="13" t="s">
        <v>116</v>
      </c>
      <c r="B139" s="13" t="s">
        <v>35</v>
      </c>
      <c r="C139" s="14" t="n">
        <f aca="false">SUM(IF(OR('第 5 天'!D$5="早餐",'第 5 天'!D$5="午餐",'第 5 天'!D$5="晚餐"),'第 5 天'!D69,0),IF(OR('第 5 天'!F$5="早餐",'第 5 天'!F$5="午餐",'第 5 天'!F$5="晚餐"),'第 5 天'!F69,0),IF(OR('第 5 天'!H$5="早餐",'第 5 天'!H$5="午餐",'第 5 天'!H$5="晚餐"),'第 5 天'!H69,0),IF(OR('第 5 天'!J$5="早餐",'第 5 天'!J$5="午餐",'第 5 天'!J$5="晚餐"),'第 5 天'!J69,0),IF(OR('第 5 天'!L$5="早餐",'第 5 天'!L$5="午餐",'第 5 天'!L$5="晚餐"),'第 5 天'!L69,0),IF(OR('第 5 天'!N$5="早餐",'第 5 天'!N$5="午餐",'第 5 天'!N$5="晚餐"),'第 5 天'!N69,0),IF(OR('第 5 天'!P$5="早餐",'第 5 天'!P$5="午餐",'第 5 天'!P$5="晚餐"),'第 5 天'!P69,0))</f>
        <v>0</v>
      </c>
      <c r="D139" s="14" t="n">
        <f aca="false">SUM(IF(OR('第 5 天'!D$5="油錢"),'第 5 天'!D69,0),IF(OR('第 5 天'!F$5="油錢"),'第 5 天'!F69,0),IF(OR('第 5 天'!H$5="油錢"),'第 5 天'!H69,0),IF(OR('第 5 天'!J$5="油錢"),'第 5 天'!J69,0),IF(OR('第 5 天'!L$5="油錢"),'第 5 天'!L69,0),IF(OR('第 5 天'!N$5="油錢"),'第 5 天'!N69,0),IF(OR('第 5 天'!P$5="油錢"),'第 5 天'!P69,0))</f>
        <v>0</v>
      </c>
      <c r="E139" s="14" t="n">
        <f aca="false">SUM(IF(OR('第 5 天'!D$5="租車費"),'第 5 天'!D69,0),IF(OR('第 5 天'!F$5="租車費"),'第 5 天'!F69,0),IF(OR('第 5 天'!H$5="租車費"),'第 5 天'!H69,0),IF(OR('第 5 天'!J$5="租車費"),'第 5 天'!J69,0),IF(OR('第 5 天'!L$5="租車費"),'第 5 天'!L69,0),IF(OR('第 5 天'!N$5="租車費"),'第 5 天'!N69,0),IF(OR('第 5 天'!P$5="租車費"),'第 5 天'!P69,0))</f>
        <v>0</v>
      </c>
      <c r="F139" s="14" t="n">
        <f aca="false">SUM(IF(OR('第 5 天'!D$5="停車費",'第 5 天'!D$5="其他"),'第 5 天'!D69,0),IF(OR('第 5 天'!F$5="停車費",'第 5 天'!F$5="其他"),'第 5 天'!F69,0),IF(OR('第 5 天'!H$5="停車費",'第 5 天'!H$5="其他"),'第 5 天'!H69,0),IF(OR('第 5 天'!J$5="停車費",'第 5 天'!J$5="其他"),'第 5 天'!J69,0),IF(OR('第 5 天'!L$5="停車費",'第 5 天'!L$5="其他"),'第 5 天'!L69,0),IF(OR('第 5 天'!N$5="停車費",'第 5 天'!N$5="其他"),'第 5 天'!N69,0),IF(OR('第 5 天'!P$5="停車費",'第 5 天'!P$5="其他"),'第 5 天'!P69,0))</f>
        <v>0</v>
      </c>
      <c r="G139" s="14" t="n">
        <f aca="false">SUM(C139:F139)</f>
        <v>0</v>
      </c>
      <c r="H139" s="14" t="n">
        <f aca="false">IF(LEN(TRIM(成員名單!$B22))=0,0,SUM(IF('第 5 天'!D$7=$B139,'第 5 天'!D46,0),IF('第 5 天'!F$7=$B139,'第 5 天'!F46,0),IF('第 5 天'!H$7=$B139,'第 5 天'!H46,0),IF('第 5 天'!J$7=$B139,'第 5 天'!J46,0),IF('第 5 天'!L$7=$B139,'第 5 天'!L46,0),IF('第 5 天'!N$7=$B139,'第 5 天'!N46,0),IF('第 5 天'!P$7=$B139,'第 5 天'!P46,0)))</f>
        <v>0</v>
      </c>
    </row>
    <row r="140" customFormat="false" ht="15" hidden="false" customHeight="false" outlineLevel="0" collapsed="false">
      <c r="A140" s="13" t="s">
        <v>116</v>
      </c>
      <c r="B140" s="13" t="s">
        <v>36</v>
      </c>
      <c r="C140" s="14" t="n">
        <f aca="false">SUM(IF(OR('第 5 天'!D$5="早餐",'第 5 天'!D$5="午餐",'第 5 天'!D$5="晚餐"),'第 5 天'!D70,0),IF(OR('第 5 天'!F$5="早餐",'第 5 天'!F$5="午餐",'第 5 天'!F$5="晚餐"),'第 5 天'!F70,0),IF(OR('第 5 天'!H$5="早餐",'第 5 天'!H$5="午餐",'第 5 天'!H$5="晚餐"),'第 5 天'!H70,0),IF(OR('第 5 天'!J$5="早餐",'第 5 天'!J$5="午餐",'第 5 天'!J$5="晚餐"),'第 5 天'!J70,0),IF(OR('第 5 天'!L$5="早餐",'第 5 天'!L$5="午餐",'第 5 天'!L$5="晚餐"),'第 5 天'!L70,0),IF(OR('第 5 天'!N$5="早餐",'第 5 天'!N$5="午餐",'第 5 天'!N$5="晚餐"),'第 5 天'!N70,0),IF(OR('第 5 天'!P$5="早餐",'第 5 天'!P$5="午餐",'第 5 天'!P$5="晚餐"),'第 5 天'!P70,0))</f>
        <v>0</v>
      </c>
      <c r="D140" s="14" t="n">
        <f aca="false">SUM(IF(OR('第 5 天'!D$5="油錢"),'第 5 天'!D70,0),IF(OR('第 5 天'!F$5="油錢"),'第 5 天'!F70,0),IF(OR('第 5 天'!H$5="油錢"),'第 5 天'!H70,0),IF(OR('第 5 天'!J$5="油錢"),'第 5 天'!J70,0),IF(OR('第 5 天'!L$5="油錢"),'第 5 天'!L70,0),IF(OR('第 5 天'!N$5="油錢"),'第 5 天'!N70,0),IF(OR('第 5 天'!P$5="油錢"),'第 5 天'!P70,0))</f>
        <v>0</v>
      </c>
      <c r="E140" s="14" t="n">
        <f aca="false">SUM(IF(OR('第 5 天'!D$5="租車費"),'第 5 天'!D70,0),IF(OR('第 5 天'!F$5="租車費"),'第 5 天'!F70,0),IF(OR('第 5 天'!H$5="租車費"),'第 5 天'!H70,0),IF(OR('第 5 天'!J$5="租車費"),'第 5 天'!J70,0),IF(OR('第 5 天'!L$5="租車費"),'第 5 天'!L70,0),IF(OR('第 5 天'!N$5="租車費"),'第 5 天'!N70,0),IF(OR('第 5 天'!P$5="租車費"),'第 5 天'!P70,0))</f>
        <v>0</v>
      </c>
      <c r="F140" s="14" t="n">
        <f aca="false">SUM(IF(OR('第 5 天'!D$5="停車費",'第 5 天'!D$5="其他"),'第 5 天'!D70,0),IF(OR('第 5 天'!F$5="停車費",'第 5 天'!F$5="其他"),'第 5 天'!F70,0),IF(OR('第 5 天'!H$5="停車費",'第 5 天'!H$5="其他"),'第 5 天'!H70,0),IF(OR('第 5 天'!J$5="停車費",'第 5 天'!J$5="其他"),'第 5 天'!J70,0),IF(OR('第 5 天'!L$5="停車費",'第 5 天'!L$5="其他"),'第 5 天'!L70,0),IF(OR('第 5 天'!N$5="停車費",'第 5 天'!N$5="其他"),'第 5 天'!N70,0),IF(OR('第 5 天'!P$5="停車費",'第 5 天'!P$5="其他"),'第 5 天'!P70,0))</f>
        <v>0</v>
      </c>
      <c r="G140" s="14" t="n">
        <f aca="false">SUM(C140:F140)</f>
        <v>0</v>
      </c>
      <c r="H140" s="14" t="n">
        <f aca="false">IF(LEN(TRIM(成員名單!$B23))=0,0,SUM(IF('第 5 天'!D$7=$B140,'第 5 天'!D46,0),IF('第 5 天'!F$7=$B140,'第 5 天'!F46,0),IF('第 5 天'!H$7=$B140,'第 5 天'!H46,0),IF('第 5 天'!J$7=$B140,'第 5 天'!J46,0),IF('第 5 天'!L$7=$B140,'第 5 天'!L46,0),IF('第 5 天'!N$7=$B140,'第 5 天'!N46,0),IF('第 5 天'!P$7=$B140,'第 5 天'!P46,0)))</f>
        <v>0</v>
      </c>
    </row>
    <row r="141" customFormat="false" ht="15" hidden="false" customHeight="false" outlineLevel="0" collapsed="false">
      <c r="A141" s="13" t="s">
        <v>116</v>
      </c>
      <c r="B141" s="13" t="s">
        <v>37</v>
      </c>
      <c r="C141" s="14" t="n">
        <f aca="false">SUM(IF(OR('第 5 天'!D$5="早餐",'第 5 天'!D$5="午餐",'第 5 天'!D$5="晚餐"),'第 5 天'!D71,0),IF(OR('第 5 天'!F$5="早餐",'第 5 天'!F$5="午餐",'第 5 天'!F$5="晚餐"),'第 5 天'!F71,0),IF(OR('第 5 天'!H$5="早餐",'第 5 天'!H$5="午餐",'第 5 天'!H$5="晚餐"),'第 5 天'!H71,0),IF(OR('第 5 天'!J$5="早餐",'第 5 天'!J$5="午餐",'第 5 天'!J$5="晚餐"),'第 5 天'!J71,0),IF(OR('第 5 天'!L$5="早餐",'第 5 天'!L$5="午餐",'第 5 天'!L$5="晚餐"),'第 5 天'!L71,0),IF(OR('第 5 天'!N$5="早餐",'第 5 天'!N$5="午餐",'第 5 天'!N$5="晚餐"),'第 5 天'!N71,0),IF(OR('第 5 天'!P$5="早餐",'第 5 天'!P$5="午餐",'第 5 天'!P$5="晚餐"),'第 5 天'!P71,0))</f>
        <v>0</v>
      </c>
      <c r="D141" s="14" t="n">
        <f aca="false">SUM(IF(OR('第 5 天'!D$5="油錢"),'第 5 天'!D71,0),IF(OR('第 5 天'!F$5="油錢"),'第 5 天'!F71,0),IF(OR('第 5 天'!H$5="油錢"),'第 5 天'!H71,0),IF(OR('第 5 天'!J$5="油錢"),'第 5 天'!J71,0),IF(OR('第 5 天'!L$5="油錢"),'第 5 天'!L71,0),IF(OR('第 5 天'!N$5="油錢"),'第 5 天'!N71,0),IF(OR('第 5 天'!P$5="油錢"),'第 5 天'!P71,0))</f>
        <v>0</v>
      </c>
      <c r="E141" s="14" t="n">
        <f aca="false">SUM(IF(OR('第 5 天'!D$5="租車費"),'第 5 天'!D71,0),IF(OR('第 5 天'!F$5="租車費"),'第 5 天'!F71,0),IF(OR('第 5 天'!H$5="租車費"),'第 5 天'!H71,0),IF(OR('第 5 天'!J$5="租車費"),'第 5 天'!J71,0),IF(OR('第 5 天'!L$5="租車費"),'第 5 天'!L71,0),IF(OR('第 5 天'!N$5="租車費"),'第 5 天'!N71,0),IF(OR('第 5 天'!P$5="租車費"),'第 5 天'!P71,0))</f>
        <v>0</v>
      </c>
      <c r="F141" s="14" t="n">
        <f aca="false">SUM(IF(OR('第 5 天'!D$5="停車費",'第 5 天'!D$5="其他"),'第 5 天'!D71,0),IF(OR('第 5 天'!F$5="停車費",'第 5 天'!F$5="其他"),'第 5 天'!F71,0),IF(OR('第 5 天'!H$5="停車費",'第 5 天'!H$5="其他"),'第 5 天'!H71,0),IF(OR('第 5 天'!J$5="停車費",'第 5 天'!J$5="其他"),'第 5 天'!J71,0),IF(OR('第 5 天'!L$5="停車費",'第 5 天'!L$5="其他"),'第 5 天'!L71,0),IF(OR('第 5 天'!N$5="停車費",'第 5 天'!N$5="其他"),'第 5 天'!N71,0),IF(OR('第 5 天'!P$5="停車費",'第 5 天'!P$5="其他"),'第 5 天'!P71,0))</f>
        <v>0</v>
      </c>
      <c r="G141" s="14" t="n">
        <f aca="false">SUM(C141:F141)</f>
        <v>0</v>
      </c>
      <c r="H141" s="14" t="n">
        <f aca="false">IF(LEN(TRIM(成員名單!$B24))=0,0,SUM(IF('第 5 天'!D$7=$B141,'第 5 天'!D46,0),IF('第 5 天'!F$7=$B141,'第 5 天'!F46,0),IF('第 5 天'!H$7=$B141,'第 5 天'!H46,0),IF('第 5 天'!J$7=$B141,'第 5 天'!J46,0),IF('第 5 天'!L$7=$B141,'第 5 天'!L46,0),IF('第 5 天'!N$7=$B141,'第 5 天'!N46,0),IF('第 5 天'!P$7=$B141,'第 5 天'!P46,0)))</f>
        <v>0</v>
      </c>
    </row>
    <row r="142" customFormat="false" ht="15" hidden="false" customHeight="false" outlineLevel="0" collapsed="false">
      <c r="A142" s="13" t="s">
        <v>116</v>
      </c>
      <c r="B142" s="13" t="s">
        <v>38</v>
      </c>
      <c r="C142" s="14" t="n">
        <f aca="false">SUM(IF(OR('第 5 天'!D$5="早餐",'第 5 天'!D$5="午餐",'第 5 天'!D$5="晚餐"),'第 5 天'!D72,0),IF(OR('第 5 天'!F$5="早餐",'第 5 天'!F$5="午餐",'第 5 天'!F$5="晚餐"),'第 5 天'!F72,0),IF(OR('第 5 天'!H$5="早餐",'第 5 天'!H$5="午餐",'第 5 天'!H$5="晚餐"),'第 5 天'!H72,0),IF(OR('第 5 天'!J$5="早餐",'第 5 天'!J$5="午餐",'第 5 天'!J$5="晚餐"),'第 5 天'!J72,0),IF(OR('第 5 天'!L$5="早餐",'第 5 天'!L$5="午餐",'第 5 天'!L$5="晚餐"),'第 5 天'!L72,0),IF(OR('第 5 天'!N$5="早餐",'第 5 天'!N$5="午餐",'第 5 天'!N$5="晚餐"),'第 5 天'!N72,0),IF(OR('第 5 天'!P$5="早餐",'第 5 天'!P$5="午餐",'第 5 天'!P$5="晚餐"),'第 5 天'!P72,0))</f>
        <v>0</v>
      </c>
      <c r="D142" s="14" t="n">
        <f aca="false">SUM(IF(OR('第 5 天'!D$5="油錢"),'第 5 天'!D72,0),IF(OR('第 5 天'!F$5="油錢"),'第 5 天'!F72,0),IF(OR('第 5 天'!H$5="油錢"),'第 5 天'!H72,0),IF(OR('第 5 天'!J$5="油錢"),'第 5 天'!J72,0),IF(OR('第 5 天'!L$5="油錢"),'第 5 天'!L72,0),IF(OR('第 5 天'!N$5="油錢"),'第 5 天'!N72,0),IF(OR('第 5 天'!P$5="油錢"),'第 5 天'!P72,0))</f>
        <v>0</v>
      </c>
      <c r="E142" s="14" t="n">
        <f aca="false">SUM(IF(OR('第 5 天'!D$5="租車費"),'第 5 天'!D72,0),IF(OR('第 5 天'!F$5="租車費"),'第 5 天'!F72,0),IF(OR('第 5 天'!H$5="租車費"),'第 5 天'!H72,0),IF(OR('第 5 天'!J$5="租車費"),'第 5 天'!J72,0),IF(OR('第 5 天'!L$5="租車費"),'第 5 天'!L72,0),IF(OR('第 5 天'!N$5="租車費"),'第 5 天'!N72,0),IF(OR('第 5 天'!P$5="租車費"),'第 5 天'!P72,0))</f>
        <v>0</v>
      </c>
      <c r="F142" s="14" t="n">
        <f aca="false">SUM(IF(OR('第 5 天'!D$5="停車費",'第 5 天'!D$5="其他"),'第 5 天'!D72,0),IF(OR('第 5 天'!F$5="停車費",'第 5 天'!F$5="其他"),'第 5 天'!F72,0),IF(OR('第 5 天'!H$5="停車費",'第 5 天'!H$5="其他"),'第 5 天'!H72,0),IF(OR('第 5 天'!J$5="停車費",'第 5 天'!J$5="其他"),'第 5 天'!J72,0),IF(OR('第 5 天'!L$5="停車費",'第 5 天'!L$5="其他"),'第 5 天'!L72,0),IF(OR('第 5 天'!N$5="停車費",'第 5 天'!N$5="其他"),'第 5 天'!N72,0),IF(OR('第 5 天'!P$5="停車費",'第 5 天'!P$5="其他"),'第 5 天'!P72,0))</f>
        <v>0</v>
      </c>
      <c r="G142" s="14" t="n">
        <f aca="false">SUM(C142:F142)</f>
        <v>0</v>
      </c>
      <c r="H142" s="14" t="n">
        <f aca="false">IF(LEN(TRIM(成員名單!$B25))=0,0,SUM(IF('第 5 天'!D$7=$B142,'第 5 天'!D46,0),IF('第 5 天'!F$7=$B142,'第 5 天'!F46,0),IF('第 5 天'!H$7=$B142,'第 5 天'!H46,0),IF('第 5 天'!J$7=$B142,'第 5 天'!J46,0),IF('第 5 天'!L$7=$B142,'第 5 天'!L46,0),IF('第 5 天'!N$7=$B142,'第 5 天'!N46,0),IF('第 5 天'!P$7=$B142,'第 5 天'!P46,0)))</f>
        <v>0</v>
      </c>
    </row>
    <row r="143" customFormat="false" ht="15" hidden="false" customHeight="false" outlineLevel="0" collapsed="false">
      <c r="A143" s="13" t="s">
        <v>116</v>
      </c>
      <c r="B143" s="13" t="s">
        <v>39</v>
      </c>
      <c r="C143" s="14" t="n">
        <f aca="false">SUM(IF(OR('第 5 天'!D$5="早餐",'第 5 天'!D$5="午餐",'第 5 天'!D$5="晚餐"),'第 5 天'!D73,0),IF(OR('第 5 天'!F$5="早餐",'第 5 天'!F$5="午餐",'第 5 天'!F$5="晚餐"),'第 5 天'!F73,0),IF(OR('第 5 天'!H$5="早餐",'第 5 天'!H$5="午餐",'第 5 天'!H$5="晚餐"),'第 5 天'!H73,0),IF(OR('第 5 天'!J$5="早餐",'第 5 天'!J$5="午餐",'第 5 天'!J$5="晚餐"),'第 5 天'!J73,0),IF(OR('第 5 天'!L$5="早餐",'第 5 天'!L$5="午餐",'第 5 天'!L$5="晚餐"),'第 5 天'!L73,0),IF(OR('第 5 天'!N$5="早餐",'第 5 天'!N$5="午餐",'第 5 天'!N$5="晚餐"),'第 5 天'!N73,0),IF(OR('第 5 天'!P$5="早餐",'第 5 天'!P$5="午餐",'第 5 天'!P$5="晚餐"),'第 5 天'!P73,0))</f>
        <v>0</v>
      </c>
      <c r="D143" s="14" t="n">
        <f aca="false">SUM(IF(OR('第 5 天'!D$5="油錢"),'第 5 天'!D73,0),IF(OR('第 5 天'!F$5="油錢"),'第 5 天'!F73,0),IF(OR('第 5 天'!H$5="油錢"),'第 5 天'!H73,0),IF(OR('第 5 天'!J$5="油錢"),'第 5 天'!J73,0),IF(OR('第 5 天'!L$5="油錢"),'第 5 天'!L73,0),IF(OR('第 5 天'!N$5="油錢"),'第 5 天'!N73,0),IF(OR('第 5 天'!P$5="油錢"),'第 5 天'!P73,0))</f>
        <v>0</v>
      </c>
      <c r="E143" s="14" t="n">
        <f aca="false">SUM(IF(OR('第 5 天'!D$5="租車費"),'第 5 天'!D73,0),IF(OR('第 5 天'!F$5="租車費"),'第 5 天'!F73,0),IF(OR('第 5 天'!H$5="租車費"),'第 5 天'!H73,0),IF(OR('第 5 天'!J$5="租車費"),'第 5 天'!J73,0),IF(OR('第 5 天'!L$5="租車費"),'第 5 天'!L73,0),IF(OR('第 5 天'!N$5="租車費"),'第 5 天'!N73,0),IF(OR('第 5 天'!P$5="租車費"),'第 5 天'!P73,0))</f>
        <v>0</v>
      </c>
      <c r="F143" s="14" t="n">
        <f aca="false">SUM(IF(OR('第 5 天'!D$5="停車費",'第 5 天'!D$5="其他"),'第 5 天'!D73,0),IF(OR('第 5 天'!F$5="停車費",'第 5 天'!F$5="其他"),'第 5 天'!F73,0),IF(OR('第 5 天'!H$5="停車費",'第 5 天'!H$5="其他"),'第 5 天'!H73,0),IF(OR('第 5 天'!J$5="停車費",'第 5 天'!J$5="其他"),'第 5 天'!J73,0),IF(OR('第 5 天'!L$5="停車費",'第 5 天'!L$5="其他"),'第 5 天'!L73,0),IF(OR('第 5 天'!N$5="停車費",'第 5 天'!N$5="其他"),'第 5 天'!N73,0),IF(OR('第 5 天'!P$5="停車費",'第 5 天'!P$5="其他"),'第 5 天'!P73,0))</f>
        <v>0</v>
      </c>
      <c r="G143" s="14" t="n">
        <f aca="false">SUM(C143:F143)</f>
        <v>0</v>
      </c>
      <c r="H143" s="14" t="n">
        <f aca="false">IF(LEN(TRIM(成員名單!$B26))=0,0,SUM(IF('第 5 天'!D$7=$B143,'第 5 天'!D46,0),IF('第 5 天'!F$7=$B143,'第 5 天'!F46,0),IF('第 5 天'!H$7=$B143,'第 5 天'!H46,0),IF('第 5 天'!J$7=$B143,'第 5 天'!J46,0),IF('第 5 天'!L$7=$B143,'第 5 天'!L46,0),IF('第 5 天'!N$7=$B143,'第 5 天'!N46,0),IF('第 5 天'!P$7=$B143,'第 5 天'!P46,0)))</f>
        <v>0</v>
      </c>
    </row>
    <row r="144" customFormat="false" ht="15" hidden="false" customHeight="false" outlineLevel="0" collapsed="false">
      <c r="A144" s="13" t="s">
        <v>116</v>
      </c>
      <c r="B144" s="13" t="s">
        <v>40</v>
      </c>
      <c r="C144" s="14" t="n">
        <f aca="false">SUM(IF(OR('第 5 天'!D$5="早餐",'第 5 天'!D$5="午餐",'第 5 天'!D$5="晚餐"),'第 5 天'!D74,0),IF(OR('第 5 天'!F$5="早餐",'第 5 天'!F$5="午餐",'第 5 天'!F$5="晚餐"),'第 5 天'!F74,0),IF(OR('第 5 天'!H$5="早餐",'第 5 天'!H$5="午餐",'第 5 天'!H$5="晚餐"),'第 5 天'!H74,0),IF(OR('第 5 天'!J$5="早餐",'第 5 天'!J$5="午餐",'第 5 天'!J$5="晚餐"),'第 5 天'!J74,0),IF(OR('第 5 天'!L$5="早餐",'第 5 天'!L$5="午餐",'第 5 天'!L$5="晚餐"),'第 5 天'!L74,0),IF(OR('第 5 天'!N$5="早餐",'第 5 天'!N$5="午餐",'第 5 天'!N$5="晚餐"),'第 5 天'!N74,0),IF(OR('第 5 天'!P$5="早餐",'第 5 天'!P$5="午餐",'第 5 天'!P$5="晚餐"),'第 5 天'!P74,0))</f>
        <v>0</v>
      </c>
      <c r="D144" s="14" t="n">
        <f aca="false">SUM(IF(OR('第 5 天'!D$5="油錢"),'第 5 天'!D74,0),IF(OR('第 5 天'!F$5="油錢"),'第 5 天'!F74,0),IF(OR('第 5 天'!H$5="油錢"),'第 5 天'!H74,0),IF(OR('第 5 天'!J$5="油錢"),'第 5 天'!J74,0),IF(OR('第 5 天'!L$5="油錢"),'第 5 天'!L74,0),IF(OR('第 5 天'!N$5="油錢"),'第 5 天'!N74,0),IF(OR('第 5 天'!P$5="油錢"),'第 5 天'!P74,0))</f>
        <v>0</v>
      </c>
      <c r="E144" s="14" t="n">
        <f aca="false">SUM(IF(OR('第 5 天'!D$5="租車費"),'第 5 天'!D74,0),IF(OR('第 5 天'!F$5="租車費"),'第 5 天'!F74,0),IF(OR('第 5 天'!H$5="租車費"),'第 5 天'!H74,0),IF(OR('第 5 天'!J$5="租車費"),'第 5 天'!J74,0),IF(OR('第 5 天'!L$5="租車費"),'第 5 天'!L74,0),IF(OR('第 5 天'!N$5="租車費"),'第 5 天'!N74,0),IF(OR('第 5 天'!P$5="租車費"),'第 5 天'!P74,0))</f>
        <v>0</v>
      </c>
      <c r="F144" s="14" t="n">
        <f aca="false">SUM(IF(OR('第 5 天'!D$5="停車費",'第 5 天'!D$5="其他"),'第 5 天'!D74,0),IF(OR('第 5 天'!F$5="停車費",'第 5 天'!F$5="其他"),'第 5 天'!F74,0),IF(OR('第 5 天'!H$5="停車費",'第 5 天'!H$5="其他"),'第 5 天'!H74,0),IF(OR('第 5 天'!J$5="停車費",'第 5 天'!J$5="其他"),'第 5 天'!J74,0),IF(OR('第 5 天'!L$5="停車費",'第 5 天'!L$5="其他"),'第 5 天'!L74,0),IF(OR('第 5 天'!N$5="停車費",'第 5 天'!N$5="其他"),'第 5 天'!N74,0),IF(OR('第 5 天'!P$5="停車費",'第 5 天'!P$5="其他"),'第 5 天'!P74,0))</f>
        <v>0</v>
      </c>
      <c r="G144" s="14" t="n">
        <f aca="false">SUM(C144:F144)</f>
        <v>0</v>
      </c>
      <c r="H144" s="14" t="n">
        <f aca="false">IF(LEN(TRIM(成員名單!$B27))=0,0,SUM(IF('第 5 天'!D$7=$B144,'第 5 天'!D46,0),IF('第 5 天'!F$7=$B144,'第 5 天'!F46,0),IF('第 5 天'!H$7=$B144,'第 5 天'!H46,0),IF('第 5 天'!J$7=$B144,'第 5 天'!J46,0),IF('第 5 天'!L$7=$B144,'第 5 天'!L46,0),IF('第 5 天'!N$7=$B144,'第 5 天'!N46,0),IF('第 5 天'!P$7=$B144,'第 5 天'!P46,0)))</f>
        <v>0</v>
      </c>
    </row>
    <row r="145" customFormat="false" ht="15" hidden="false" customHeight="false" outlineLevel="0" collapsed="false">
      <c r="A145" s="13" t="s">
        <v>116</v>
      </c>
      <c r="B145" s="13" t="s">
        <v>41</v>
      </c>
      <c r="C145" s="14" t="n">
        <f aca="false">SUM(IF(OR('第 5 天'!D$5="早餐",'第 5 天'!D$5="午餐",'第 5 天'!D$5="晚餐"),'第 5 天'!D75,0),IF(OR('第 5 天'!F$5="早餐",'第 5 天'!F$5="午餐",'第 5 天'!F$5="晚餐"),'第 5 天'!F75,0),IF(OR('第 5 天'!H$5="早餐",'第 5 天'!H$5="午餐",'第 5 天'!H$5="晚餐"),'第 5 天'!H75,0),IF(OR('第 5 天'!J$5="早餐",'第 5 天'!J$5="午餐",'第 5 天'!J$5="晚餐"),'第 5 天'!J75,0),IF(OR('第 5 天'!L$5="早餐",'第 5 天'!L$5="午餐",'第 5 天'!L$5="晚餐"),'第 5 天'!L75,0),IF(OR('第 5 天'!N$5="早餐",'第 5 天'!N$5="午餐",'第 5 天'!N$5="晚餐"),'第 5 天'!N75,0),IF(OR('第 5 天'!P$5="早餐",'第 5 天'!P$5="午餐",'第 5 天'!P$5="晚餐"),'第 5 天'!P75,0))</f>
        <v>0</v>
      </c>
      <c r="D145" s="14" t="n">
        <f aca="false">SUM(IF(OR('第 5 天'!D$5="油錢"),'第 5 天'!D75,0),IF(OR('第 5 天'!F$5="油錢"),'第 5 天'!F75,0),IF(OR('第 5 天'!H$5="油錢"),'第 5 天'!H75,0),IF(OR('第 5 天'!J$5="油錢"),'第 5 天'!J75,0),IF(OR('第 5 天'!L$5="油錢"),'第 5 天'!L75,0),IF(OR('第 5 天'!N$5="油錢"),'第 5 天'!N75,0),IF(OR('第 5 天'!P$5="油錢"),'第 5 天'!P75,0))</f>
        <v>0</v>
      </c>
      <c r="E145" s="14" t="n">
        <f aca="false">SUM(IF(OR('第 5 天'!D$5="租車費"),'第 5 天'!D75,0),IF(OR('第 5 天'!F$5="租車費"),'第 5 天'!F75,0),IF(OR('第 5 天'!H$5="租車費"),'第 5 天'!H75,0),IF(OR('第 5 天'!J$5="租車費"),'第 5 天'!J75,0),IF(OR('第 5 天'!L$5="租車費"),'第 5 天'!L75,0),IF(OR('第 5 天'!N$5="租車費"),'第 5 天'!N75,0),IF(OR('第 5 天'!P$5="租車費"),'第 5 天'!P75,0))</f>
        <v>0</v>
      </c>
      <c r="F145" s="14" t="n">
        <f aca="false">SUM(IF(OR('第 5 天'!D$5="停車費",'第 5 天'!D$5="其他"),'第 5 天'!D75,0),IF(OR('第 5 天'!F$5="停車費",'第 5 天'!F$5="其他"),'第 5 天'!F75,0),IF(OR('第 5 天'!H$5="停車費",'第 5 天'!H$5="其他"),'第 5 天'!H75,0),IF(OR('第 5 天'!J$5="停車費",'第 5 天'!J$5="其他"),'第 5 天'!J75,0),IF(OR('第 5 天'!L$5="停車費",'第 5 天'!L$5="其他"),'第 5 天'!L75,0),IF(OR('第 5 天'!N$5="停車費",'第 5 天'!N$5="其他"),'第 5 天'!N75,0),IF(OR('第 5 天'!P$5="停車費",'第 5 天'!P$5="其他"),'第 5 天'!P75,0))</f>
        <v>0</v>
      </c>
      <c r="G145" s="14" t="n">
        <f aca="false">SUM(C145:F145)</f>
        <v>0</v>
      </c>
      <c r="H145" s="14" t="n">
        <f aca="false">IF(LEN(TRIM(成員名單!$B28))=0,0,SUM(IF('第 5 天'!D$7=$B145,'第 5 天'!D46,0),IF('第 5 天'!F$7=$B145,'第 5 天'!F46,0),IF('第 5 天'!H$7=$B145,'第 5 天'!H46,0),IF('第 5 天'!J$7=$B145,'第 5 天'!J46,0),IF('第 5 天'!L$7=$B145,'第 5 天'!L46,0),IF('第 5 天'!N$7=$B145,'第 5 天'!N46,0),IF('第 5 天'!P$7=$B145,'第 5 天'!P46,0)))</f>
        <v>0</v>
      </c>
    </row>
    <row r="146" customFormat="false" ht="15" hidden="false" customHeight="false" outlineLevel="0" collapsed="false">
      <c r="A146" s="13" t="s">
        <v>116</v>
      </c>
      <c r="B146" s="13" t="s">
        <v>42</v>
      </c>
      <c r="C146" s="14" t="n">
        <f aca="false">SUM(IF(OR('第 5 天'!D$5="早餐",'第 5 天'!D$5="午餐",'第 5 天'!D$5="晚餐"),'第 5 天'!D76,0),IF(OR('第 5 天'!F$5="早餐",'第 5 天'!F$5="午餐",'第 5 天'!F$5="晚餐"),'第 5 天'!F76,0),IF(OR('第 5 天'!H$5="早餐",'第 5 天'!H$5="午餐",'第 5 天'!H$5="晚餐"),'第 5 天'!H76,0),IF(OR('第 5 天'!J$5="早餐",'第 5 天'!J$5="午餐",'第 5 天'!J$5="晚餐"),'第 5 天'!J76,0),IF(OR('第 5 天'!L$5="早餐",'第 5 天'!L$5="午餐",'第 5 天'!L$5="晚餐"),'第 5 天'!L76,0),IF(OR('第 5 天'!N$5="早餐",'第 5 天'!N$5="午餐",'第 5 天'!N$5="晚餐"),'第 5 天'!N76,0),IF(OR('第 5 天'!P$5="早餐",'第 5 天'!P$5="午餐",'第 5 天'!P$5="晚餐"),'第 5 天'!P76,0))</f>
        <v>0</v>
      </c>
      <c r="D146" s="14" t="n">
        <f aca="false">SUM(IF(OR('第 5 天'!D$5="油錢"),'第 5 天'!D76,0),IF(OR('第 5 天'!F$5="油錢"),'第 5 天'!F76,0),IF(OR('第 5 天'!H$5="油錢"),'第 5 天'!H76,0),IF(OR('第 5 天'!J$5="油錢"),'第 5 天'!J76,0),IF(OR('第 5 天'!L$5="油錢"),'第 5 天'!L76,0),IF(OR('第 5 天'!N$5="油錢"),'第 5 天'!N76,0),IF(OR('第 5 天'!P$5="油錢"),'第 5 天'!P76,0))</f>
        <v>0</v>
      </c>
      <c r="E146" s="14" t="n">
        <f aca="false">SUM(IF(OR('第 5 天'!D$5="租車費"),'第 5 天'!D76,0),IF(OR('第 5 天'!F$5="租車費"),'第 5 天'!F76,0),IF(OR('第 5 天'!H$5="租車費"),'第 5 天'!H76,0),IF(OR('第 5 天'!J$5="租車費"),'第 5 天'!J76,0),IF(OR('第 5 天'!L$5="租車費"),'第 5 天'!L76,0),IF(OR('第 5 天'!N$5="租車費"),'第 5 天'!N76,0),IF(OR('第 5 天'!P$5="租車費"),'第 5 天'!P76,0))</f>
        <v>0</v>
      </c>
      <c r="F146" s="14" t="n">
        <f aca="false">SUM(IF(OR('第 5 天'!D$5="停車費",'第 5 天'!D$5="其他"),'第 5 天'!D76,0),IF(OR('第 5 天'!F$5="停車費",'第 5 天'!F$5="其他"),'第 5 天'!F76,0),IF(OR('第 5 天'!H$5="停車費",'第 5 天'!H$5="其他"),'第 5 天'!H76,0),IF(OR('第 5 天'!J$5="停車費",'第 5 天'!J$5="其他"),'第 5 天'!J76,0),IF(OR('第 5 天'!L$5="停車費",'第 5 天'!L$5="其他"),'第 5 天'!L76,0),IF(OR('第 5 天'!N$5="停車費",'第 5 天'!N$5="其他"),'第 5 天'!N76,0),IF(OR('第 5 天'!P$5="停車費",'第 5 天'!P$5="其他"),'第 5 天'!P76,0))</f>
        <v>0</v>
      </c>
      <c r="G146" s="14" t="n">
        <f aca="false">SUM(C146:F146)</f>
        <v>0</v>
      </c>
      <c r="H146" s="14" t="n">
        <f aca="false">IF(LEN(TRIM(成員名單!$B29))=0,0,SUM(IF('第 5 天'!D$7=$B146,'第 5 天'!D46,0),IF('第 5 天'!F$7=$B146,'第 5 天'!F46,0),IF('第 5 天'!H$7=$B146,'第 5 天'!H46,0),IF('第 5 天'!J$7=$B146,'第 5 天'!J46,0),IF('第 5 天'!L$7=$B146,'第 5 天'!L46,0),IF('第 5 天'!N$7=$B146,'第 5 天'!N46,0),IF('第 5 天'!P$7=$B146,'第 5 天'!P46,0)))</f>
        <v>0</v>
      </c>
    </row>
    <row r="147" customFormat="false" ht="15" hidden="false" customHeight="false" outlineLevel="0" collapsed="false">
      <c r="A147" s="13" t="s">
        <v>116</v>
      </c>
      <c r="B147" s="13" t="s">
        <v>43</v>
      </c>
      <c r="C147" s="14" t="n">
        <f aca="false">SUM(IF(OR('第 5 天'!D$5="早餐",'第 5 天'!D$5="午餐",'第 5 天'!D$5="晚餐"),'第 5 天'!D77,0),IF(OR('第 5 天'!F$5="早餐",'第 5 天'!F$5="午餐",'第 5 天'!F$5="晚餐"),'第 5 天'!F77,0),IF(OR('第 5 天'!H$5="早餐",'第 5 天'!H$5="午餐",'第 5 天'!H$5="晚餐"),'第 5 天'!H77,0),IF(OR('第 5 天'!J$5="早餐",'第 5 天'!J$5="午餐",'第 5 天'!J$5="晚餐"),'第 5 天'!J77,0),IF(OR('第 5 天'!L$5="早餐",'第 5 天'!L$5="午餐",'第 5 天'!L$5="晚餐"),'第 5 天'!L77,0),IF(OR('第 5 天'!N$5="早餐",'第 5 天'!N$5="午餐",'第 5 天'!N$5="晚餐"),'第 5 天'!N77,0),IF(OR('第 5 天'!P$5="早餐",'第 5 天'!P$5="午餐",'第 5 天'!P$5="晚餐"),'第 5 天'!P77,0))</f>
        <v>0</v>
      </c>
      <c r="D147" s="14" t="n">
        <f aca="false">SUM(IF(OR('第 5 天'!D$5="油錢"),'第 5 天'!D77,0),IF(OR('第 5 天'!F$5="油錢"),'第 5 天'!F77,0),IF(OR('第 5 天'!H$5="油錢"),'第 5 天'!H77,0),IF(OR('第 5 天'!J$5="油錢"),'第 5 天'!J77,0),IF(OR('第 5 天'!L$5="油錢"),'第 5 天'!L77,0),IF(OR('第 5 天'!N$5="油錢"),'第 5 天'!N77,0),IF(OR('第 5 天'!P$5="油錢"),'第 5 天'!P77,0))</f>
        <v>0</v>
      </c>
      <c r="E147" s="14" t="n">
        <f aca="false">SUM(IF(OR('第 5 天'!D$5="租車費"),'第 5 天'!D77,0),IF(OR('第 5 天'!F$5="租車費"),'第 5 天'!F77,0),IF(OR('第 5 天'!H$5="租車費"),'第 5 天'!H77,0),IF(OR('第 5 天'!J$5="租車費"),'第 5 天'!J77,0),IF(OR('第 5 天'!L$5="租車費"),'第 5 天'!L77,0),IF(OR('第 5 天'!N$5="租車費"),'第 5 天'!N77,0),IF(OR('第 5 天'!P$5="租車費"),'第 5 天'!P77,0))</f>
        <v>0</v>
      </c>
      <c r="F147" s="14" t="n">
        <f aca="false">SUM(IF(OR('第 5 天'!D$5="停車費",'第 5 天'!D$5="其他"),'第 5 天'!D77,0),IF(OR('第 5 天'!F$5="停車費",'第 5 天'!F$5="其他"),'第 5 天'!F77,0),IF(OR('第 5 天'!H$5="停車費",'第 5 天'!H$5="其他"),'第 5 天'!H77,0),IF(OR('第 5 天'!J$5="停車費",'第 5 天'!J$5="其他"),'第 5 天'!J77,0),IF(OR('第 5 天'!L$5="停車費",'第 5 天'!L$5="其他"),'第 5 天'!L77,0),IF(OR('第 5 天'!N$5="停車費",'第 5 天'!N$5="其他"),'第 5 天'!N77,0),IF(OR('第 5 天'!P$5="停車費",'第 5 天'!P$5="其他"),'第 5 天'!P77,0))</f>
        <v>0</v>
      </c>
      <c r="G147" s="14" t="n">
        <f aca="false">SUM(C147:F147)</f>
        <v>0</v>
      </c>
      <c r="H147" s="14" t="n">
        <f aca="false">IF(LEN(TRIM(成員名單!$B30))=0,0,SUM(IF('第 5 天'!D$7=$B147,'第 5 天'!D46,0),IF('第 5 天'!F$7=$B147,'第 5 天'!F46,0),IF('第 5 天'!H$7=$B147,'第 5 天'!H46,0),IF('第 5 天'!J$7=$B147,'第 5 天'!J46,0),IF('第 5 天'!L$7=$B147,'第 5 天'!L46,0),IF('第 5 天'!N$7=$B147,'第 5 天'!N46,0),IF('第 5 天'!P$7=$B147,'第 5 天'!P46,0)))</f>
        <v>0</v>
      </c>
    </row>
    <row r="148" customFormat="false" ht="15" hidden="false" customHeight="false" outlineLevel="0" collapsed="false">
      <c r="A148" s="13" t="s">
        <v>116</v>
      </c>
      <c r="B148" s="13" t="s">
        <v>44</v>
      </c>
      <c r="C148" s="14" t="n">
        <f aca="false">SUM(IF(OR('第 5 天'!D$5="早餐",'第 5 天'!D$5="午餐",'第 5 天'!D$5="晚餐"),'第 5 天'!D78,0),IF(OR('第 5 天'!F$5="早餐",'第 5 天'!F$5="午餐",'第 5 天'!F$5="晚餐"),'第 5 天'!F78,0),IF(OR('第 5 天'!H$5="早餐",'第 5 天'!H$5="午餐",'第 5 天'!H$5="晚餐"),'第 5 天'!H78,0),IF(OR('第 5 天'!J$5="早餐",'第 5 天'!J$5="午餐",'第 5 天'!J$5="晚餐"),'第 5 天'!J78,0),IF(OR('第 5 天'!L$5="早餐",'第 5 天'!L$5="午餐",'第 5 天'!L$5="晚餐"),'第 5 天'!L78,0),IF(OR('第 5 天'!N$5="早餐",'第 5 天'!N$5="午餐",'第 5 天'!N$5="晚餐"),'第 5 天'!N78,0),IF(OR('第 5 天'!P$5="早餐",'第 5 天'!P$5="午餐",'第 5 天'!P$5="晚餐"),'第 5 天'!P78,0))</f>
        <v>0</v>
      </c>
      <c r="D148" s="14" t="n">
        <f aca="false">SUM(IF(OR('第 5 天'!D$5="油錢"),'第 5 天'!D78,0),IF(OR('第 5 天'!F$5="油錢"),'第 5 天'!F78,0),IF(OR('第 5 天'!H$5="油錢"),'第 5 天'!H78,0),IF(OR('第 5 天'!J$5="油錢"),'第 5 天'!J78,0),IF(OR('第 5 天'!L$5="油錢"),'第 5 天'!L78,0),IF(OR('第 5 天'!N$5="油錢"),'第 5 天'!N78,0),IF(OR('第 5 天'!P$5="油錢"),'第 5 天'!P78,0))</f>
        <v>0</v>
      </c>
      <c r="E148" s="14" t="n">
        <f aca="false">SUM(IF(OR('第 5 天'!D$5="租車費"),'第 5 天'!D78,0),IF(OR('第 5 天'!F$5="租車費"),'第 5 天'!F78,0),IF(OR('第 5 天'!H$5="租車費"),'第 5 天'!H78,0),IF(OR('第 5 天'!J$5="租車費"),'第 5 天'!J78,0),IF(OR('第 5 天'!L$5="租車費"),'第 5 天'!L78,0),IF(OR('第 5 天'!N$5="租車費"),'第 5 天'!N78,0),IF(OR('第 5 天'!P$5="租車費"),'第 5 天'!P78,0))</f>
        <v>0</v>
      </c>
      <c r="F148" s="14" t="n">
        <f aca="false">SUM(IF(OR('第 5 天'!D$5="停車費",'第 5 天'!D$5="其他"),'第 5 天'!D78,0),IF(OR('第 5 天'!F$5="停車費",'第 5 天'!F$5="其他"),'第 5 天'!F78,0),IF(OR('第 5 天'!H$5="停車費",'第 5 天'!H$5="其他"),'第 5 天'!H78,0),IF(OR('第 5 天'!J$5="停車費",'第 5 天'!J$5="其他"),'第 5 天'!J78,0),IF(OR('第 5 天'!L$5="停車費",'第 5 天'!L$5="其他"),'第 5 天'!L78,0),IF(OR('第 5 天'!N$5="停車費",'第 5 天'!N$5="其他"),'第 5 天'!N78,0),IF(OR('第 5 天'!P$5="停車費",'第 5 天'!P$5="其他"),'第 5 天'!P78,0))</f>
        <v>0</v>
      </c>
      <c r="G148" s="14" t="n">
        <f aca="false">SUM(C148:F148)</f>
        <v>0</v>
      </c>
      <c r="H148" s="14" t="n">
        <f aca="false">IF(LEN(TRIM(成員名單!$B31))=0,0,SUM(IF('第 5 天'!D$7=$B148,'第 5 天'!D46,0),IF('第 5 天'!F$7=$B148,'第 5 天'!F46,0),IF('第 5 天'!H$7=$B148,'第 5 天'!H46,0),IF('第 5 天'!J$7=$B148,'第 5 天'!J46,0),IF('第 5 天'!L$7=$B148,'第 5 天'!L46,0),IF('第 5 天'!N$7=$B148,'第 5 天'!N46,0),IF('第 5 天'!P$7=$B148,'第 5 天'!P46,0)))</f>
        <v>0</v>
      </c>
    </row>
    <row r="149" customFormat="false" ht="15" hidden="false" customHeight="false" outlineLevel="0" collapsed="false">
      <c r="A149" s="13" t="s">
        <v>116</v>
      </c>
      <c r="B149" s="13" t="s">
        <v>45</v>
      </c>
      <c r="C149" s="14" t="n">
        <f aca="false">SUM(IF(OR('第 5 天'!D$5="早餐",'第 5 天'!D$5="午餐",'第 5 天'!D$5="晚餐"),'第 5 天'!D79,0),IF(OR('第 5 天'!F$5="早餐",'第 5 天'!F$5="午餐",'第 5 天'!F$5="晚餐"),'第 5 天'!F79,0),IF(OR('第 5 天'!H$5="早餐",'第 5 天'!H$5="午餐",'第 5 天'!H$5="晚餐"),'第 5 天'!H79,0),IF(OR('第 5 天'!J$5="早餐",'第 5 天'!J$5="午餐",'第 5 天'!J$5="晚餐"),'第 5 天'!J79,0),IF(OR('第 5 天'!L$5="早餐",'第 5 天'!L$5="午餐",'第 5 天'!L$5="晚餐"),'第 5 天'!L79,0),IF(OR('第 5 天'!N$5="早餐",'第 5 天'!N$5="午餐",'第 5 天'!N$5="晚餐"),'第 5 天'!N79,0),IF(OR('第 5 天'!P$5="早餐",'第 5 天'!P$5="午餐",'第 5 天'!P$5="晚餐"),'第 5 天'!P79,0))</f>
        <v>0</v>
      </c>
      <c r="D149" s="14" t="n">
        <f aca="false">SUM(IF(OR('第 5 天'!D$5="油錢"),'第 5 天'!D79,0),IF(OR('第 5 天'!F$5="油錢"),'第 5 天'!F79,0),IF(OR('第 5 天'!H$5="油錢"),'第 5 天'!H79,0),IF(OR('第 5 天'!J$5="油錢"),'第 5 天'!J79,0),IF(OR('第 5 天'!L$5="油錢"),'第 5 天'!L79,0),IF(OR('第 5 天'!N$5="油錢"),'第 5 天'!N79,0),IF(OR('第 5 天'!P$5="油錢"),'第 5 天'!P79,0))</f>
        <v>0</v>
      </c>
      <c r="E149" s="14" t="n">
        <f aca="false">SUM(IF(OR('第 5 天'!D$5="租車費"),'第 5 天'!D79,0),IF(OR('第 5 天'!F$5="租車費"),'第 5 天'!F79,0),IF(OR('第 5 天'!H$5="租車費"),'第 5 天'!H79,0),IF(OR('第 5 天'!J$5="租車費"),'第 5 天'!J79,0),IF(OR('第 5 天'!L$5="租車費"),'第 5 天'!L79,0),IF(OR('第 5 天'!N$5="租車費"),'第 5 天'!N79,0),IF(OR('第 5 天'!P$5="租車費"),'第 5 天'!P79,0))</f>
        <v>0</v>
      </c>
      <c r="F149" s="14" t="n">
        <f aca="false">SUM(IF(OR('第 5 天'!D$5="停車費",'第 5 天'!D$5="其他"),'第 5 天'!D79,0),IF(OR('第 5 天'!F$5="停車費",'第 5 天'!F$5="其他"),'第 5 天'!F79,0),IF(OR('第 5 天'!H$5="停車費",'第 5 天'!H$5="其他"),'第 5 天'!H79,0),IF(OR('第 5 天'!J$5="停車費",'第 5 天'!J$5="其他"),'第 5 天'!J79,0),IF(OR('第 5 天'!L$5="停車費",'第 5 天'!L$5="其他"),'第 5 天'!L79,0),IF(OR('第 5 天'!N$5="停車費",'第 5 天'!N$5="其他"),'第 5 天'!N79,0),IF(OR('第 5 天'!P$5="停車費",'第 5 天'!P$5="其他"),'第 5 天'!P79,0))</f>
        <v>0</v>
      </c>
      <c r="G149" s="14" t="n">
        <f aca="false">SUM(C149:F149)</f>
        <v>0</v>
      </c>
      <c r="H149" s="14" t="n">
        <f aca="false">IF(LEN(TRIM(成員名單!$B32))=0,0,SUM(IF('第 5 天'!D$7=$B149,'第 5 天'!D46,0),IF('第 5 天'!F$7=$B149,'第 5 天'!F46,0),IF('第 5 天'!H$7=$B149,'第 5 天'!H46,0),IF('第 5 天'!J$7=$B149,'第 5 天'!J46,0),IF('第 5 天'!L$7=$B149,'第 5 天'!L46,0),IF('第 5 天'!N$7=$B149,'第 5 天'!N46,0),IF('第 5 天'!P$7=$B149,'第 5 天'!P46,0)))</f>
        <v>0</v>
      </c>
    </row>
    <row r="150" customFormat="false" ht="15" hidden="false" customHeight="false" outlineLevel="0" collapsed="false">
      <c r="A150" s="13" t="s">
        <v>116</v>
      </c>
      <c r="B150" s="13" t="s">
        <v>46</v>
      </c>
      <c r="C150" s="14" t="n">
        <f aca="false">SUM(IF(OR('第 5 天'!D$5="早餐",'第 5 天'!D$5="午餐",'第 5 天'!D$5="晚餐"),'第 5 天'!D80,0),IF(OR('第 5 天'!F$5="早餐",'第 5 天'!F$5="午餐",'第 5 天'!F$5="晚餐"),'第 5 天'!F80,0),IF(OR('第 5 天'!H$5="早餐",'第 5 天'!H$5="午餐",'第 5 天'!H$5="晚餐"),'第 5 天'!H80,0),IF(OR('第 5 天'!J$5="早餐",'第 5 天'!J$5="午餐",'第 5 天'!J$5="晚餐"),'第 5 天'!J80,0),IF(OR('第 5 天'!L$5="早餐",'第 5 天'!L$5="午餐",'第 5 天'!L$5="晚餐"),'第 5 天'!L80,0),IF(OR('第 5 天'!N$5="早餐",'第 5 天'!N$5="午餐",'第 5 天'!N$5="晚餐"),'第 5 天'!N80,0),IF(OR('第 5 天'!P$5="早餐",'第 5 天'!P$5="午餐",'第 5 天'!P$5="晚餐"),'第 5 天'!P80,0))</f>
        <v>0</v>
      </c>
      <c r="D150" s="14" t="n">
        <f aca="false">SUM(IF(OR('第 5 天'!D$5="油錢"),'第 5 天'!D80,0),IF(OR('第 5 天'!F$5="油錢"),'第 5 天'!F80,0),IF(OR('第 5 天'!H$5="油錢"),'第 5 天'!H80,0),IF(OR('第 5 天'!J$5="油錢"),'第 5 天'!J80,0),IF(OR('第 5 天'!L$5="油錢"),'第 5 天'!L80,0),IF(OR('第 5 天'!N$5="油錢"),'第 5 天'!N80,0),IF(OR('第 5 天'!P$5="油錢"),'第 5 天'!P80,0))</f>
        <v>0</v>
      </c>
      <c r="E150" s="14" t="n">
        <f aca="false">SUM(IF(OR('第 5 天'!D$5="租車費"),'第 5 天'!D80,0),IF(OR('第 5 天'!F$5="租車費"),'第 5 天'!F80,0),IF(OR('第 5 天'!H$5="租車費"),'第 5 天'!H80,0),IF(OR('第 5 天'!J$5="租車費"),'第 5 天'!J80,0),IF(OR('第 5 天'!L$5="租車費"),'第 5 天'!L80,0),IF(OR('第 5 天'!N$5="租車費"),'第 5 天'!N80,0),IF(OR('第 5 天'!P$5="租車費"),'第 5 天'!P80,0))</f>
        <v>0</v>
      </c>
      <c r="F150" s="14" t="n">
        <f aca="false">SUM(IF(OR('第 5 天'!D$5="停車費",'第 5 天'!D$5="其他"),'第 5 天'!D80,0),IF(OR('第 5 天'!F$5="停車費",'第 5 天'!F$5="其他"),'第 5 天'!F80,0),IF(OR('第 5 天'!H$5="停車費",'第 5 天'!H$5="其他"),'第 5 天'!H80,0),IF(OR('第 5 天'!J$5="停車費",'第 5 天'!J$5="其他"),'第 5 天'!J80,0),IF(OR('第 5 天'!L$5="停車費",'第 5 天'!L$5="其他"),'第 5 天'!L80,0),IF(OR('第 5 天'!N$5="停車費",'第 5 天'!N$5="其他"),'第 5 天'!N80,0),IF(OR('第 5 天'!P$5="停車費",'第 5 天'!P$5="其他"),'第 5 天'!P80,0))</f>
        <v>0</v>
      </c>
      <c r="G150" s="14" t="n">
        <f aca="false">SUM(C150:F150)</f>
        <v>0</v>
      </c>
      <c r="H150" s="14" t="n">
        <f aca="false">IF(LEN(TRIM(成員名單!$B33))=0,0,SUM(IF('第 5 天'!D$7=$B150,'第 5 天'!D46,0),IF('第 5 天'!F$7=$B150,'第 5 天'!F46,0),IF('第 5 天'!H$7=$B150,'第 5 天'!H46,0),IF('第 5 天'!J$7=$B150,'第 5 天'!J46,0),IF('第 5 天'!L$7=$B150,'第 5 天'!L46,0),IF('第 5 天'!N$7=$B150,'第 5 天'!N46,0),IF('第 5 天'!P$7=$B150,'第 5 天'!P46,0)))</f>
        <v>0</v>
      </c>
    </row>
    <row r="151" customFormat="false" ht="15" hidden="false" customHeight="false" outlineLevel="0" collapsed="false">
      <c r="A151" s="13" t="s">
        <v>116</v>
      </c>
      <c r="B151" s="13" t="s">
        <v>47</v>
      </c>
      <c r="C151" s="14" t="n">
        <f aca="false">SUM(IF(OR('第 5 天'!D$5="早餐",'第 5 天'!D$5="午餐",'第 5 天'!D$5="晚餐"),'第 5 天'!D81,0),IF(OR('第 5 天'!F$5="早餐",'第 5 天'!F$5="午餐",'第 5 天'!F$5="晚餐"),'第 5 天'!F81,0),IF(OR('第 5 天'!H$5="早餐",'第 5 天'!H$5="午餐",'第 5 天'!H$5="晚餐"),'第 5 天'!H81,0),IF(OR('第 5 天'!J$5="早餐",'第 5 天'!J$5="午餐",'第 5 天'!J$5="晚餐"),'第 5 天'!J81,0),IF(OR('第 5 天'!L$5="早餐",'第 5 天'!L$5="午餐",'第 5 天'!L$5="晚餐"),'第 5 天'!L81,0),IF(OR('第 5 天'!N$5="早餐",'第 5 天'!N$5="午餐",'第 5 天'!N$5="晚餐"),'第 5 天'!N81,0),IF(OR('第 5 天'!P$5="早餐",'第 5 天'!P$5="午餐",'第 5 天'!P$5="晚餐"),'第 5 天'!P81,0))</f>
        <v>0</v>
      </c>
      <c r="D151" s="14" t="n">
        <f aca="false">SUM(IF(OR('第 5 天'!D$5="油錢"),'第 5 天'!D81,0),IF(OR('第 5 天'!F$5="油錢"),'第 5 天'!F81,0),IF(OR('第 5 天'!H$5="油錢"),'第 5 天'!H81,0),IF(OR('第 5 天'!J$5="油錢"),'第 5 天'!J81,0),IF(OR('第 5 天'!L$5="油錢"),'第 5 天'!L81,0),IF(OR('第 5 天'!N$5="油錢"),'第 5 天'!N81,0),IF(OR('第 5 天'!P$5="油錢"),'第 5 天'!P81,0))</f>
        <v>0</v>
      </c>
      <c r="E151" s="14" t="n">
        <f aca="false">SUM(IF(OR('第 5 天'!D$5="租車費"),'第 5 天'!D81,0),IF(OR('第 5 天'!F$5="租車費"),'第 5 天'!F81,0),IF(OR('第 5 天'!H$5="租車費"),'第 5 天'!H81,0),IF(OR('第 5 天'!J$5="租車費"),'第 5 天'!J81,0),IF(OR('第 5 天'!L$5="租車費"),'第 5 天'!L81,0),IF(OR('第 5 天'!N$5="租車費"),'第 5 天'!N81,0),IF(OR('第 5 天'!P$5="租車費"),'第 5 天'!P81,0))</f>
        <v>0</v>
      </c>
      <c r="F151" s="14" t="n">
        <f aca="false">SUM(IF(OR('第 5 天'!D$5="停車費",'第 5 天'!D$5="其他"),'第 5 天'!D81,0),IF(OR('第 5 天'!F$5="停車費",'第 5 天'!F$5="其他"),'第 5 天'!F81,0),IF(OR('第 5 天'!H$5="停車費",'第 5 天'!H$5="其他"),'第 5 天'!H81,0),IF(OR('第 5 天'!J$5="停車費",'第 5 天'!J$5="其他"),'第 5 天'!J81,0),IF(OR('第 5 天'!L$5="停車費",'第 5 天'!L$5="其他"),'第 5 天'!L81,0),IF(OR('第 5 天'!N$5="停車費",'第 5 天'!N$5="其他"),'第 5 天'!N81,0),IF(OR('第 5 天'!P$5="停車費",'第 5 天'!P$5="其他"),'第 5 天'!P81,0))</f>
        <v>0</v>
      </c>
      <c r="G151" s="14" t="n">
        <f aca="false">SUM(C151:F151)</f>
        <v>0</v>
      </c>
      <c r="H151" s="14" t="n">
        <f aca="false">IF(LEN(TRIM(成員名單!$B34))=0,0,SUM(IF('第 5 天'!D$7=$B151,'第 5 天'!D46,0),IF('第 5 天'!F$7=$B151,'第 5 天'!F46,0),IF('第 5 天'!H$7=$B151,'第 5 天'!H46,0),IF('第 5 天'!J$7=$B151,'第 5 天'!J46,0),IF('第 5 天'!L$7=$B151,'第 5 天'!L46,0),IF('第 5 天'!N$7=$B151,'第 5 天'!N46,0),IF('第 5 天'!P$7=$B151,'第 5 天'!P46,0)))</f>
        <v>0</v>
      </c>
    </row>
    <row r="152" customFormat="false" ht="15" hidden="false" customHeight="false" outlineLevel="0" collapsed="false">
      <c r="A152" s="13" t="s">
        <v>125</v>
      </c>
      <c r="B152" s="13" t="s">
        <v>18</v>
      </c>
      <c r="C152" s="14" t="n">
        <f aca="false">SUM(IF(OR('第 6 天'!D$5="早餐",'第 6 天'!D$5="午餐",'第 6 天'!D$5="晚餐"),'第 6 天'!D52,0),IF(OR('第 6 天'!F$5="早餐",'第 6 天'!F$5="午餐",'第 6 天'!F$5="晚餐"),'第 6 天'!F52,0),IF(OR('第 6 天'!H$5="早餐",'第 6 天'!H$5="午餐",'第 6 天'!H$5="晚餐"),'第 6 天'!H52,0),IF(OR('第 6 天'!J$5="早餐",'第 6 天'!J$5="午餐",'第 6 天'!J$5="晚餐"),'第 6 天'!J52,0),IF(OR('第 6 天'!L$5="早餐",'第 6 天'!L$5="午餐",'第 6 天'!L$5="晚餐"),'第 6 天'!L52,0),IF(OR('第 6 天'!N$5="早餐",'第 6 天'!N$5="午餐",'第 6 天'!N$5="晚餐"),'第 6 天'!N52,0),IF(OR('第 6 天'!P$5="早餐",'第 6 天'!P$5="午餐",'第 6 天'!P$5="晚餐"),'第 6 天'!P52,0))</f>
        <v>0</v>
      </c>
      <c r="D152" s="14" t="n">
        <f aca="false">SUM(IF(OR('第 6 天'!D$5="油錢"),'第 6 天'!D52,0),IF(OR('第 6 天'!F$5="油錢"),'第 6 天'!F52,0),IF(OR('第 6 天'!H$5="油錢"),'第 6 天'!H52,0),IF(OR('第 6 天'!J$5="油錢"),'第 6 天'!J52,0),IF(OR('第 6 天'!L$5="油錢"),'第 6 天'!L52,0),IF(OR('第 6 天'!N$5="油錢"),'第 6 天'!N52,0),IF(OR('第 6 天'!P$5="油錢"),'第 6 天'!P52,0))</f>
        <v>0</v>
      </c>
      <c r="E152" s="14" t="n">
        <f aca="false">SUM(IF(OR('第 6 天'!D$5="租車費"),'第 6 天'!D52,0),IF(OR('第 6 天'!F$5="租車費"),'第 6 天'!F52,0),IF(OR('第 6 天'!H$5="租車費"),'第 6 天'!H52,0),IF(OR('第 6 天'!J$5="租車費"),'第 6 天'!J52,0),IF(OR('第 6 天'!L$5="租車費"),'第 6 天'!L52,0),IF(OR('第 6 天'!N$5="租車費"),'第 6 天'!N52,0),IF(OR('第 6 天'!P$5="租車費"),'第 6 天'!P52,0))</f>
        <v>0</v>
      </c>
      <c r="F152" s="14" t="n">
        <f aca="false">SUM(IF(OR('第 6 天'!D$5="停車費",'第 6 天'!D$5="其他"),'第 6 天'!D52,0),IF(OR('第 6 天'!F$5="停車費",'第 6 天'!F$5="其他"),'第 6 天'!F52,0),IF(OR('第 6 天'!H$5="停車費",'第 6 天'!H$5="其他"),'第 6 天'!H52,0),IF(OR('第 6 天'!J$5="停車費",'第 6 天'!J$5="其他"),'第 6 天'!J52,0),IF(OR('第 6 天'!L$5="停車費",'第 6 天'!L$5="其他"),'第 6 天'!L52,0),IF(OR('第 6 天'!N$5="停車費",'第 6 天'!N$5="其他"),'第 6 天'!N52,0),IF(OR('第 6 天'!P$5="停車費",'第 6 天'!P$5="其他"),'第 6 天'!P52,0))</f>
        <v>0</v>
      </c>
      <c r="G152" s="14" t="n">
        <f aca="false">SUM(C152:F152)</f>
        <v>0</v>
      </c>
      <c r="H152" s="14" t="n">
        <f aca="false">IF(LEN(TRIM(成員名單!$B5))=0,0,SUM(IF('第 6 天'!D$7=$B152,'第 6 天'!D46,0),IF('第 6 天'!F$7=$B152,'第 6 天'!F46,0),IF('第 6 天'!H$7=$B152,'第 6 天'!H46,0),IF('第 6 天'!J$7=$B152,'第 6 天'!J46,0),IF('第 6 天'!L$7=$B152,'第 6 天'!L46,0),IF('第 6 天'!N$7=$B152,'第 6 天'!N46,0),IF('第 6 天'!P$7=$B152,'第 6 天'!P46,0)))</f>
        <v>0</v>
      </c>
    </row>
    <row r="153" customFormat="false" ht="15" hidden="false" customHeight="false" outlineLevel="0" collapsed="false">
      <c r="A153" s="13" t="s">
        <v>125</v>
      </c>
      <c r="B153" s="13" t="s">
        <v>19</v>
      </c>
      <c r="C153" s="14" t="n">
        <f aca="false">SUM(IF(OR('第 6 天'!D$5="早餐",'第 6 天'!D$5="午餐",'第 6 天'!D$5="晚餐"),'第 6 天'!D53,0),IF(OR('第 6 天'!F$5="早餐",'第 6 天'!F$5="午餐",'第 6 天'!F$5="晚餐"),'第 6 天'!F53,0),IF(OR('第 6 天'!H$5="早餐",'第 6 天'!H$5="午餐",'第 6 天'!H$5="晚餐"),'第 6 天'!H53,0),IF(OR('第 6 天'!J$5="早餐",'第 6 天'!J$5="午餐",'第 6 天'!J$5="晚餐"),'第 6 天'!J53,0),IF(OR('第 6 天'!L$5="早餐",'第 6 天'!L$5="午餐",'第 6 天'!L$5="晚餐"),'第 6 天'!L53,0),IF(OR('第 6 天'!N$5="早餐",'第 6 天'!N$5="午餐",'第 6 天'!N$5="晚餐"),'第 6 天'!N53,0),IF(OR('第 6 天'!P$5="早餐",'第 6 天'!P$5="午餐",'第 6 天'!P$5="晚餐"),'第 6 天'!P53,0))</f>
        <v>0</v>
      </c>
      <c r="D153" s="14" t="n">
        <f aca="false">SUM(IF(OR('第 6 天'!D$5="油錢"),'第 6 天'!D53,0),IF(OR('第 6 天'!F$5="油錢"),'第 6 天'!F53,0),IF(OR('第 6 天'!H$5="油錢"),'第 6 天'!H53,0),IF(OR('第 6 天'!J$5="油錢"),'第 6 天'!J53,0),IF(OR('第 6 天'!L$5="油錢"),'第 6 天'!L53,0),IF(OR('第 6 天'!N$5="油錢"),'第 6 天'!N53,0),IF(OR('第 6 天'!P$5="油錢"),'第 6 天'!P53,0))</f>
        <v>0</v>
      </c>
      <c r="E153" s="14" t="n">
        <f aca="false">SUM(IF(OR('第 6 天'!D$5="租車費"),'第 6 天'!D53,0),IF(OR('第 6 天'!F$5="租車費"),'第 6 天'!F53,0),IF(OR('第 6 天'!H$5="租車費"),'第 6 天'!H53,0),IF(OR('第 6 天'!J$5="租車費"),'第 6 天'!J53,0),IF(OR('第 6 天'!L$5="租車費"),'第 6 天'!L53,0),IF(OR('第 6 天'!N$5="租車費"),'第 6 天'!N53,0),IF(OR('第 6 天'!P$5="租車費"),'第 6 天'!P53,0))</f>
        <v>0</v>
      </c>
      <c r="F153" s="14" t="n">
        <f aca="false">SUM(IF(OR('第 6 天'!D$5="停車費",'第 6 天'!D$5="其他"),'第 6 天'!D53,0),IF(OR('第 6 天'!F$5="停車費",'第 6 天'!F$5="其他"),'第 6 天'!F53,0),IF(OR('第 6 天'!H$5="停車費",'第 6 天'!H$5="其他"),'第 6 天'!H53,0),IF(OR('第 6 天'!J$5="停車費",'第 6 天'!J$5="其他"),'第 6 天'!J53,0),IF(OR('第 6 天'!L$5="停車費",'第 6 天'!L$5="其他"),'第 6 天'!L53,0),IF(OR('第 6 天'!N$5="停車費",'第 6 天'!N$5="其他"),'第 6 天'!N53,0),IF(OR('第 6 天'!P$5="停車費",'第 6 天'!P$5="其他"),'第 6 天'!P53,0))</f>
        <v>0</v>
      </c>
      <c r="G153" s="14" t="n">
        <f aca="false">SUM(C153:F153)</f>
        <v>0</v>
      </c>
      <c r="H153" s="14" t="n">
        <f aca="false">IF(LEN(TRIM(成員名單!$B6))=0,0,SUM(IF('第 6 天'!D$7=$B153,'第 6 天'!D46,0),IF('第 6 天'!F$7=$B153,'第 6 天'!F46,0),IF('第 6 天'!H$7=$B153,'第 6 天'!H46,0),IF('第 6 天'!J$7=$B153,'第 6 天'!J46,0),IF('第 6 天'!L$7=$B153,'第 6 天'!L46,0),IF('第 6 天'!N$7=$B153,'第 6 天'!N46,0),IF('第 6 天'!P$7=$B153,'第 6 天'!P46,0)))</f>
        <v>0</v>
      </c>
    </row>
    <row r="154" customFormat="false" ht="15" hidden="false" customHeight="false" outlineLevel="0" collapsed="false">
      <c r="A154" s="13" t="s">
        <v>125</v>
      </c>
      <c r="B154" s="13" t="s">
        <v>20</v>
      </c>
      <c r="C154" s="14" t="n">
        <f aca="false">SUM(IF(OR('第 6 天'!D$5="早餐",'第 6 天'!D$5="午餐",'第 6 天'!D$5="晚餐"),'第 6 天'!D54,0),IF(OR('第 6 天'!F$5="早餐",'第 6 天'!F$5="午餐",'第 6 天'!F$5="晚餐"),'第 6 天'!F54,0),IF(OR('第 6 天'!H$5="早餐",'第 6 天'!H$5="午餐",'第 6 天'!H$5="晚餐"),'第 6 天'!H54,0),IF(OR('第 6 天'!J$5="早餐",'第 6 天'!J$5="午餐",'第 6 天'!J$5="晚餐"),'第 6 天'!J54,0),IF(OR('第 6 天'!L$5="早餐",'第 6 天'!L$5="午餐",'第 6 天'!L$5="晚餐"),'第 6 天'!L54,0),IF(OR('第 6 天'!N$5="早餐",'第 6 天'!N$5="午餐",'第 6 天'!N$5="晚餐"),'第 6 天'!N54,0),IF(OR('第 6 天'!P$5="早餐",'第 6 天'!P$5="午餐",'第 6 天'!P$5="晚餐"),'第 6 天'!P54,0))</f>
        <v>0</v>
      </c>
      <c r="D154" s="14" t="n">
        <f aca="false">SUM(IF(OR('第 6 天'!D$5="油錢"),'第 6 天'!D54,0),IF(OR('第 6 天'!F$5="油錢"),'第 6 天'!F54,0),IF(OR('第 6 天'!H$5="油錢"),'第 6 天'!H54,0),IF(OR('第 6 天'!J$5="油錢"),'第 6 天'!J54,0),IF(OR('第 6 天'!L$5="油錢"),'第 6 天'!L54,0),IF(OR('第 6 天'!N$5="油錢"),'第 6 天'!N54,0),IF(OR('第 6 天'!P$5="油錢"),'第 6 天'!P54,0))</f>
        <v>0</v>
      </c>
      <c r="E154" s="14" t="n">
        <f aca="false">SUM(IF(OR('第 6 天'!D$5="租車費"),'第 6 天'!D54,0),IF(OR('第 6 天'!F$5="租車費"),'第 6 天'!F54,0),IF(OR('第 6 天'!H$5="租車費"),'第 6 天'!H54,0),IF(OR('第 6 天'!J$5="租車費"),'第 6 天'!J54,0),IF(OR('第 6 天'!L$5="租車費"),'第 6 天'!L54,0),IF(OR('第 6 天'!N$5="租車費"),'第 6 天'!N54,0),IF(OR('第 6 天'!P$5="租車費"),'第 6 天'!P54,0))</f>
        <v>0</v>
      </c>
      <c r="F154" s="14" t="n">
        <f aca="false">SUM(IF(OR('第 6 天'!D$5="停車費",'第 6 天'!D$5="其他"),'第 6 天'!D54,0),IF(OR('第 6 天'!F$5="停車費",'第 6 天'!F$5="其他"),'第 6 天'!F54,0),IF(OR('第 6 天'!H$5="停車費",'第 6 天'!H$5="其他"),'第 6 天'!H54,0),IF(OR('第 6 天'!J$5="停車費",'第 6 天'!J$5="其他"),'第 6 天'!J54,0),IF(OR('第 6 天'!L$5="停車費",'第 6 天'!L$5="其他"),'第 6 天'!L54,0),IF(OR('第 6 天'!N$5="停車費",'第 6 天'!N$5="其他"),'第 6 天'!N54,0),IF(OR('第 6 天'!P$5="停車費",'第 6 天'!P$5="其他"),'第 6 天'!P54,0))</f>
        <v>0</v>
      </c>
      <c r="G154" s="14" t="n">
        <f aca="false">SUM(C154:F154)</f>
        <v>0</v>
      </c>
      <c r="H154" s="14" t="n">
        <f aca="false">IF(LEN(TRIM(成員名單!$B7))=0,0,SUM(IF('第 6 天'!D$7=$B154,'第 6 天'!D46,0),IF('第 6 天'!F$7=$B154,'第 6 天'!F46,0),IF('第 6 天'!H$7=$B154,'第 6 天'!H46,0),IF('第 6 天'!J$7=$B154,'第 6 天'!J46,0),IF('第 6 天'!L$7=$B154,'第 6 天'!L46,0),IF('第 6 天'!N$7=$B154,'第 6 天'!N46,0),IF('第 6 天'!P$7=$B154,'第 6 天'!P46,0)))</f>
        <v>0</v>
      </c>
    </row>
    <row r="155" customFormat="false" ht="15" hidden="false" customHeight="false" outlineLevel="0" collapsed="false">
      <c r="A155" s="13" t="s">
        <v>125</v>
      </c>
      <c r="B155" s="13" t="s">
        <v>21</v>
      </c>
      <c r="C155" s="14" t="n">
        <f aca="false">SUM(IF(OR('第 6 天'!D$5="早餐",'第 6 天'!D$5="午餐",'第 6 天'!D$5="晚餐"),'第 6 天'!D55,0),IF(OR('第 6 天'!F$5="早餐",'第 6 天'!F$5="午餐",'第 6 天'!F$5="晚餐"),'第 6 天'!F55,0),IF(OR('第 6 天'!H$5="早餐",'第 6 天'!H$5="午餐",'第 6 天'!H$5="晚餐"),'第 6 天'!H55,0),IF(OR('第 6 天'!J$5="早餐",'第 6 天'!J$5="午餐",'第 6 天'!J$5="晚餐"),'第 6 天'!J55,0),IF(OR('第 6 天'!L$5="早餐",'第 6 天'!L$5="午餐",'第 6 天'!L$5="晚餐"),'第 6 天'!L55,0),IF(OR('第 6 天'!N$5="早餐",'第 6 天'!N$5="午餐",'第 6 天'!N$5="晚餐"),'第 6 天'!N55,0),IF(OR('第 6 天'!P$5="早餐",'第 6 天'!P$5="午餐",'第 6 天'!P$5="晚餐"),'第 6 天'!P55,0))</f>
        <v>0</v>
      </c>
      <c r="D155" s="14" t="n">
        <f aca="false">SUM(IF(OR('第 6 天'!D$5="油錢"),'第 6 天'!D55,0),IF(OR('第 6 天'!F$5="油錢"),'第 6 天'!F55,0),IF(OR('第 6 天'!H$5="油錢"),'第 6 天'!H55,0),IF(OR('第 6 天'!J$5="油錢"),'第 6 天'!J55,0),IF(OR('第 6 天'!L$5="油錢"),'第 6 天'!L55,0),IF(OR('第 6 天'!N$5="油錢"),'第 6 天'!N55,0),IF(OR('第 6 天'!P$5="油錢"),'第 6 天'!P55,0))</f>
        <v>0</v>
      </c>
      <c r="E155" s="14" t="n">
        <f aca="false">SUM(IF(OR('第 6 天'!D$5="租車費"),'第 6 天'!D55,0),IF(OR('第 6 天'!F$5="租車費"),'第 6 天'!F55,0),IF(OR('第 6 天'!H$5="租車費"),'第 6 天'!H55,0),IF(OR('第 6 天'!J$5="租車費"),'第 6 天'!J55,0),IF(OR('第 6 天'!L$5="租車費"),'第 6 天'!L55,0),IF(OR('第 6 天'!N$5="租車費"),'第 6 天'!N55,0),IF(OR('第 6 天'!P$5="租車費"),'第 6 天'!P55,0))</f>
        <v>0</v>
      </c>
      <c r="F155" s="14" t="n">
        <f aca="false">SUM(IF(OR('第 6 天'!D$5="停車費",'第 6 天'!D$5="其他"),'第 6 天'!D55,0),IF(OR('第 6 天'!F$5="停車費",'第 6 天'!F$5="其他"),'第 6 天'!F55,0),IF(OR('第 6 天'!H$5="停車費",'第 6 天'!H$5="其他"),'第 6 天'!H55,0),IF(OR('第 6 天'!J$5="停車費",'第 6 天'!J$5="其他"),'第 6 天'!J55,0),IF(OR('第 6 天'!L$5="停車費",'第 6 天'!L$5="其他"),'第 6 天'!L55,0),IF(OR('第 6 天'!N$5="停車費",'第 6 天'!N$5="其他"),'第 6 天'!N55,0),IF(OR('第 6 天'!P$5="停車費",'第 6 天'!P$5="其他"),'第 6 天'!P55,0))</f>
        <v>0</v>
      </c>
      <c r="G155" s="14" t="n">
        <f aca="false">SUM(C155:F155)</f>
        <v>0</v>
      </c>
      <c r="H155" s="14" t="n">
        <f aca="false">IF(LEN(TRIM(成員名單!$B8))=0,0,SUM(IF('第 6 天'!D$7=$B155,'第 6 天'!D46,0),IF('第 6 天'!F$7=$B155,'第 6 天'!F46,0),IF('第 6 天'!H$7=$B155,'第 6 天'!H46,0),IF('第 6 天'!J$7=$B155,'第 6 天'!J46,0),IF('第 6 天'!L$7=$B155,'第 6 天'!L46,0),IF('第 6 天'!N$7=$B155,'第 6 天'!N46,0),IF('第 6 天'!P$7=$B155,'第 6 天'!P46,0)))</f>
        <v>0</v>
      </c>
    </row>
    <row r="156" customFormat="false" ht="15" hidden="false" customHeight="false" outlineLevel="0" collapsed="false">
      <c r="A156" s="13" t="s">
        <v>125</v>
      </c>
      <c r="B156" s="13" t="s">
        <v>22</v>
      </c>
      <c r="C156" s="14" t="n">
        <f aca="false">SUM(IF(OR('第 6 天'!D$5="早餐",'第 6 天'!D$5="午餐",'第 6 天'!D$5="晚餐"),'第 6 天'!D56,0),IF(OR('第 6 天'!F$5="早餐",'第 6 天'!F$5="午餐",'第 6 天'!F$5="晚餐"),'第 6 天'!F56,0),IF(OR('第 6 天'!H$5="早餐",'第 6 天'!H$5="午餐",'第 6 天'!H$5="晚餐"),'第 6 天'!H56,0),IF(OR('第 6 天'!J$5="早餐",'第 6 天'!J$5="午餐",'第 6 天'!J$5="晚餐"),'第 6 天'!J56,0),IF(OR('第 6 天'!L$5="早餐",'第 6 天'!L$5="午餐",'第 6 天'!L$5="晚餐"),'第 6 天'!L56,0),IF(OR('第 6 天'!N$5="早餐",'第 6 天'!N$5="午餐",'第 6 天'!N$5="晚餐"),'第 6 天'!N56,0),IF(OR('第 6 天'!P$5="早餐",'第 6 天'!P$5="午餐",'第 6 天'!P$5="晚餐"),'第 6 天'!P56,0))</f>
        <v>0</v>
      </c>
      <c r="D156" s="14" t="n">
        <f aca="false">SUM(IF(OR('第 6 天'!D$5="油錢"),'第 6 天'!D56,0),IF(OR('第 6 天'!F$5="油錢"),'第 6 天'!F56,0),IF(OR('第 6 天'!H$5="油錢"),'第 6 天'!H56,0),IF(OR('第 6 天'!J$5="油錢"),'第 6 天'!J56,0),IF(OR('第 6 天'!L$5="油錢"),'第 6 天'!L56,0),IF(OR('第 6 天'!N$5="油錢"),'第 6 天'!N56,0),IF(OR('第 6 天'!P$5="油錢"),'第 6 天'!P56,0))</f>
        <v>0</v>
      </c>
      <c r="E156" s="14" t="n">
        <f aca="false">SUM(IF(OR('第 6 天'!D$5="租車費"),'第 6 天'!D56,0),IF(OR('第 6 天'!F$5="租車費"),'第 6 天'!F56,0),IF(OR('第 6 天'!H$5="租車費"),'第 6 天'!H56,0),IF(OR('第 6 天'!J$5="租車費"),'第 6 天'!J56,0),IF(OR('第 6 天'!L$5="租車費"),'第 6 天'!L56,0),IF(OR('第 6 天'!N$5="租車費"),'第 6 天'!N56,0),IF(OR('第 6 天'!P$5="租車費"),'第 6 天'!P56,0))</f>
        <v>0</v>
      </c>
      <c r="F156" s="14" t="n">
        <f aca="false">SUM(IF(OR('第 6 天'!D$5="停車費",'第 6 天'!D$5="其他"),'第 6 天'!D56,0),IF(OR('第 6 天'!F$5="停車費",'第 6 天'!F$5="其他"),'第 6 天'!F56,0),IF(OR('第 6 天'!H$5="停車費",'第 6 天'!H$5="其他"),'第 6 天'!H56,0),IF(OR('第 6 天'!J$5="停車費",'第 6 天'!J$5="其他"),'第 6 天'!J56,0),IF(OR('第 6 天'!L$5="停車費",'第 6 天'!L$5="其他"),'第 6 天'!L56,0),IF(OR('第 6 天'!N$5="停車費",'第 6 天'!N$5="其他"),'第 6 天'!N56,0),IF(OR('第 6 天'!P$5="停車費",'第 6 天'!P$5="其他"),'第 6 天'!P56,0))</f>
        <v>0</v>
      </c>
      <c r="G156" s="14" t="n">
        <f aca="false">SUM(C156:F156)</f>
        <v>0</v>
      </c>
      <c r="H156" s="14" t="n">
        <f aca="false">IF(LEN(TRIM(成員名單!$B9))=0,0,SUM(IF('第 6 天'!D$7=$B156,'第 6 天'!D46,0),IF('第 6 天'!F$7=$B156,'第 6 天'!F46,0),IF('第 6 天'!H$7=$B156,'第 6 天'!H46,0),IF('第 6 天'!J$7=$B156,'第 6 天'!J46,0),IF('第 6 天'!L$7=$B156,'第 6 天'!L46,0),IF('第 6 天'!N$7=$B156,'第 6 天'!N46,0),IF('第 6 天'!P$7=$B156,'第 6 天'!P46,0)))</f>
        <v>0</v>
      </c>
    </row>
    <row r="157" customFormat="false" ht="15" hidden="false" customHeight="false" outlineLevel="0" collapsed="false">
      <c r="A157" s="13" t="s">
        <v>125</v>
      </c>
      <c r="B157" s="13" t="s">
        <v>23</v>
      </c>
      <c r="C157" s="14" t="n">
        <f aca="false">SUM(IF(OR('第 6 天'!D$5="早餐",'第 6 天'!D$5="午餐",'第 6 天'!D$5="晚餐"),'第 6 天'!D57,0),IF(OR('第 6 天'!F$5="早餐",'第 6 天'!F$5="午餐",'第 6 天'!F$5="晚餐"),'第 6 天'!F57,0),IF(OR('第 6 天'!H$5="早餐",'第 6 天'!H$5="午餐",'第 6 天'!H$5="晚餐"),'第 6 天'!H57,0),IF(OR('第 6 天'!J$5="早餐",'第 6 天'!J$5="午餐",'第 6 天'!J$5="晚餐"),'第 6 天'!J57,0),IF(OR('第 6 天'!L$5="早餐",'第 6 天'!L$5="午餐",'第 6 天'!L$5="晚餐"),'第 6 天'!L57,0),IF(OR('第 6 天'!N$5="早餐",'第 6 天'!N$5="午餐",'第 6 天'!N$5="晚餐"),'第 6 天'!N57,0),IF(OR('第 6 天'!P$5="早餐",'第 6 天'!P$5="午餐",'第 6 天'!P$5="晚餐"),'第 6 天'!P57,0))</f>
        <v>0</v>
      </c>
      <c r="D157" s="14" t="n">
        <f aca="false">SUM(IF(OR('第 6 天'!D$5="油錢"),'第 6 天'!D57,0),IF(OR('第 6 天'!F$5="油錢"),'第 6 天'!F57,0),IF(OR('第 6 天'!H$5="油錢"),'第 6 天'!H57,0),IF(OR('第 6 天'!J$5="油錢"),'第 6 天'!J57,0),IF(OR('第 6 天'!L$5="油錢"),'第 6 天'!L57,0),IF(OR('第 6 天'!N$5="油錢"),'第 6 天'!N57,0),IF(OR('第 6 天'!P$5="油錢"),'第 6 天'!P57,0))</f>
        <v>0</v>
      </c>
      <c r="E157" s="14" t="n">
        <f aca="false">SUM(IF(OR('第 6 天'!D$5="租車費"),'第 6 天'!D57,0),IF(OR('第 6 天'!F$5="租車費"),'第 6 天'!F57,0),IF(OR('第 6 天'!H$5="租車費"),'第 6 天'!H57,0),IF(OR('第 6 天'!J$5="租車費"),'第 6 天'!J57,0),IF(OR('第 6 天'!L$5="租車費"),'第 6 天'!L57,0),IF(OR('第 6 天'!N$5="租車費"),'第 6 天'!N57,0),IF(OR('第 6 天'!P$5="租車費"),'第 6 天'!P57,0))</f>
        <v>0</v>
      </c>
      <c r="F157" s="14" t="n">
        <f aca="false">SUM(IF(OR('第 6 天'!D$5="停車費",'第 6 天'!D$5="其他"),'第 6 天'!D57,0),IF(OR('第 6 天'!F$5="停車費",'第 6 天'!F$5="其他"),'第 6 天'!F57,0),IF(OR('第 6 天'!H$5="停車費",'第 6 天'!H$5="其他"),'第 6 天'!H57,0),IF(OR('第 6 天'!J$5="停車費",'第 6 天'!J$5="其他"),'第 6 天'!J57,0),IF(OR('第 6 天'!L$5="停車費",'第 6 天'!L$5="其他"),'第 6 天'!L57,0),IF(OR('第 6 天'!N$5="停車費",'第 6 天'!N$5="其他"),'第 6 天'!N57,0),IF(OR('第 6 天'!P$5="停車費",'第 6 天'!P$5="其他"),'第 6 天'!P57,0))</f>
        <v>0</v>
      </c>
      <c r="G157" s="14" t="n">
        <f aca="false">SUM(C157:F157)</f>
        <v>0</v>
      </c>
      <c r="H157" s="14" t="n">
        <f aca="false">IF(LEN(TRIM(成員名單!$B10))=0,0,SUM(IF('第 6 天'!D$7=$B157,'第 6 天'!D46,0),IF('第 6 天'!F$7=$B157,'第 6 天'!F46,0),IF('第 6 天'!H$7=$B157,'第 6 天'!H46,0),IF('第 6 天'!J$7=$B157,'第 6 天'!J46,0),IF('第 6 天'!L$7=$B157,'第 6 天'!L46,0),IF('第 6 天'!N$7=$B157,'第 6 天'!N46,0),IF('第 6 天'!P$7=$B157,'第 6 天'!P46,0)))</f>
        <v>0</v>
      </c>
    </row>
    <row r="158" customFormat="false" ht="15" hidden="false" customHeight="false" outlineLevel="0" collapsed="false">
      <c r="A158" s="13" t="s">
        <v>125</v>
      </c>
      <c r="B158" s="13" t="s">
        <v>24</v>
      </c>
      <c r="C158" s="14" t="n">
        <f aca="false">SUM(IF(OR('第 6 天'!D$5="早餐",'第 6 天'!D$5="午餐",'第 6 天'!D$5="晚餐"),'第 6 天'!D58,0),IF(OR('第 6 天'!F$5="早餐",'第 6 天'!F$5="午餐",'第 6 天'!F$5="晚餐"),'第 6 天'!F58,0),IF(OR('第 6 天'!H$5="早餐",'第 6 天'!H$5="午餐",'第 6 天'!H$5="晚餐"),'第 6 天'!H58,0),IF(OR('第 6 天'!J$5="早餐",'第 6 天'!J$5="午餐",'第 6 天'!J$5="晚餐"),'第 6 天'!J58,0),IF(OR('第 6 天'!L$5="早餐",'第 6 天'!L$5="午餐",'第 6 天'!L$5="晚餐"),'第 6 天'!L58,0),IF(OR('第 6 天'!N$5="早餐",'第 6 天'!N$5="午餐",'第 6 天'!N$5="晚餐"),'第 6 天'!N58,0),IF(OR('第 6 天'!P$5="早餐",'第 6 天'!P$5="午餐",'第 6 天'!P$5="晚餐"),'第 6 天'!P58,0))</f>
        <v>0</v>
      </c>
      <c r="D158" s="14" t="n">
        <f aca="false">SUM(IF(OR('第 6 天'!D$5="油錢"),'第 6 天'!D58,0),IF(OR('第 6 天'!F$5="油錢"),'第 6 天'!F58,0),IF(OR('第 6 天'!H$5="油錢"),'第 6 天'!H58,0),IF(OR('第 6 天'!J$5="油錢"),'第 6 天'!J58,0),IF(OR('第 6 天'!L$5="油錢"),'第 6 天'!L58,0),IF(OR('第 6 天'!N$5="油錢"),'第 6 天'!N58,0),IF(OR('第 6 天'!P$5="油錢"),'第 6 天'!P58,0))</f>
        <v>0</v>
      </c>
      <c r="E158" s="14" t="n">
        <f aca="false">SUM(IF(OR('第 6 天'!D$5="租車費"),'第 6 天'!D58,0),IF(OR('第 6 天'!F$5="租車費"),'第 6 天'!F58,0),IF(OR('第 6 天'!H$5="租車費"),'第 6 天'!H58,0),IF(OR('第 6 天'!J$5="租車費"),'第 6 天'!J58,0),IF(OR('第 6 天'!L$5="租車費"),'第 6 天'!L58,0),IF(OR('第 6 天'!N$5="租車費"),'第 6 天'!N58,0),IF(OR('第 6 天'!P$5="租車費"),'第 6 天'!P58,0))</f>
        <v>0</v>
      </c>
      <c r="F158" s="14" t="n">
        <f aca="false">SUM(IF(OR('第 6 天'!D$5="停車費",'第 6 天'!D$5="其他"),'第 6 天'!D58,0),IF(OR('第 6 天'!F$5="停車費",'第 6 天'!F$5="其他"),'第 6 天'!F58,0),IF(OR('第 6 天'!H$5="停車費",'第 6 天'!H$5="其他"),'第 6 天'!H58,0),IF(OR('第 6 天'!J$5="停車費",'第 6 天'!J$5="其他"),'第 6 天'!J58,0),IF(OR('第 6 天'!L$5="停車費",'第 6 天'!L$5="其他"),'第 6 天'!L58,0),IF(OR('第 6 天'!N$5="停車費",'第 6 天'!N$5="其他"),'第 6 天'!N58,0),IF(OR('第 6 天'!P$5="停車費",'第 6 天'!P$5="其他"),'第 6 天'!P58,0))</f>
        <v>0</v>
      </c>
      <c r="G158" s="14" t="n">
        <f aca="false">SUM(C158:F158)</f>
        <v>0</v>
      </c>
      <c r="H158" s="14" t="n">
        <f aca="false">IF(LEN(TRIM(成員名單!$B11))=0,0,SUM(IF('第 6 天'!D$7=$B158,'第 6 天'!D46,0),IF('第 6 天'!F$7=$B158,'第 6 天'!F46,0),IF('第 6 天'!H$7=$B158,'第 6 天'!H46,0),IF('第 6 天'!J$7=$B158,'第 6 天'!J46,0),IF('第 6 天'!L$7=$B158,'第 6 天'!L46,0),IF('第 6 天'!N$7=$B158,'第 6 天'!N46,0),IF('第 6 天'!P$7=$B158,'第 6 天'!P46,0)))</f>
        <v>0</v>
      </c>
    </row>
    <row r="159" customFormat="false" ht="15" hidden="false" customHeight="false" outlineLevel="0" collapsed="false">
      <c r="A159" s="13" t="s">
        <v>125</v>
      </c>
      <c r="B159" s="13" t="s">
        <v>25</v>
      </c>
      <c r="C159" s="14" t="n">
        <f aca="false">SUM(IF(OR('第 6 天'!D$5="早餐",'第 6 天'!D$5="午餐",'第 6 天'!D$5="晚餐"),'第 6 天'!D59,0),IF(OR('第 6 天'!F$5="早餐",'第 6 天'!F$5="午餐",'第 6 天'!F$5="晚餐"),'第 6 天'!F59,0),IF(OR('第 6 天'!H$5="早餐",'第 6 天'!H$5="午餐",'第 6 天'!H$5="晚餐"),'第 6 天'!H59,0),IF(OR('第 6 天'!J$5="早餐",'第 6 天'!J$5="午餐",'第 6 天'!J$5="晚餐"),'第 6 天'!J59,0),IF(OR('第 6 天'!L$5="早餐",'第 6 天'!L$5="午餐",'第 6 天'!L$5="晚餐"),'第 6 天'!L59,0),IF(OR('第 6 天'!N$5="早餐",'第 6 天'!N$5="午餐",'第 6 天'!N$5="晚餐"),'第 6 天'!N59,0),IF(OR('第 6 天'!P$5="早餐",'第 6 天'!P$5="午餐",'第 6 天'!P$5="晚餐"),'第 6 天'!P59,0))</f>
        <v>0</v>
      </c>
      <c r="D159" s="14" t="n">
        <f aca="false">SUM(IF(OR('第 6 天'!D$5="油錢"),'第 6 天'!D59,0),IF(OR('第 6 天'!F$5="油錢"),'第 6 天'!F59,0),IF(OR('第 6 天'!H$5="油錢"),'第 6 天'!H59,0),IF(OR('第 6 天'!J$5="油錢"),'第 6 天'!J59,0),IF(OR('第 6 天'!L$5="油錢"),'第 6 天'!L59,0),IF(OR('第 6 天'!N$5="油錢"),'第 6 天'!N59,0),IF(OR('第 6 天'!P$5="油錢"),'第 6 天'!P59,0))</f>
        <v>0</v>
      </c>
      <c r="E159" s="14" t="n">
        <f aca="false">SUM(IF(OR('第 6 天'!D$5="租車費"),'第 6 天'!D59,0),IF(OR('第 6 天'!F$5="租車費"),'第 6 天'!F59,0),IF(OR('第 6 天'!H$5="租車費"),'第 6 天'!H59,0),IF(OR('第 6 天'!J$5="租車費"),'第 6 天'!J59,0),IF(OR('第 6 天'!L$5="租車費"),'第 6 天'!L59,0),IF(OR('第 6 天'!N$5="租車費"),'第 6 天'!N59,0),IF(OR('第 6 天'!P$5="租車費"),'第 6 天'!P59,0))</f>
        <v>0</v>
      </c>
      <c r="F159" s="14" t="n">
        <f aca="false">SUM(IF(OR('第 6 天'!D$5="停車費",'第 6 天'!D$5="其他"),'第 6 天'!D59,0),IF(OR('第 6 天'!F$5="停車費",'第 6 天'!F$5="其他"),'第 6 天'!F59,0),IF(OR('第 6 天'!H$5="停車費",'第 6 天'!H$5="其他"),'第 6 天'!H59,0),IF(OR('第 6 天'!J$5="停車費",'第 6 天'!J$5="其他"),'第 6 天'!J59,0),IF(OR('第 6 天'!L$5="停車費",'第 6 天'!L$5="其他"),'第 6 天'!L59,0),IF(OR('第 6 天'!N$5="停車費",'第 6 天'!N$5="其他"),'第 6 天'!N59,0),IF(OR('第 6 天'!P$5="停車費",'第 6 天'!P$5="其他"),'第 6 天'!P59,0))</f>
        <v>0</v>
      </c>
      <c r="G159" s="14" t="n">
        <f aca="false">SUM(C159:F159)</f>
        <v>0</v>
      </c>
      <c r="H159" s="14" t="n">
        <f aca="false">IF(LEN(TRIM(成員名單!$B12))=0,0,SUM(IF('第 6 天'!D$7=$B159,'第 6 天'!D46,0),IF('第 6 天'!F$7=$B159,'第 6 天'!F46,0),IF('第 6 天'!H$7=$B159,'第 6 天'!H46,0),IF('第 6 天'!J$7=$B159,'第 6 天'!J46,0),IF('第 6 天'!L$7=$B159,'第 6 天'!L46,0),IF('第 6 天'!N$7=$B159,'第 6 天'!N46,0),IF('第 6 天'!P$7=$B159,'第 6 天'!P46,0)))</f>
        <v>0</v>
      </c>
    </row>
    <row r="160" customFormat="false" ht="15" hidden="false" customHeight="false" outlineLevel="0" collapsed="false">
      <c r="A160" s="13" t="s">
        <v>125</v>
      </c>
      <c r="B160" s="13" t="s">
        <v>26</v>
      </c>
      <c r="C160" s="14" t="n">
        <f aca="false">SUM(IF(OR('第 6 天'!D$5="早餐",'第 6 天'!D$5="午餐",'第 6 天'!D$5="晚餐"),'第 6 天'!D60,0),IF(OR('第 6 天'!F$5="早餐",'第 6 天'!F$5="午餐",'第 6 天'!F$5="晚餐"),'第 6 天'!F60,0),IF(OR('第 6 天'!H$5="早餐",'第 6 天'!H$5="午餐",'第 6 天'!H$5="晚餐"),'第 6 天'!H60,0),IF(OR('第 6 天'!J$5="早餐",'第 6 天'!J$5="午餐",'第 6 天'!J$5="晚餐"),'第 6 天'!J60,0),IF(OR('第 6 天'!L$5="早餐",'第 6 天'!L$5="午餐",'第 6 天'!L$5="晚餐"),'第 6 天'!L60,0),IF(OR('第 6 天'!N$5="早餐",'第 6 天'!N$5="午餐",'第 6 天'!N$5="晚餐"),'第 6 天'!N60,0),IF(OR('第 6 天'!P$5="早餐",'第 6 天'!P$5="午餐",'第 6 天'!P$5="晚餐"),'第 6 天'!P60,0))</f>
        <v>0</v>
      </c>
      <c r="D160" s="14" t="n">
        <f aca="false">SUM(IF(OR('第 6 天'!D$5="油錢"),'第 6 天'!D60,0),IF(OR('第 6 天'!F$5="油錢"),'第 6 天'!F60,0),IF(OR('第 6 天'!H$5="油錢"),'第 6 天'!H60,0),IF(OR('第 6 天'!J$5="油錢"),'第 6 天'!J60,0),IF(OR('第 6 天'!L$5="油錢"),'第 6 天'!L60,0),IF(OR('第 6 天'!N$5="油錢"),'第 6 天'!N60,0),IF(OR('第 6 天'!P$5="油錢"),'第 6 天'!P60,0))</f>
        <v>0</v>
      </c>
      <c r="E160" s="14" t="n">
        <f aca="false">SUM(IF(OR('第 6 天'!D$5="租車費"),'第 6 天'!D60,0),IF(OR('第 6 天'!F$5="租車費"),'第 6 天'!F60,0),IF(OR('第 6 天'!H$5="租車費"),'第 6 天'!H60,0),IF(OR('第 6 天'!J$5="租車費"),'第 6 天'!J60,0),IF(OR('第 6 天'!L$5="租車費"),'第 6 天'!L60,0),IF(OR('第 6 天'!N$5="租車費"),'第 6 天'!N60,0),IF(OR('第 6 天'!P$5="租車費"),'第 6 天'!P60,0))</f>
        <v>0</v>
      </c>
      <c r="F160" s="14" t="n">
        <f aca="false">SUM(IF(OR('第 6 天'!D$5="停車費",'第 6 天'!D$5="其他"),'第 6 天'!D60,0),IF(OR('第 6 天'!F$5="停車費",'第 6 天'!F$5="其他"),'第 6 天'!F60,0),IF(OR('第 6 天'!H$5="停車費",'第 6 天'!H$5="其他"),'第 6 天'!H60,0),IF(OR('第 6 天'!J$5="停車費",'第 6 天'!J$5="其他"),'第 6 天'!J60,0),IF(OR('第 6 天'!L$5="停車費",'第 6 天'!L$5="其他"),'第 6 天'!L60,0),IF(OR('第 6 天'!N$5="停車費",'第 6 天'!N$5="其他"),'第 6 天'!N60,0),IF(OR('第 6 天'!P$5="停車費",'第 6 天'!P$5="其他"),'第 6 天'!P60,0))</f>
        <v>0</v>
      </c>
      <c r="G160" s="14" t="n">
        <f aca="false">SUM(C160:F160)</f>
        <v>0</v>
      </c>
      <c r="H160" s="14" t="n">
        <f aca="false">IF(LEN(TRIM(成員名單!$B13))=0,0,SUM(IF('第 6 天'!D$7=$B160,'第 6 天'!D46,0),IF('第 6 天'!F$7=$B160,'第 6 天'!F46,0),IF('第 6 天'!H$7=$B160,'第 6 天'!H46,0),IF('第 6 天'!J$7=$B160,'第 6 天'!J46,0),IF('第 6 天'!L$7=$B160,'第 6 天'!L46,0),IF('第 6 天'!N$7=$B160,'第 6 天'!N46,0),IF('第 6 天'!P$7=$B160,'第 6 天'!P46,0)))</f>
        <v>0</v>
      </c>
    </row>
    <row r="161" customFormat="false" ht="15" hidden="false" customHeight="false" outlineLevel="0" collapsed="false">
      <c r="A161" s="13" t="s">
        <v>125</v>
      </c>
      <c r="B161" s="13" t="s">
        <v>27</v>
      </c>
      <c r="C161" s="14" t="n">
        <f aca="false">SUM(IF(OR('第 6 天'!D$5="早餐",'第 6 天'!D$5="午餐",'第 6 天'!D$5="晚餐"),'第 6 天'!D61,0),IF(OR('第 6 天'!F$5="早餐",'第 6 天'!F$5="午餐",'第 6 天'!F$5="晚餐"),'第 6 天'!F61,0),IF(OR('第 6 天'!H$5="早餐",'第 6 天'!H$5="午餐",'第 6 天'!H$5="晚餐"),'第 6 天'!H61,0),IF(OR('第 6 天'!J$5="早餐",'第 6 天'!J$5="午餐",'第 6 天'!J$5="晚餐"),'第 6 天'!J61,0),IF(OR('第 6 天'!L$5="早餐",'第 6 天'!L$5="午餐",'第 6 天'!L$5="晚餐"),'第 6 天'!L61,0),IF(OR('第 6 天'!N$5="早餐",'第 6 天'!N$5="午餐",'第 6 天'!N$5="晚餐"),'第 6 天'!N61,0),IF(OR('第 6 天'!P$5="早餐",'第 6 天'!P$5="午餐",'第 6 天'!P$5="晚餐"),'第 6 天'!P61,0))</f>
        <v>0</v>
      </c>
      <c r="D161" s="14" t="n">
        <f aca="false">SUM(IF(OR('第 6 天'!D$5="油錢"),'第 6 天'!D61,0),IF(OR('第 6 天'!F$5="油錢"),'第 6 天'!F61,0),IF(OR('第 6 天'!H$5="油錢"),'第 6 天'!H61,0),IF(OR('第 6 天'!J$5="油錢"),'第 6 天'!J61,0),IF(OR('第 6 天'!L$5="油錢"),'第 6 天'!L61,0),IF(OR('第 6 天'!N$5="油錢"),'第 6 天'!N61,0),IF(OR('第 6 天'!P$5="油錢"),'第 6 天'!P61,0))</f>
        <v>0</v>
      </c>
      <c r="E161" s="14" t="n">
        <f aca="false">SUM(IF(OR('第 6 天'!D$5="租車費"),'第 6 天'!D61,0),IF(OR('第 6 天'!F$5="租車費"),'第 6 天'!F61,0),IF(OR('第 6 天'!H$5="租車費"),'第 6 天'!H61,0),IF(OR('第 6 天'!J$5="租車費"),'第 6 天'!J61,0),IF(OR('第 6 天'!L$5="租車費"),'第 6 天'!L61,0),IF(OR('第 6 天'!N$5="租車費"),'第 6 天'!N61,0),IF(OR('第 6 天'!P$5="租車費"),'第 6 天'!P61,0))</f>
        <v>0</v>
      </c>
      <c r="F161" s="14" t="n">
        <f aca="false">SUM(IF(OR('第 6 天'!D$5="停車費",'第 6 天'!D$5="其他"),'第 6 天'!D61,0),IF(OR('第 6 天'!F$5="停車費",'第 6 天'!F$5="其他"),'第 6 天'!F61,0),IF(OR('第 6 天'!H$5="停車費",'第 6 天'!H$5="其他"),'第 6 天'!H61,0),IF(OR('第 6 天'!J$5="停車費",'第 6 天'!J$5="其他"),'第 6 天'!J61,0),IF(OR('第 6 天'!L$5="停車費",'第 6 天'!L$5="其他"),'第 6 天'!L61,0),IF(OR('第 6 天'!N$5="停車費",'第 6 天'!N$5="其他"),'第 6 天'!N61,0),IF(OR('第 6 天'!P$5="停車費",'第 6 天'!P$5="其他"),'第 6 天'!P61,0))</f>
        <v>0</v>
      </c>
      <c r="G161" s="14" t="n">
        <f aca="false">SUM(C161:F161)</f>
        <v>0</v>
      </c>
      <c r="H161" s="14" t="n">
        <f aca="false">IF(LEN(TRIM(成員名單!$B14))=0,0,SUM(IF('第 6 天'!D$7=$B161,'第 6 天'!D46,0),IF('第 6 天'!F$7=$B161,'第 6 天'!F46,0),IF('第 6 天'!H$7=$B161,'第 6 天'!H46,0),IF('第 6 天'!J$7=$B161,'第 6 天'!J46,0),IF('第 6 天'!L$7=$B161,'第 6 天'!L46,0),IF('第 6 天'!N$7=$B161,'第 6 天'!N46,0),IF('第 6 天'!P$7=$B161,'第 6 天'!P46,0)))</f>
        <v>0</v>
      </c>
    </row>
    <row r="162" customFormat="false" ht="15" hidden="false" customHeight="false" outlineLevel="0" collapsed="false">
      <c r="A162" s="13" t="s">
        <v>125</v>
      </c>
      <c r="B162" s="13" t="s">
        <v>28</v>
      </c>
      <c r="C162" s="14" t="n">
        <f aca="false">SUM(IF(OR('第 6 天'!D$5="早餐",'第 6 天'!D$5="午餐",'第 6 天'!D$5="晚餐"),'第 6 天'!D62,0),IF(OR('第 6 天'!F$5="早餐",'第 6 天'!F$5="午餐",'第 6 天'!F$5="晚餐"),'第 6 天'!F62,0),IF(OR('第 6 天'!H$5="早餐",'第 6 天'!H$5="午餐",'第 6 天'!H$5="晚餐"),'第 6 天'!H62,0),IF(OR('第 6 天'!J$5="早餐",'第 6 天'!J$5="午餐",'第 6 天'!J$5="晚餐"),'第 6 天'!J62,0),IF(OR('第 6 天'!L$5="早餐",'第 6 天'!L$5="午餐",'第 6 天'!L$5="晚餐"),'第 6 天'!L62,0),IF(OR('第 6 天'!N$5="早餐",'第 6 天'!N$5="午餐",'第 6 天'!N$5="晚餐"),'第 6 天'!N62,0),IF(OR('第 6 天'!P$5="早餐",'第 6 天'!P$5="午餐",'第 6 天'!P$5="晚餐"),'第 6 天'!P62,0))</f>
        <v>0</v>
      </c>
      <c r="D162" s="14" t="n">
        <f aca="false">SUM(IF(OR('第 6 天'!D$5="油錢"),'第 6 天'!D62,0),IF(OR('第 6 天'!F$5="油錢"),'第 6 天'!F62,0),IF(OR('第 6 天'!H$5="油錢"),'第 6 天'!H62,0),IF(OR('第 6 天'!J$5="油錢"),'第 6 天'!J62,0),IF(OR('第 6 天'!L$5="油錢"),'第 6 天'!L62,0),IF(OR('第 6 天'!N$5="油錢"),'第 6 天'!N62,0),IF(OR('第 6 天'!P$5="油錢"),'第 6 天'!P62,0))</f>
        <v>0</v>
      </c>
      <c r="E162" s="14" t="n">
        <f aca="false">SUM(IF(OR('第 6 天'!D$5="租車費"),'第 6 天'!D62,0),IF(OR('第 6 天'!F$5="租車費"),'第 6 天'!F62,0),IF(OR('第 6 天'!H$5="租車費"),'第 6 天'!H62,0),IF(OR('第 6 天'!J$5="租車費"),'第 6 天'!J62,0),IF(OR('第 6 天'!L$5="租車費"),'第 6 天'!L62,0),IF(OR('第 6 天'!N$5="租車費"),'第 6 天'!N62,0),IF(OR('第 6 天'!P$5="租車費"),'第 6 天'!P62,0))</f>
        <v>0</v>
      </c>
      <c r="F162" s="14" t="n">
        <f aca="false">SUM(IF(OR('第 6 天'!D$5="停車費",'第 6 天'!D$5="其他"),'第 6 天'!D62,0),IF(OR('第 6 天'!F$5="停車費",'第 6 天'!F$5="其他"),'第 6 天'!F62,0),IF(OR('第 6 天'!H$5="停車費",'第 6 天'!H$5="其他"),'第 6 天'!H62,0),IF(OR('第 6 天'!J$5="停車費",'第 6 天'!J$5="其他"),'第 6 天'!J62,0),IF(OR('第 6 天'!L$5="停車費",'第 6 天'!L$5="其他"),'第 6 天'!L62,0),IF(OR('第 6 天'!N$5="停車費",'第 6 天'!N$5="其他"),'第 6 天'!N62,0),IF(OR('第 6 天'!P$5="停車費",'第 6 天'!P$5="其他"),'第 6 天'!P62,0))</f>
        <v>0</v>
      </c>
      <c r="G162" s="14" t="n">
        <f aca="false">SUM(C162:F162)</f>
        <v>0</v>
      </c>
      <c r="H162" s="14" t="n">
        <f aca="false">IF(LEN(TRIM(成員名單!$B15))=0,0,SUM(IF('第 6 天'!D$7=$B162,'第 6 天'!D46,0),IF('第 6 天'!F$7=$B162,'第 6 天'!F46,0),IF('第 6 天'!H$7=$B162,'第 6 天'!H46,0),IF('第 6 天'!J$7=$B162,'第 6 天'!J46,0),IF('第 6 天'!L$7=$B162,'第 6 天'!L46,0),IF('第 6 天'!N$7=$B162,'第 6 天'!N46,0),IF('第 6 天'!P$7=$B162,'第 6 天'!P46,0)))</f>
        <v>0</v>
      </c>
    </row>
    <row r="163" customFormat="false" ht="15" hidden="false" customHeight="false" outlineLevel="0" collapsed="false">
      <c r="A163" s="13" t="s">
        <v>125</v>
      </c>
      <c r="B163" s="13" t="s">
        <v>29</v>
      </c>
      <c r="C163" s="14" t="n">
        <f aca="false">SUM(IF(OR('第 6 天'!D$5="早餐",'第 6 天'!D$5="午餐",'第 6 天'!D$5="晚餐"),'第 6 天'!D63,0),IF(OR('第 6 天'!F$5="早餐",'第 6 天'!F$5="午餐",'第 6 天'!F$5="晚餐"),'第 6 天'!F63,0),IF(OR('第 6 天'!H$5="早餐",'第 6 天'!H$5="午餐",'第 6 天'!H$5="晚餐"),'第 6 天'!H63,0),IF(OR('第 6 天'!J$5="早餐",'第 6 天'!J$5="午餐",'第 6 天'!J$5="晚餐"),'第 6 天'!J63,0),IF(OR('第 6 天'!L$5="早餐",'第 6 天'!L$5="午餐",'第 6 天'!L$5="晚餐"),'第 6 天'!L63,0),IF(OR('第 6 天'!N$5="早餐",'第 6 天'!N$5="午餐",'第 6 天'!N$5="晚餐"),'第 6 天'!N63,0),IF(OR('第 6 天'!P$5="早餐",'第 6 天'!P$5="午餐",'第 6 天'!P$5="晚餐"),'第 6 天'!P63,0))</f>
        <v>0</v>
      </c>
      <c r="D163" s="14" t="n">
        <f aca="false">SUM(IF(OR('第 6 天'!D$5="油錢"),'第 6 天'!D63,0),IF(OR('第 6 天'!F$5="油錢"),'第 6 天'!F63,0),IF(OR('第 6 天'!H$5="油錢"),'第 6 天'!H63,0),IF(OR('第 6 天'!J$5="油錢"),'第 6 天'!J63,0),IF(OR('第 6 天'!L$5="油錢"),'第 6 天'!L63,0),IF(OR('第 6 天'!N$5="油錢"),'第 6 天'!N63,0),IF(OR('第 6 天'!P$5="油錢"),'第 6 天'!P63,0))</f>
        <v>0</v>
      </c>
      <c r="E163" s="14" t="n">
        <f aca="false">SUM(IF(OR('第 6 天'!D$5="租車費"),'第 6 天'!D63,0),IF(OR('第 6 天'!F$5="租車費"),'第 6 天'!F63,0),IF(OR('第 6 天'!H$5="租車費"),'第 6 天'!H63,0),IF(OR('第 6 天'!J$5="租車費"),'第 6 天'!J63,0),IF(OR('第 6 天'!L$5="租車費"),'第 6 天'!L63,0),IF(OR('第 6 天'!N$5="租車費"),'第 6 天'!N63,0),IF(OR('第 6 天'!P$5="租車費"),'第 6 天'!P63,0))</f>
        <v>0</v>
      </c>
      <c r="F163" s="14" t="n">
        <f aca="false">SUM(IF(OR('第 6 天'!D$5="停車費",'第 6 天'!D$5="其他"),'第 6 天'!D63,0),IF(OR('第 6 天'!F$5="停車費",'第 6 天'!F$5="其他"),'第 6 天'!F63,0),IF(OR('第 6 天'!H$5="停車費",'第 6 天'!H$5="其他"),'第 6 天'!H63,0),IF(OR('第 6 天'!J$5="停車費",'第 6 天'!J$5="其他"),'第 6 天'!J63,0),IF(OR('第 6 天'!L$5="停車費",'第 6 天'!L$5="其他"),'第 6 天'!L63,0),IF(OR('第 6 天'!N$5="停車費",'第 6 天'!N$5="其他"),'第 6 天'!N63,0),IF(OR('第 6 天'!P$5="停車費",'第 6 天'!P$5="其他"),'第 6 天'!P63,0))</f>
        <v>0</v>
      </c>
      <c r="G163" s="14" t="n">
        <f aca="false">SUM(C163:F163)</f>
        <v>0</v>
      </c>
      <c r="H163" s="14" t="n">
        <f aca="false">IF(LEN(TRIM(成員名單!$B16))=0,0,SUM(IF('第 6 天'!D$7=$B163,'第 6 天'!D46,0),IF('第 6 天'!F$7=$B163,'第 6 天'!F46,0),IF('第 6 天'!H$7=$B163,'第 6 天'!H46,0),IF('第 6 天'!J$7=$B163,'第 6 天'!J46,0),IF('第 6 天'!L$7=$B163,'第 6 天'!L46,0),IF('第 6 天'!N$7=$B163,'第 6 天'!N46,0),IF('第 6 天'!P$7=$B163,'第 6 天'!P46,0)))</f>
        <v>0</v>
      </c>
    </row>
    <row r="164" customFormat="false" ht="15" hidden="false" customHeight="false" outlineLevel="0" collapsed="false">
      <c r="A164" s="13" t="s">
        <v>125</v>
      </c>
      <c r="B164" s="13" t="s">
        <v>30</v>
      </c>
      <c r="C164" s="14" t="n">
        <f aca="false">SUM(IF(OR('第 6 天'!D$5="早餐",'第 6 天'!D$5="午餐",'第 6 天'!D$5="晚餐"),'第 6 天'!D64,0),IF(OR('第 6 天'!F$5="早餐",'第 6 天'!F$5="午餐",'第 6 天'!F$5="晚餐"),'第 6 天'!F64,0),IF(OR('第 6 天'!H$5="早餐",'第 6 天'!H$5="午餐",'第 6 天'!H$5="晚餐"),'第 6 天'!H64,0),IF(OR('第 6 天'!J$5="早餐",'第 6 天'!J$5="午餐",'第 6 天'!J$5="晚餐"),'第 6 天'!J64,0),IF(OR('第 6 天'!L$5="早餐",'第 6 天'!L$5="午餐",'第 6 天'!L$5="晚餐"),'第 6 天'!L64,0),IF(OR('第 6 天'!N$5="早餐",'第 6 天'!N$5="午餐",'第 6 天'!N$5="晚餐"),'第 6 天'!N64,0),IF(OR('第 6 天'!P$5="早餐",'第 6 天'!P$5="午餐",'第 6 天'!P$5="晚餐"),'第 6 天'!P64,0))</f>
        <v>0</v>
      </c>
      <c r="D164" s="14" t="n">
        <f aca="false">SUM(IF(OR('第 6 天'!D$5="油錢"),'第 6 天'!D64,0),IF(OR('第 6 天'!F$5="油錢"),'第 6 天'!F64,0),IF(OR('第 6 天'!H$5="油錢"),'第 6 天'!H64,0),IF(OR('第 6 天'!J$5="油錢"),'第 6 天'!J64,0),IF(OR('第 6 天'!L$5="油錢"),'第 6 天'!L64,0),IF(OR('第 6 天'!N$5="油錢"),'第 6 天'!N64,0),IF(OR('第 6 天'!P$5="油錢"),'第 6 天'!P64,0))</f>
        <v>0</v>
      </c>
      <c r="E164" s="14" t="n">
        <f aca="false">SUM(IF(OR('第 6 天'!D$5="租車費"),'第 6 天'!D64,0),IF(OR('第 6 天'!F$5="租車費"),'第 6 天'!F64,0),IF(OR('第 6 天'!H$5="租車費"),'第 6 天'!H64,0),IF(OR('第 6 天'!J$5="租車費"),'第 6 天'!J64,0),IF(OR('第 6 天'!L$5="租車費"),'第 6 天'!L64,0),IF(OR('第 6 天'!N$5="租車費"),'第 6 天'!N64,0),IF(OR('第 6 天'!P$5="租車費"),'第 6 天'!P64,0))</f>
        <v>0</v>
      </c>
      <c r="F164" s="14" t="n">
        <f aca="false">SUM(IF(OR('第 6 天'!D$5="停車費",'第 6 天'!D$5="其他"),'第 6 天'!D64,0),IF(OR('第 6 天'!F$5="停車費",'第 6 天'!F$5="其他"),'第 6 天'!F64,0),IF(OR('第 6 天'!H$5="停車費",'第 6 天'!H$5="其他"),'第 6 天'!H64,0),IF(OR('第 6 天'!J$5="停車費",'第 6 天'!J$5="其他"),'第 6 天'!J64,0),IF(OR('第 6 天'!L$5="停車費",'第 6 天'!L$5="其他"),'第 6 天'!L64,0),IF(OR('第 6 天'!N$5="停車費",'第 6 天'!N$5="其他"),'第 6 天'!N64,0),IF(OR('第 6 天'!P$5="停車費",'第 6 天'!P$5="其他"),'第 6 天'!P64,0))</f>
        <v>0</v>
      </c>
      <c r="G164" s="14" t="n">
        <f aca="false">SUM(C164:F164)</f>
        <v>0</v>
      </c>
      <c r="H164" s="14" t="n">
        <f aca="false">IF(LEN(TRIM(成員名單!$B17))=0,0,SUM(IF('第 6 天'!D$7=$B164,'第 6 天'!D46,0),IF('第 6 天'!F$7=$B164,'第 6 天'!F46,0),IF('第 6 天'!H$7=$B164,'第 6 天'!H46,0),IF('第 6 天'!J$7=$B164,'第 6 天'!J46,0),IF('第 6 天'!L$7=$B164,'第 6 天'!L46,0),IF('第 6 天'!N$7=$B164,'第 6 天'!N46,0),IF('第 6 天'!P$7=$B164,'第 6 天'!P46,0)))</f>
        <v>0</v>
      </c>
    </row>
    <row r="165" customFormat="false" ht="15" hidden="false" customHeight="false" outlineLevel="0" collapsed="false">
      <c r="A165" s="13" t="s">
        <v>125</v>
      </c>
      <c r="B165" s="13" t="s">
        <v>31</v>
      </c>
      <c r="C165" s="14" t="n">
        <f aca="false">SUM(IF(OR('第 6 天'!D$5="早餐",'第 6 天'!D$5="午餐",'第 6 天'!D$5="晚餐"),'第 6 天'!D65,0),IF(OR('第 6 天'!F$5="早餐",'第 6 天'!F$5="午餐",'第 6 天'!F$5="晚餐"),'第 6 天'!F65,0),IF(OR('第 6 天'!H$5="早餐",'第 6 天'!H$5="午餐",'第 6 天'!H$5="晚餐"),'第 6 天'!H65,0),IF(OR('第 6 天'!J$5="早餐",'第 6 天'!J$5="午餐",'第 6 天'!J$5="晚餐"),'第 6 天'!J65,0),IF(OR('第 6 天'!L$5="早餐",'第 6 天'!L$5="午餐",'第 6 天'!L$5="晚餐"),'第 6 天'!L65,0),IF(OR('第 6 天'!N$5="早餐",'第 6 天'!N$5="午餐",'第 6 天'!N$5="晚餐"),'第 6 天'!N65,0),IF(OR('第 6 天'!P$5="早餐",'第 6 天'!P$5="午餐",'第 6 天'!P$5="晚餐"),'第 6 天'!P65,0))</f>
        <v>0</v>
      </c>
      <c r="D165" s="14" t="n">
        <f aca="false">SUM(IF(OR('第 6 天'!D$5="油錢"),'第 6 天'!D65,0),IF(OR('第 6 天'!F$5="油錢"),'第 6 天'!F65,0),IF(OR('第 6 天'!H$5="油錢"),'第 6 天'!H65,0),IF(OR('第 6 天'!J$5="油錢"),'第 6 天'!J65,0),IF(OR('第 6 天'!L$5="油錢"),'第 6 天'!L65,0),IF(OR('第 6 天'!N$5="油錢"),'第 6 天'!N65,0),IF(OR('第 6 天'!P$5="油錢"),'第 6 天'!P65,0))</f>
        <v>0</v>
      </c>
      <c r="E165" s="14" t="n">
        <f aca="false">SUM(IF(OR('第 6 天'!D$5="租車費"),'第 6 天'!D65,0),IF(OR('第 6 天'!F$5="租車費"),'第 6 天'!F65,0),IF(OR('第 6 天'!H$5="租車費"),'第 6 天'!H65,0),IF(OR('第 6 天'!J$5="租車費"),'第 6 天'!J65,0),IF(OR('第 6 天'!L$5="租車費"),'第 6 天'!L65,0),IF(OR('第 6 天'!N$5="租車費"),'第 6 天'!N65,0),IF(OR('第 6 天'!P$5="租車費"),'第 6 天'!P65,0))</f>
        <v>0</v>
      </c>
      <c r="F165" s="14" t="n">
        <f aca="false">SUM(IF(OR('第 6 天'!D$5="停車費",'第 6 天'!D$5="其他"),'第 6 天'!D65,0),IF(OR('第 6 天'!F$5="停車費",'第 6 天'!F$5="其他"),'第 6 天'!F65,0),IF(OR('第 6 天'!H$5="停車費",'第 6 天'!H$5="其他"),'第 6 天'!H65,0),IF(OR('第 6 天'!J$5="停車費",'第 6 天'!J$5="其他"),'第 6 天'!J65,0),IF(OR('第 6 天'!L$5="停車費",'第 6 天'!L$5="其他"),'第 6 天'!L65,0),IF(OR('第 6 天'!N$5="停車費",'第 6 天'!N$5="其他"),'第 6 天'!N65,0),IF(OR('第 6 天'!P$5="停車費",'第 6 天'!P$5="其他"),'第 6 天'!P65,0))</f>
        <v>0</v>
      </c>
      <c r="G165" s="14" t="n">
        <f aca="false">SUM(C165:F165)</f>
        <v>0</v>
      </c>
      <c r="H165" s="14" t="n">
        <f aca="false">IF(LEN(TRIM(成員名單!$B18))=0,0,SUM(IF('第 6 天'!D$7=$B165,'第 6 天'!D46,0),IF('第 6 天'!F$7=$B165,'第 6 天'!F46,0),IF('第 6 天'!H$7=$B165,'第 6 天'!H46,0),IF('第 6 天'!J$7=$B165,'第 6 天'!J46,0),IF('第 6 天'!L$7=$B165,'第 6 天'!L46,0),IF('第 6 天'!N$7=$B165,'第 6 天'!N46,0),IF('第 6 天'!P$7=$B165,'第 6 天'!P46,0)))</f>
        <v>0</v>
      </c>
    </row>
    <row r="166" customFormat="false" ht="15" hidden="false" customHeight="false" outlineLevel="0" collapsed="false">
      <c r="A166" s="13" t="s">
        <v>125</v>
      </c>
      <c r="B166" s="13" t="s">
        <v>32</v>
      </c>
      <c r="C166" s="14" t="n">
        <f aca="false">SUM(IF(OR('第 6 天'!D$5="早餐",'第 6 天'!D$5="午餐",'第 6 天'!D$5="晚餐"),'第 6 天'!D66,0),IF(OR('第 6 天'!F$5="早餐",'第 6 天'!F$5="午餐",'第 6 天'!F$5="晚餐"),'第 6 天'!F66,0),IF(OR('第 6 天'!H$5="早餐",'第 6 天'!H$5="午餐",'第 6 天'!H$5="晚餐"),'第 6 天'!H66,0),IF(OR('第 6 天'!J$5="早餐",'第 6 天'!J$5="午餐",'第 6 天'!J$5="晚餐"),'第 6 天'!J66,0),IF(OR('第 6 天'!L$5="早餐",'第 6 天'!L$5="午餐",'第 6 天'!L$5="晚餐"),'第 6 天'!L66,0),IF(OR('第 6 天'!N$5="早餐",'第 6 天'!N$5="午餐",'第 6 天'!N$5="晚餐"),'第 6 天'!N66,0),IF(OR('第 6 天'!P$5="早餐",'第 6 天'!P$5="午餐",'第 6 天'!P$5="晚餐"),'第 6 天'!P66,0))</f>
        <v>0</v>
      </c>
      <c r="D166" s="14" t="n">
        <f aca="false">SUM(IF(OR('第 6 天'!D$5="油錢"),'第 6 天'!D66,0),IF(OR('第 6 天'!F$5="油錢"),'第 6 天'!F66,0),IF(OR('第 6 天'!H$5="油錢"),'第 6 天'!H66,0),IF(OR('第 6 天'!J$5="油錢"),'第 6 天'!J66,0),IF(OR('第 6 天'!L$5="油錢"),'第 6 天'!L66,0),IF(OR('第 6 天'!N$5="油錢"),'第 6 天'!N66,0),IF(OR('第 6 天'!P$5="油錢"),'第 6 天'!P66,0))</f>
        <v>0</v>
      </c>
      <c r="E166" s="14" t="n">
        <f aca="false">SUM(IF(OR('第 6 天'!D$5="租車費"),'第 6 天'!D66,0),IF(OR('第 6 天'!F$5="租車費"),'第 6 天'!F66,0),IF(OR('第 6 天'!H$5="租車費"),'第 6 天'!H66,0),IF(OR('第 6 天'!J$5="租車費"),'第 6 天'!J66,0),IF(OR('第 6 天'!L$5="租車費"),'第 6 天'!L66,0),IF(OR('第 6 天'!N$5="租車費"),'第 6 天'!N66,0),IF(OR('第 6 天'!P$5="租車費"),'第 6 天'!P66,0))</f>
        <v>0</v>
      </c>
      <c r="F166" s="14" t="n">
        <f aca="false">SUM(IF(OR('第 6 天'!D$5="停車費",'第 6 天'!D$5="其他"),'第 6 天'!D66,0),IF(OR('第 6 天'!F$5="停車費",'第 6 天'!F$5="其他"),'第 6 天'!F66,0),IF(OR('第 6 天'!H$5="停車費",'第 6 天'!H$5="其他"),'第 6 天'!H66,0),IF(OR('第 6 天'!J$5="停車費",'第 6 天'!J$5="其他"),'第 6 天'!J66,0),IF(OR('第 6 天'!L$5="停車費",'第 6 天'!L$5="其他"),'第 6 天'!L66,0),IF(OR('第 6 天'!N$5="停車費",'第 6 天'!N$5="其他"),'第 6 天'!N66,0),IF(OR('第 6 天'!P$5="停車費",'第 6 天'!P$5="其他"),'第 6 天'!P66,0))</f>
        <v>0</v>
      </c>
      <c r="G166" s="14" t="n">
        <f aca="false">SUM(C166:F166)</f>
        <v>0</v>
      </c>
      <c r="H166" s="14" t="n">
        <f aca="false">IF(LEN(TRIM(成員名單!$B19))=0,0,SUM(IF('第 6 天'!D$7=$B166,'第 6 天'!D46,0),IF('第 6 天'!F$7=$B166,'第 6 天'!F46,0),IF('第 6 天'!H$7=$B166,'第 6 天'!H46,0),IF('第 6 天'!J$7=$B166,'第 6 天'!J46,0),IF('第 6 天'!L$7=$B166,'第 6 天'!L46,0),IF('第 6 天'!N$7=$B166,'第 6 天'!N46,0),IF('第 6 天'!P$7=$B166,'第 6 天'!P46,0)))</f>
        <v>0</v>
      </c>
    </row>
    <row r="167" customFormat="false" ht="15" hidden="false" customHeight="false" outlineLevel="0" collapsed="false">
      <c r="A167" s="13" t="s">
        <v>125</v>
      </c>
      <c r="B167" s="13" t="s">
        <v>33</v>
      </c>
      <c r="C167" s="14" t="n">
        <f aca="false">SUM(IF(OR('第 6 天'!D$5="早餐",'第 6 天'!D$5="午餐",'第 6 天'!D$5="晚餐"),'第 6 天'!D67,0),IF(OR('第 6 天'!F$5="早餐",'第 6 天'!F$5="午餐",'第 6 天'!F$5="晚餐"),'第 6 天'!F67,0),IF(OR('第 6 天'!H$5="早餐",'第 6 天'!H$5="午餐",'第 6 天'!H$5="晚餐"),'第 6 天'!H67,0),IF(OR('第 6 天'!J$5="早餐",'第 6 天'!J$5="午餐",'第 6 天'!J$5="晚餐"),'第 6 天'!J67,0),IF(OR('第 6 天'!L$5="早餐",'第 6 天'!L$5="午餐",'第 6 天'!L$5="晚餐"),'第 6 天'!L67,0),IF(OR('第 6 天'!N$5="早餐",'第 6 天'!N$5="午餐",'第 6 天'!N$5="晚餐"),'第 6 天'!N67,0),IF(OR('第 6 天'!P$5="早餐",'第 6 天'!P$5="午餐",'第 6 天'!P$5="晚餐"),'第 6 天'!P67,0))</f>
        <v>0</v>
      </c>
      <c r="D167" s="14" t="n">
        <f aca="false">SUM(IF(OR('第 6 天'!D$5="油錢"),'第 6 天'!D67,0),IF(OR('第 6 天'!F$5="油錢"),'第 6 天'!F67,0),IF(OR('第 6 天'!H$5="油錢"),'第 6 天'!H67,0),IF(OR('第 6 天'!J$5="油錢"),'第 6 天'!J67,0),IF(OR('第 6 天'!L$5="油錢"),'第 6 天'!L67,0),IF(OR('第 6 天'!N$5="油錢"),'第 6 天'!N67,0),IF(OR('第 6 天'!P$5="油錢"),'第 6 天'!P67,0))</f>
        <v>0</v>
      </c>
      <c r="E167" s="14" t="n">
        <f aca="false">SUM(IF(OR('第 6 天'!D$5="租車費"),'第 6 天'!D67,0),IF(OR('第 6 天'!F$5="租車費"),'第 6 天'!F67,0),IF(OR('第 6 天'!H$5="租車費"),'第 6 天'!H67,0),IF(OR('第 6 天'!J$5="租車費"),'第 6 天'!J67,0),IF(OR('第 6 天'!L$5="租車費"),'第 6 天'!L67,0),IF(OR('第 6 天'!N$5="租車費"),'第 6 天'!N67,0),IF(OR('第 6 天'!P$5="租車費"),'第 6 天'!P67,0))</f>
        <v>0</v>
      </c>
      <c r="F167" s="14" t="n">
        <f aca="false">SUM(IF(OR('第 6 天'!D$5="停車費",'第 6 天'!D$5="其他"),'第 6 天'!D67,0),IF(OR('第 6 天'!F$5="停車費",'第 6 天'!F$5="其他"),'第 6 天'!F67,0),IF(OR('第 6 天'!H$5="停車費",'第 6 天'!H$5="其他"),'第 6 天'!H67,0),IF(OR('第 6 天'!J$5="停車費",'第 6 天'!J$5="其他"),'第 6 天'!J67,0),IF(OR('第 6 天'!L$5="停車費",'第 6 天'!L$5="其他"),'第 6 天'!L67,0),IF(OR('第 6 天'!N$5="停車費",'第 6 天'!N$5="其他"),'第 6 天'!N67,0),IF(OR('第 6 天'!P$5="停車費",'第 6 天'!P$5="其他"),'第 6 天'!P67,0))</f>
        <v>0</v>
      </c>
      <c r="G167" s="14" t="n">
        <f aca="false">SUM(C167:F167)</f>
        <v>0</v>
      </c>
      <c r="H167" s="14" t="n">
        <f aca="false">IF(LEN(TRIM(成員名單!$B20))=0,0,SUM(IF('第 6 天'!D$7=$B167,'第 6 天'!D46,0),IF('第 6 天'!F$7=$B167,'第 6 天'!F46,0),IF('第 6 天'!H$7=$B167,'第 6 天'!H46,0),IF('第 6 天'!J$7=$B167,'第 6 天'!J46,0),IF('第 6 天'!L$7=$B167,'第 6 天'!L46,0),IF('第 6 天'!N$7=$B167,'第 6 天'!N46,0),IF('第 6 天'!P$7=$B167,'第 6 天'!P46,0)))</f>
        <v>0</v>
      </c>
    </row>
    <row r="168" customFormat="false" ht="15" hidden="false" customHeight="false" outlineLevel="0" collapsed="false">
      <c r="A168" s="13" t="s">
        <v>125</v>
      </c>
      <c r="B168" s="13" t="s">
        <v>34</v>
      </c>
      <c r="C168" s="14" t="n">
        <f aca="false">SUM(IF(OR('第 6 天'!D$5="早餐",'第 6 天'!D$5="午餐",'第 6 天'!D$5="晚餐"),'第 6 天'!D68,0),IF(OR('第 6 天'!F$5="早餐",'第 6 天'!F$5="午餐",'第 6 天'!F$5="晚餐"),'第 6 天'!F68,0),IF(OR('第 6 天'!H$5="早餐",'第 6 天'!H$5="午餐",'第 6 天'!H$5="晚餐"),'第 6 天'!H68,0),IF(OR('第 6 天'!J$5="早餐",'第 6 天'!J$5="午餐",'第 6 天'!J$5="晚餐"),'第 6 天'!J68,0),IF(OR('第 6 天'!L$5="早餐",'第 6 天'!L$5="午餐",'第 6 天'!L$5="晚餐"),'第 6 天'!L68,0),IF(OR('第 6 天'!N$5="早餐",'第 6 天'!N$5="午餐",'第 6 天'!N$5="晚餐"),'第 6 天'!N68,0),IF(OR('第 6 天'!P$5="早餐",'第 6 天'!P$5="午餐",'第 6 天'!P$5="晚餐"),'第 6 天'!P68,0))</f>
        <v>0</v>
      </c>
      <c r="D168" s="14" t="n">
        <f aca="false">SUM(IF(OR('第 6 天'!D$5="油錢"),'第 6 天'!D68,0),IF(OR('第 6 天'!F$5="油錢"),'第 6 天'!F68,0),IF(OR('第 6 天'!H$5="油錢"),'第 6 天'!H68,0),IF(OR('第 6 天'!J$5="油錢"),'第 6 天'!J68,0),IF(OR('第 6 天'!L$5="油錢"),'第 6 天'!L68,0),IF(OR('第 6 天'!N$5="油錢"),'第 6 天'!N68,0),IF(OR('第 6 天'!P$5="油錢"),'第 6 天'!P68,0))</f>
        <v>0</v>
      </c>
      <c r="E168" s="14" t="n">
        <f aca="false">SUM(IF(OR('第 6 天'!D$5="租車費"),'第 6 天'!D68,0),IF(OR('第 6 天'!F$5="租車費"),'第 6 天'!F68,0),IF(OR('第 6 天'!H$5="租車費"),'第 6 天'!H68,0),IF(OR('第 6 天'!J$5="租車費"),'第 6 天'!J68,0),IF(OR('第 6 天'!L$5="租車費"),'第 6 天'!L68,0),IF(OR('第 6 天'!N$5="租車費"),'第 6 天'!N68,0),IF(OR('第 6 天'!P$5="租車費"),'第 6 天'!P68,0))</f>
        <v>0</v>
      </c>
      <c r="F168" s="14" t="n">
        <f aca="false">SUM(IF(OR('第 6 天'!D$5="停車費",'第 6 天'!D$5="其他"),'第 6 天'!D68,0),IF(OR('第 6 天'!F$5="停車費",'第 6 天'!F$5="其他"),'第 6 天'!F68,0),IF(OR('第 6 天'!H$5="停車費",'第 6 天'!H$5="其他"),'第 6 天'!H68,0),IF(OR('第 6 天'!J$5="停車費",'第 6 天'!J$5="其他"),'第 6 天'!J68,0),IF(OR('第 6 天'!L$5="停車費",'第 6 天'!L$5="其他"),'第 6 天'!L68,0),IF(OR('第 6 天'!N$5="停車費",'第 6 天'!N$5="其他"),'第 6 天'!N68,0),IF(OR('第 6 天'!P$5="停車費",'第 6 天'!P$5="其他"),'第 6 天'!P68,0))</f>
        <v>0</v>
      </c>
      <c r="G168" s="14" t="n">
        <f aca="false">SUM(C168:F168)</f>
        <v>0</v>
      </c>
      <c r="H168" s="14" t="n">
        <f aca="false">IF(LEN(TRIM(成員名單!$B21))=0,0,SUM(IF('第 6 天'!D$7=$B168,'第 6 天'!D46,0),IF('第 6 天'!F$7=$B168,'第 6 天'!F46,0),IF('第 6 天'!H$7=$B168,'第 6 天'!H46,0),IF('第 6 天'!J$7=$B168,'第 6 天'!J46,0),IF('第 6 天'!L$7=$B168,'第 6 天'!L46,0),IF('第 6 天'!N$7=$B168,'第 6 天'!N46,0),IF('第 6 天'!P$7=$B168,'第 6 天'!P46,0)))</f>
        <v>0</v>
      </c>
    </row>
    <row r="169" customFormat="false" ht="15" hidden="false" customHeight="false" outlineLevel="0" collapsed="false">
      <c r="A169" s="13" t="s">
        <v>125</v>
      </c>
      <c r="B169" s="13" t="s">
        <v>35</v>
      </c>
      <c r="C169" s="14" t="n">
        <f aca="false">SUM(IF(OR('第 6 天'!D$5="早餐",'第 6 天'!D$5="午餐",'第 6 天'!D$5="晚餐"),'第 6 天'!D69,0),IF(OR('第 6 天'!F$5="早餐",'第 6 天'!F$5="午餐",'第 6 天'!F$5="晚餐"),'第 6 天'!F69,0),IF(OR('第 6 天'!H$5="早餐",'第 6 天'!H$5="午餐",'第 6 天'!H$5="晚餐"),'第 6 天'!H69,0),IF(OR('第 6 天'!J$5="早餐",'第 6 天'!J$5="午餐",'第 6 天'!J$5="晚餐"),'第 6 天'!J69,0),IF(OR('第 6 天'!L$5="早餐",'第 6 天'!L$5="午餐",'第 6 天'!L$5="晚餐"),'第 6 天'!L69,0),IF(OR('第 6 天'!N$5="早餐",'第 6 天'!N$5="午餐",'第 6 天'!N$5="晚餐"),'第 6 天'!N69,0),IF(OR('第 6 天'!P$5="早餐",'第 6 天'!P$5="午餐",'第 6 天'!P$5="晚餐"),'第 6 天'!P69,0))</f>
        <v>0</v>
      </c>
      <c r="D169" s="14" t="n">
        <f aca="false">SUM(IF(OR('第 6 天'!D$5="油錢"),'第 6 天'!D69,0),IF(OR('第 6 天'!F$5="油錢"),'第 6 天'!F69,0),IF(OR('第 6 天'!H$5="油錢"),'第 6 天'!H69,0),IF(OR('第 6 天'!J$5="油錢"),'第 6 天'!J69,0),IF(OR('第 6 天'!L$5="油錢"),'第 6 天'!L69,0),IF(OR('第 6 天'!N$5="油錢"),'第 6 天'!N69,0),IF(OR('第 6 天'!P$5="油錢"),'第 6 天'!P69,0))</f>
        <v>0</v>
      </c>
      <c r="E169" s="14" t="n">
        <f aca="false">SUM(IF(OR('第 6 天'!D$5="租車費"),'第 6 天'!D69,0),IF(OR('第 6 天'!F$5="租車費"),'第 6 天'!F69,0),IF(OR('第 6 天'!H$5="租車費"),'第 6 天'!H69,0),IF(OR('第 6 天'!J$5="租車費"),'第 6 天'!J69,0),IF(OR('第 6 天'!L$5="租車費"),'第 6 天'!L69,0),IF(OR('第 6 天'!N$5="租車費"),'第 6 天'!N69,0),IF(OR('第 6 天'!P$5="租車費"),'第 6 天'!P69,0))</f>
        <v>0</v>
      </c>
      <c r="F169" s="14" t="n">
        <f aca="false">SUM(IF(OR('第 6 天'!D$5="停車費",'第 6 天'!D$5="其他"),'第 6 天'!D69,0),IF(OR('第 6 天'!F$5="停車費",'第 6 天'!F$5="其他"),'第 6 天'!F69,0),IF(OR('第 6 天'!H$5="停車費",'第 6 天'!H$5="其他"),'第 6 天'!H69,0),IF(OR('第 6 天'!J$5="停車費",'第 6 天'!J$5="其他"),'第 6 天'!J69,0),IF(OR('第 6 天'!L$5="停車費",'第 6 天'!L$5="其他"),'第 6 天'!L69,0),IF(OR('第 6 天'!N$5="停車費",'第 6 天'!N$5="其他"),'第 6 天'!N69,0),IF(OR('第 6 天'!P$5="停車費",'第 6 天'!P$5="其他"),'第 6 天'!P69,0))</f>
        <v>0</v>
      </c>
      <c r="G169" s="14" t="n">
        <f aca="false">SUM(C169:F169)</f>
        <v>0</v>
      </c>
      <c r="H169" s="14" t="n">
        <f aca="false">IF(LEN(TRIM(成員名單!$B22))=0,0,SUM(IF('第 6 天'!D$7=$B169,'第 6 天'!D46,0),IF('第 6 天'!F$7=$B169,'第 6 天'!F46,0),IF('第 6 天'!H$7=$B169,'第 6 天'!H46,0),IF('第 6 天'!J$7=$B169,'第 6 天'!J46,0),IF('第 6 天'!L$7=$B169,'第 6 天'!L46,0),IF('第 6 天'!N$7=$B169,'第 6 天'!N46,0),IF('第 6 天'!P$7=$B169,'第 6 天'!P46,0)))</f>
        <v>0</v>
      </c>
    </row>
    <row r="170" customFormat="false" ht="15" hidden="false" customHeight="false" outlineLevel="0" collapsed="false">
      <c r="A170" s="13" t="s">
        <v>125</v>
      </c>
      <c r="B170" s="13" t="s">
        <v>36</v>
      </c>
      <c r="C170" s="14" t="n">
        <f aca="false">SUM(IF(OR('第 6 天'!D$5="早餐",'第 6 天'!D$5="午餐",'第 6 天'!D$5="晚餐"),'第 6 天'!D70,0),IF(OR('第 6 天'!F$5="早餐",'第 6 天'!F$5="午餐",'第 6 天'!F$5="晚餐"),'第 6 天'!F70,0),IF(OR('第 6 天'!H$5="早餐",'第 6 天'!H$5="午餐",'第 6 天'!H$5="晚餐"),'第 6 天'!H70,0),IF(OR('第 6 天'!J$5="早餐",'第 6 天'!J$5="午餐",'第 6 天'!J$5="晚餐"),'第 6 天'!J70,0),IF(OR('第 6 天'!L$5="早餐",'第 6 天'!L$5="午餐",'第 6 天'!L$5="晚餐"),'第 6 天'!L70,0),IF(OR('第 6 天'!N$5="早餐",'第 6 天'!N$5="午餐",'第 6 天'!N$5="晚餐"),'第 6 天'!N70,0),IF(OR('第 6 天'!P$5="早餐",'第 6 天'!P$5="午餐",'第 6 天'!P$5="晚餐"),'第 6 天'!P70,0))</f>
        <v>0</v>
      </c>
      <c r="D170" s="14" t="n">
        <f aca="false">SUM(IF(OR('第 6 天'!D$5="油錢"),'第 6 天'!D70,0),IF(OR('第 6 天'!F$5="油錢"),'第 6 天'!F70,0),IF(OR('第 6 天'!H$5="油錢"),'第 6 天'!H70,0),IF(OR('第 6 天'!J$5="油錢"),'第 6 天'!J70,0),IF(OR('第 6 天'!L$5="油錢"),'第 6 天'!L70,0),IF(OR('第 6 天'!N$5="油錢"),'第 6 天'!N70,0),IF(OR('第 6 天'!P$5="油錢"),'第 6 天'!P70,0))</f>
        <v>0</v>
      </c>
      <c r="E170" s="14" t="n">
        <f aca="false">SUM(IF(OR('第 6 天'!D$5="租車費"),'第 6 天'!D70,0),IF(OR('第 6 天'!F$5="租車費"),'第 6 天'!F70,0),IF(OR('第 6 天'!H$5="租車費"),'第 6 天'!H70,0),IF(OR('第 6 天'!J$5="租車費"),'第 6 天'!J70,0),IF(OR('第 6 天'!L$5="租車費"),'第 6 天'!L70,0),IF(OR('第 6 天'!N$5="租車費"),'第 6 天'!N70,0),IF(OR('第 6 天'!P$5="租車費"),'第 6 天'!P70,0))</f>
        <v>0</v>
      </c>
      <c r="F170" s="14" t="n">
        <f aca="false">SUM(IF(OR('第 6 天'!D$5="停車費",'第 6 天'!D$5="其他"),'第 6 天'!D70,0),IF(OR('第 6 天'!F$5="停車費",'第 6 天'!F$5="其他"),'第 6 天'!F70,0),IF(OR('第 6 天'!H$5="停車費",'第 6 天'!H$5="其他"),'第 6 天'!H70,0),IF(OR('第 6 天'!J$5="停車費",'第 6 天'!J$5="其他"),'第 6 天'!J70,0),IF(OR('第 6 天'!L$5="停車費",'第 6 天'!L$5="其他"),'第 6 天'!L70,0),IF(OR('第 6 天'!N$5="停車費",'第 6 天'!N$5="其他"),'第 6 天'!N70,0),IF(OR('第 6 天'!P$5="停車費",'第 6 天'!P$5="其他"),'第 6 天'!P70,0))</f>
        <v>0</v>
      </c>
      <c r="G170" s="14" t="n">
        <f aca="false">SUM(C170:F170)</f>
        <v>0</v>
      </c>
      <c r="H170" s="14" t="n">
        <f aca="false">IF(LEN(TRIM(成員名單!$B23))=0,0,SUM(IF('第 6 天'!D$7=$B170,'第 6 天'!D46,0),IF('第 6 天'!F$7=$B170,'第 6 天'!F46,0),IF('第 6 天'!H$7=$B170,'第 6 天'!H46,0),IF('第 6 天'!J$7=$B170,'第 6 天'!J46,0),IF('第 6 天'!L$7=$B170,'第 6 天'!L46,0),IF('第 6 天'!N$7=$B170,'第 6 天'!N46,0),IF('第 6 天'!P$7=$B170,'第 6 天'!P46,0)))</f>
        <v>0</v>
      </c>
    </row>
    <row r="171" customFormat="false" ht="15" hidden="false" customHeight="false" outlineLevel="0" collapsed="false">
      <c r="A171" s="13" t="s">
        <v>125</v>
      </c>
      <c r="B171" s="13" t="s">
        <v>37</v>
      </c>
      <c r="C171" s="14" t="n">
        <f aca="false">SUM(IF(OR('第 6 天'!D$5="早餐",'第 6 天'!D$5="午餐",'第 6 天'!D$5="晚餐"),'第 6 天'!D71,0),IF(OR('第 6 天'!F$5="早餐",'第 6 天'!F$5="午餐",'第 6 天'!F$5="晚餐"),'第 6 天'!F71,0),IF(OR('第 6 天'!H$5="早餐",'第 6 天'!H$5="午餐",'第 6 天'!H$5="晚餐"),'第 6 天'!H71,0),IF(OR('第 6 天'!J$5="早餐",'第 6 天'!J$5="午餐",'第 6 天'!J$5="晚餐"),'第 6 天'!J71,0),IF(OR('第 6 天'!L$5="早餐",'第 6 天'!L$5="午餐",'第 6 天'!L$5="晚餐"),'第 6 天'!L71,0),IF(OR('第 6 天'!N$5="早餐",'第 6 天'!N$5="午餐",'第 6 天'!N$5="晚餐"),'第 6 天'!N71,0),IF(OR('第 6 天'!P$5="早餐",'第 6 天'!P$5="午餐",'第 6 天'!P$5="晚餐"),'第 6 天'!P71,0))</f>
        <v>0</v>
      </c>
      <c r="D171" s="14" t="n">
        <f aca="false">SUM(IF(OR('第 6 天'!D$5="油錢"),'第 6 天'!D71,0),IF(OR('第 6 天'!F$5="油錢"),'第 6 天'!F71,0),IF(OR('第 6 天'!H$5="油錢"),'第 6 天'!H71,0),IF(OR('第 6 天'!J$5="油錢"),'第 6 天'!J71,0),IF(OR('第 6 天'!L$5="油錢"),'第 6 天'!L71,0),IF(OR('第 6 天'!N$5="油錢"),'第 6 天'!N71,0),IF(OR('第 6 天'!P$5="油錢"),'第 6 天'!P71,0))</f>
        <v>0</v>
      </c>
      <c r="E171" s="14" t="n">
        <f aca="false">SUM(IF(OR('第 6 天'!D$5="租車費"),'第 6 天'!D71,0),IF(OR('第 6 天'!F$5="租車費"),'第 6 天'!F71,0),IF(OR('第 6 天'!H$5="租車費"),'第 6 天'!H71,0),IF(OR('第 6 天'!J$5="租車費"),'第 6 天'!J71,0),IF(OR('第 6 天'!L$5="租車費"),'第 6 天'!L71,0),IF(OR('第 6 天'!N$5="租車費"),'第 6 天'!N71,0),IF(OR('第 6 天'!P$5="租車費"),'第 6 天'!P71,0))</f>
        <v>0</v>
      </c>
      <c r="F171" s="14" t="n">
        <f aca="false">SUM(IF(OR('第 6 天'!D$5="停車費",'第 6 天'!D$5="其他"),'第 6 天'!D71,0),IF(OR('第 6 天'!F$5="停車費",'第 6 天'!F$5="其他"),'第 6 天'!F71,0),IF(OR('第 6 天'!H$5="停車費",'第 6 天'!H$5="其他"),'第 6 天'!H71,0),IF(OR('第 6 天'!J$5="停車費",'第 6 天'!J$5="其他"),'第 6 天'!J71,0),IF(OR('第 6 天'!L$5="停車費",'第 6 天'!L$5="其他"),'第 6 天'!L71,0),IF(OR('第 6 天'!N$5="停車費",'第 6 天'!N$5="其他"),'第 6 天'!N71,0),IF(OR('第 6 天'!P$5="停車費",'第 6 天'!P$5="其他"),'第 6 天'!P71,0))</f>
        <v>0</v>
      </c>
      <c r="G171" s="14" t="n">
        <f aca="false">SUM(C171:F171)</f>
        <v>0</v>
      </c>
      <c r="H171" s="14" t="n">
        <f aca="false">IF(LEN(TRIM(成員名單!$B24))=0,0,SUM(IF('第 6 天'!D$7=$B171,'第 6 天'!D46,0),IF('第 6 天'!F$7=$B171,'第 6 天'!F46,0),IF('第 6 天'!H$7=$B171,'第 6 天'!H46,0),IF('第 6 天'!J$7=$B171,'第 6 天'!J46,0),IF('第 6 天'!L$7=$B171,'第 6 天'!L46,0),IF('第 6 天'!N$7=$B171,'第 6 天'!N46,0),IF('第 6 天'!P$7=$B171,'第 6 天'!P46,0)))</f>
        <v>0</v>
      </c>
    </row>
    <row r="172" customFormat="false" ht="15" hidden="false" customHeight="false" outlineLevel="0" collapsed="false">
      <c r="A172" s="13" t="s">
        <v>125</v>
      </c>
      <c r="B172" s="13" t="s">
        <v>38</v>
      </c>
      <c r="C172" s="14" t="n">
        <f aca="false">SUM(IF(OR('第 6 天'!D$5="早餐",'第 6 天'!D$5="午餐",'第 6 天'!D$5="晚餐"),'第 6 天'!D72,0),IF(OR('第 6 天'!F$5="早餐",'第 6 天'!F$5="午餐",'第 6 天'!F$5="晚餐"),'第 6 天'!F72,0),IF(OR('第 6 天'!H$5="早餐",'第 6 天'!H$5="午餐",'第 6 天'!H$5="晚餐"),'第 6 天'!H72,0),IF(OR('第 6 天'!J$5="早餐",'第 6 天'!J$5="午餐",'第 6 天'!J$5="晚餐"),'第 6 天'!J72,0),IF(OR('第 6 天'!L$5="早餐",'第 6 天'!L$5="午餐",'第 6 天'!L$5="晚餐"),'第 6 天'!L72,0),IF(OR('第 6 天'!N$5="早餐",'第 6 天'!N$5="午餐",'第 6 天'!N$5="晚餐"),'第 6 天'!N72,0),IF(OR('第 6 天'!P$5="早餐",'第 6 天'!P$5="午餐",'第 6 天'!P$5="晚餐"),'第 6 天'!P72,0))</f>
        <v>0</v>
      </c>
      <c r="D172" s="14" t="n">
        <f aca="false">SUM(IF(OR('第 6 天'!D$5="油錢"),'第 6 天'!D72,0),IF(OR('第 6 天'!F$5="油錢"),'第 6 天'!F72,0),IF(OR('第 6 天'!H$5="油錢"),'第 6 天'!H72,0),IF(OR('第 6 天'!J$5="油錢"),'第 6 天'!J72,0),IF(OR('第 6 天'!L$5="油錢"),'第 6 天'!L72,0),IF(OR('第 6 天'!N$5="油錢"),'第 6 天'!N72,0),IF(OR('第 6 天'!P$5="油錢"),'第 6 天'!P72,0))</f>
        <v>0</v>
      </c>
      <c r="E172" s="14" t="n">
        <f aca="false">SUM(IF(OR('第 6 天'!D$5="租車費"),'第 6 天'!D72,0),IF(OR('第 6 天'!F$5="租車費"),'第 6 天'!F72,0),IF(OR('第 6 天'!H$5="租車費"),'第 6 天'!H72,0),IF(OR('第 6 天'!J$5="租車費"),'第 6 天'!J72,0),IF(OR('第 6 天'!L$5="租車費"),'第 6 天'!L72,0),IF(OR('第 6 天'!N$5="租車費"),'第 6 天'!N72,0),IF(OR('第 6 天'!P$5="租車費"),'第 6 天'!P72,0))</f>
        <v>0</v>
      </c>
      <c r="F172" s="14" t="n">
        <f aca="false">SUM(IF(OR('第 6 天'!D$5="停車費",'第 6 天'!D$5="其他"),'第 6 天'!D72,0),IF(OR('第 6 天'!F$5="停車費",'第 6 天'!F$5="其他"),'第 6 天'!F72,0),IF(OR('第 6 天'!H$5="停車費",'第 6 天'!H$5="其他"),'第 6 天'!H72,0),IF(OR('第 6 天'!J$5="停車費",'第 6 天'!J$5="其他"),'第 6 天'!J72,0),IF(OR('第 6 天'!L$5="停車費",'第 6 天'!L$5="其他"),'第 6 天'!L72,0),IF(OR('第 6 天'!N$5="停車費",'第 6 天'!N$5="其他"),'第 6 天'!N72,0),IF(OR('第 6 天'!P$5="停車費",'第 6 天'!P$5="其他"),'第 6 天'!P72,0))</f>
        <v>0</v>
      </c>
      <c r="G172" s="14" t="n">
        <f aca="false">SUM(C172:F172)</f>
        <v>0</v>
      </c>
      <c r="H172" s="14" t="n">
        <f aca="false">IF(LEN(TRIM(成員名單!$B25))=0,0,SUM(IF('第 6 天'!D$7=$B172,'第 6 天'!D46,0),IF('第 6 天'!F$7=$B172,'第 6 天'!F46,0),IF('第 6 天'!H$7=$B172,'第 6 天'!H46,0),IF('第 6 天'!J$7=$B172,'第 6 天'!J46,0),IF('第 6 天'!L$7=$B172,'第 6 天'!L46,0),IF('第 6 天'!N$7=$B172,'第 6 天'!N46,0),IF('第 6 天'!P$7=$B172,'第 6 天'!P46,0)))</f>
        <v>0</v>
      </c>
    </row>
    <row r="173" customFormat="false" ht="15" hidden="false" customHeight="false" outlineLevel="0" collapsed="false">
      <c r="A173" s="13" t="s">
        <v>125</v>
      </c>
      <c r="B173" s="13" t="s">
        <v>39</v>
      </c>
      <c r="C173" s="14" t="n">
        <f aca="false">SUM(IF(OR('第 6 天'!D$5="早餐",'第 6 天'!D$5="午餐",'第 6 天'!D$5="晚餐"),'第 6 天'!D73,0),IF(OR('第 6 天'!F$5="早餐",'第 6 天'!F$5="午餐",'第 6 天'!F$5="晚餐"),'第 6 天'!F73,0),IF(OR('第 6 天'!H$5="早餐",'第 6 天'!H$5="午餐",'第 6 天'!H$5="晚餐"),'第 6 天'!H73,0),IF(OR('第 6 天'!J$5="早餐",'第 6 天'!J$5="午餐",'第 6 天'!J$5="晚餐"),'第 6 天'!J73,0),IF(OR('第 6 天'!L$5="早餐",'第 6 天'!L$5="午餐",'第 6 天'!L$5="晚餐"),'第 6 天'!L73,0),IF(OR('第 6 天'!N$5="早餐",'第 6 天'!N$5="午餐",'第 6 天'!N$5="晚餐"),'第 6 天'!N73,0),IF(OR('第 6 天'!P$5="早餐",'第 6 天'!P$5="午餐",'第 6 天'!P$5="晚餐"),'第 6 天'!P73,0))</f>
        <v>0</v>
      </c>
      <c r="D173" s="14" t="n">
        <f aca="false">SUM(IF(OR('第 6 天'!D$5="油錢"),'第 6 天'!D73,0),IF(OR('第 6 天'!F$5="油錢"),'第 6 天'!F73,0),IF(OR('第 6 天'!H$5="油錢"),'第 6 天'!H73,0),IF(OR('第 6 天'!J$5="油錢"),'第 6 天'!J73,0),IF(OR('第 6 天'!L$5="油錢"),'第 6 天'!L73,0),IF(OR('第 6 天'!N$5="油錢"),'第 6 天'!N73,0),IF(OR('第 6 天'!P$5="油錢"),'第 6 天'!P73,0))</f>
        <v>0</v>
      </c>
      <c r="E173" s="14" t="n">
        <f aca="false">SUM(IF(OR('第 6 天'!D$5="租車費"),'第 6 天'!D73,0),IF(OR('第 6 天'!F$5="租車費"),'第 6 天'!F73,0),IF(OR('第 6 天'!H$5="租車費"),'第 6 天'!H73,0),IF(OR('第 6 天'!J$5="租車費"),'第 6 天'!J73,0),IF(OR('第 6 天'!L$5="租車費"),'第 6 天'!L73,0),IF(OR('第 6 天'!N$5="租車費"),'第 6 天'!N73,0),IF(OR('第 6 天'!P$5="租車費"),'第 6 天'!P73,0))</f>
        <v>0</v>
      </c>
      <c r="F173" s="14" t="n">
        <f aca="false">SUM(IF(OR('第 6 天'!D$5="停車費",'第 6 天'!D$5="其他"),'第 6 天'!D73,0),IF(OR('第 6 天'!F$5="停車費",'第 6 天'!F$5="其他"),'第 6 天'!F73,0),IF(OR('第 6 天'!H$5="停車費",'第 6 天'!H$5="其他"),'第 6 天'!H73,0),IF(OR('第 6 天'!J$5="停車費",'第 6 天'!J$5="其他"),'第 6 天'!J73,0),IF(OR('第 6 天'!L$5="停車費",'第 6 天'!L$5="其他"),'第 6 天'!L73,0),IF(OR('第 6 天'!N$5="停車費",'第 6 天'!N$5="其他"),'第 6 天'!N73,0),IF(OR('第 6 天'!P$5="停車費",'第 6 天'!P$5="其他"),'第 6 天'!P73,0))</f>
        <v>0</v>
      </c>
      <c r="G173" s="14" t="n">
        <f aca="false">SUM(C173:F173)</f>
        <v>0</v>
      </c>
      <c r="H173" s="14" t="n">
        <f aca="false">IF(LEN(TRIM(成員名單!$B26))=0,0,SUM(IF('第 6 天'!D$7=$B173,'第 6 天'!D46,0),IF('第 6 天'!F$7=$B173,'第 6 天'!F46,0),IF('第 6 天'!H$7=$B173,'第 6 天'!H46,0),IF('第 6 天'!J$7=$B173,'第 6 天'!J46,0),IF('第 6 天'!L$7=$B173,'第 6 天'!L46,0),IF('第 6 天'!N$7=$B173,'第 6 天'!N46,0),IF('第 6 天'!P$7=$B173,'第 6 天'!P46,0)))</f>
        <v>0</v>
      </c>
    </row>
    <row r="174" customFormat="false" ht="15" hidden="false" customHeight="false" outlineLevel="0" collapsed="false">
      <c r="A174" s="13" t="s">
        <v>125</v>
      </c>
      <c r="B174" s="13" t="s">
        <v>40</v>
      </c>
      <c r="C174" s="14" t="n">
        <f aca="false">SUM(IF(OR('第 6 天'!D$5="早餐",'第 6 天'!D$5="午餐",'第 6 天'!D$5="晚餐"),'第 6 天'!D74,0),IF(OR('第 6 天'!F$5="早餐",'第 6 天'!F$5="午餐",'第 6 天'!F$5="晚餐"),'第 6 天'!F74,0),IF(OR('第 6 天'!H$5="早餐",'第 6 天'!H$5="午餐",'第 6 天'!H$5="晚餐"),'第 6 天'!H74,0),IF(OR('第 6 天'!J$5="早餐",'第 6 天'!J$5="午餐",'第 6 天'!J$5="晚餐"),'第 6 天'!J74,0),IF(OR('第 6 天'!L$5="早餐",'第 6 天'!L$5="午餐",'第 6 天'!L$5="晚餐"),'第 6 天'!L74,0),IF(OR('第 6 天'!N$5="早餐",'第 6 天'!N$5="午餐",'第 6 天'!N$5="晚餐"),'第 6 天'!N74,0),IF(OR('第 6 天'!P$5="早餐",'第 6 天'!P$5="午餐",'第 6 天'!P$5="晚餐"),'第 6 天'!P74,0))</f>
        <v>0</v>
      </c>
      <c r="D174" s="14" t="n">
        <f aca="false">SUM(IF(OR('第 6 天'!D$5="油錢"),'第 6 天'!D74,0),IF(OR('第 6 天'!F$5="油錢"),'第 6 天'!F74,0),IF(OR('第 6 天'!H$5="油錢"),'第 6 天'!H74,0),IF(OR('第 6 天'!J$5="油錢"),'第 6 天'!J74,0),IF(OR('第 6 天'!L$5="油錢"),'第 6 天'!L74,0),IF(OR('第 6 天'!N$5="油錢"),'第 6 天'!N74,0),IF(OR('第 6 天'!P$5="油錢"),'第 6 天'!P74,0))</f>
        <v>0</v>
      </c>
      <c r="E174" s="14" t="n">
        <f aca="false">SUM(IF(OR('第 6 天'!D$5="租車費"),'第 6 天'!D74,0),IF(OR('第 6 天'!F$5="租車費"),'第 6 天'!F74,0),IF(OR('第 6 天'!H$5="租車費"),'第 6 天'!H74,0),IF(OR('第 6 天'!J$5="租車費"),'第 6 天'!J74,0),IF(OR('第 6 天'!L$5="租車費"),'第 6 天'!L74,0),IF(OR('第 6 天'!N$5="租車費"),'第 6 天'!N74,0),IF(OR('第 6 天'!P$5="租車費"),'第 6 天'!P74,0))</f>
        <v>0</v>
      </c>
      <c r="F174" s="14" t="n">
        <f aca="false">SUM(IF(OR('第 6 天'!D$5="停車費",'第 6 天'!D$5="其他"),'第 6 天'!D74,0),IF(OR('第 6 天'!F$5="停車費",'第 6 天'!F$5="其他"),'第 6 天'!F74,0),IF(OR('第 6 天'!H$5="停車費",'第 6 天'!H$5="其他"),'第 6 天'!H74,0),IF(OR('第 6 天'!J$5="停車費",'第 6 天'!J$5="其他"),'第 6 天'!J74,0),IF(OR('第 6 天'!L$5="停車費",'第 6 天'!L$5="其他"),'第 6 天'!L74,0),IF(OR('第 6 天'!N$5="停車費",'第 6 天'!N$5="其他"),'第 6 天'!N74,0),IF(OR('第 6 天'!P$5="停車費",'第 6 天'!P$5="其他"),'第 6 天'!P74,0))</f>
        <v>0</v>
      </c>
      <c r="G174" s="14" t="n">
        <f aca="false">SUM(C174:F174)</f>
        <v>0</v>
      </c>
      <c r="H174" s="14" t="n">
        <f aca="false">IF(LEN(TRIM(成員名單!$B27))=0,0,SUM(IF('第 6 天'!D$7=$B174,'第 6 天'!D46,0),IF('第 6 天'!F$7=$B174,'第 6 天'!F46,0),IF('第 6 天'!H$7=$B174,'第 6 天'!H46,0),IF('第 6 天'!J$7=$B174,'第 6 天'!J46,0),IF('第 6 天'!L$7=$B174,'第 6 天'!L46,0),IF('第 6 天'!N$7=$B174,'第 6 天'!N46,0),IF('第 6 天'!P$7=$B174,'第 6 天'!P46,0)))</f>
        <v>0</v>
      </c>
    </row>
    <row r="175" customFormat="false" ht="15" hidden="false" customHeight="false" outlineLevel="0" collapsed="false">
      <c r="A175" s="13" t="s">
        <v>125</v>
      </c>
      <c r="B175" s="13" t="s">
        <v>41</v>
      </c>
      <c r="C175" s="14" t="n">
        <f aca="false">SUM(IF(OR('第 6 天'!D$5="早餐",'第 6 天'!D$5="午餐",'第 6 天'!D$5="晚餐"),'第 6 天'!D75,0),IF(OR('第 6 天'!F$5="早餐",'第 6 天'!F$5="午餐",'第 6 天'!F$5="晚餐"),'第 6 天'!F75,0),IF(OR('第 6 天'!H$5="早餐",'第 6 天'!H$5="午餐",'第 6 天'!H$5="晚餐"),'第 6 天'!H75,0),IF(OR('第 6 天'!J$5="早餐",'第 6 天'!J$5="午餐",'第 6 天'!J$5="晚餐"),'第 6 天'!J75,0),IF(OR('第 6 天'!L$5="早餐",'第 6 天'!L$5="午餐",'第 6 天'!L$5="晚餐"),'第 6 天'!L75,0),IF(OR('第 6 天'!N$5="早餐",'第 6 天'!N$5="午餐",'第 6 天'!N$5="晚餐"),'第 6 天'!N75,0),IF(OR('第 6 天'!P$5="早餐",'第 6 天'!P$5="午餐",'第 6 天'!P$5="晚餐"),'第 6 天'!P75,0))</f>
        <v>0</v>
      </c>
      <c r="D175" s="14" t="n">
        <f aca="false">SUM(IF(OR('第 6 天'!D$5="油錢"),'第 6 天'!D75,0),IF(OR('第 6 天'!F$5="油錢"),'第 6 天'!F75,0),IF(OR('第 6 天'!H$5="油錢"),'第 6 天'!H75,0),IF(OR('第 6 天'!J$5="油錢"),'第 6 天'!J75,0),IF(OR('第 6 天'!L$5="油錢"),'第 6 天'!L75,0),IF(OR('第 6 天'!N$5="油錢"),'第 6 天'!N75,0),IF(OR('第 6 天'!P$5="油錢"),'第 6 天'!P75,0))</f>
        <v>0</v>
      </c>
      <c r="E175" s="14" t="n">
        <f aca="false">SUM(IF(OR('第 6 天'!D$5="租車費"),'第 6 天'!D75,0),IF(OR('第 6 天'!F$5="租車費"),'第 6 天'!F75,0),IF(OR('第 6 天'!H$5="租車費"),'第 6 天'!H75,0),IF(OR('第 6 天'!J$5="租車費"),'第 6 天'!J75,0),IF(OR('第 6 天'!L$5="租車費"),'第 6 天'!L75,0),IF(OR('第 6 天'!N$5="租車費"),'第 6 天'!N75,0),IF(OR('第 6 天'!P$5="租車費"),'第 6 天'!P75,0))</f>
        <v>0</v>
      </c>
      <c r="F175" s="14" t="n">
        <f aca="false">SUM(IF(OR('第 6 天'!D$5="停車費",'第 6 天'!D$5="其他"),'第 6 天'!D75,0),IF(OR('第 6 天'!F$5="停車費",'第 6 天'!F$5="其他"),'第 6 天'!F75,0),IF(OR('第 6 天'!H$5="停車費",'第 6 天'!H$5="其他"),'第 6 天'!H75,0),IF(OR('第 6 天'!J$5="停車費",'第 6 天'!J$5="其他"),'第 6 天'!J75,0),IF(OR('第 6 天'!L$5="停車費",'第 6 天'!L$5="其他"),'第 6 天'!L75,0),IF(OR('第 6 天'!N$5="停車費",'第 6 天'!N$5="其他"),'第 6 天'!N75,0),IF(OR('第 6 天'!P$5="停車費",'第 6 天'!P$5="其他"),'第 6 天'!P75,0))</f>
        <v>0</v>
      </c>
      <c r="G175" s="14" t="n">
        <f aca="false">SUM(C175:F175)</f>
        <v>0</v>
      </c>
      <c r="H175" s="14" t="n">
        <f aca="false">IF(LEN(TRIM(成員名單!$B28))=0,0,SUM(IF('第 6 天'!D$7=$B175,'第 6 天'!D46,0),IF('第 6 天'!F$7=$B175,'第 6 天'!F46,0),IF('第 6 天'!H$7=$B175,'第 6 天'!H46,0),IF('第 6 天'!J$7=$B175,'第 6 天'!J46,0),IF('第 6 天'!L$7=$B175,'第 6 天'!L46,0),IF('第 6 天'!N$7=$B175,'第 6 天'!N46,0),IF('第 6 天'!P$7=$B175,'第 6 天'!P46,0)))</f>
        <v>0</v>
      </c>
    </row>
    <row r="176" customFormat="false" ht="15" hidden="false" customHeight="false" outlineLevel="0" collapsed="false">
      <c r="A176" s="13" t="s">
        <v>125</v>
      </c>
      <c r="B176" s="13" t="s">
        <v>42</v>
      </c>
      <c r="C176" s="14" t="n">
        <f aca="false">SUM(IF(OR('第 6 天'!D$5="早餐",'第 6 天'!D$5="午餐",'第 6 天'!D$5="晚餐"),'第 6 天'!D76,0),IF(OR('第 6 天'!F$5="早餐",'第 6 天'!F$5="午餐",'第 6 天'!F$5="晚餐"),'第 6 天'!F76,0),IF(OR('第 6 天'!H$5="早餐",'第 6 天'!H$5="午餐",'第 6 天'!H$5="晚餐"),'第 6 天'!H76,0),IF(OR('第 6 天'!J$5="早餐",'第 6 天'!J$5="午餐",'第 6 天'!J$5="晚餐"),'第 6 天'!J76,0),IF(OR('第 6 天'!L$5="早餐",'第 6 天'!L$5="午餐",'第 6 天'!L$5="晚餐"),'第 6 天'!L76,0),IF(OR('第 6 天'!N$5="早餐",'第 6 天'!N$5="午餐",'第 6 天'!N$5="晚餐"),'第 6 天'!N76,0),IF(OR('第 6 天'!P$5="早餐",'第 6 天'!P$5="午餐",'第 6 天'!P$5="晚餐"),'第 6 天'!P76,0))</f>
        <v>0</v>
      </c>
      <c r="D176" s="14" t="n">
        <f aca="false">SUM(IF(OR('第 6 天'!D$5="油錢"),'第 6 天'!D76,0),IF(OR('第 6 天'!F$5="油錢"),'第 6 天'!F76,0),IF(OR('第 6 天'!H$5="油錢"),'第 6 天'!H76,0),IF(OR('第 6 天'!J$5="油錢"),'第 6 天'!J76,0),IF(OR('第 6 天'!L$5="油錢"),'第 6 天'!L76,0),IF(OR('第 6 天'!N$5="油錢"),'第 6 天'!N76,0),IF(OR('第 6 天'!P$5="油錢"),'第 6 天'!P76,0))</f>
        <v>0</v>
      </c>
      <c r="E176" s="14" t="n">
        <f aca="false">SUM(IF(OR('第 6 天'!D$5="租車費"),'第 6 天'!D76,0),IF(OR('第 6 天'!F$5="租車費"),'第 6 天'!F76,0),IF(OR('第 6 天'!H$5="租車費"),'第 6 天'!H76,0),IF(OR('第 6 天'!J$5="租車費"),'第 6 天'!J76,0),IF(OR('第 6 天'!L$5="租車費"),'第 6 天'!L76,0),IF(OR('第 6 天'!N$5="租車費"),'第 6 天'!N76,0),IF(OR('第 6 天'!P$5="租車費"),'第 6 天'!P76,0))</f>
        <v>0</v>
      </c>
      <c r="F176" s="14" t="n">
        <f aca="false">SUM(IF(OR('第 6 天'!D$5="停車費",'第 6 天'!D$5="其他"),'第 6 天'!D76,0),IF(OR('第 6 天'!F$5="停車費",'第 6 天'!F$5="其他"),'第 6 天'!F76,0),IF(OR('第 6 天'!H$5="停車費",'第 6 天'!H$5="其他"),'第 6 天'!H76,0),IF(OR('第 6 天'!J$5="停車費",'第 6 天'!J$5="其他"),'第 6 天'!J76,0),IF(OR('第 6 天'!L$5="停車費",'第 6 天'!L$5="其他"),'第 6 天'!L76,0),IF(OR('第 6 天'!N$5="停車費",'第 6 天'!N$5="其他"),'第 6 天'!N76,0),IF(OR('第 6 天'!P$5="停車費",'第 6 天'!P$5="其他"),'第 6 天'!P76,0))</f>
        <v>0</v>
      </c>
      <c r="G176" s="14" t="n">
        <f aca="false">SUM(C176:F176)</f>
        <v>0</v>
      </c>
      <c r="H176" s="14" t="n">
        <f aca="false">IF(LEN(TRIM(成員名單!$B29))=0,0,SUM(IF('第 6 天'!D$7=$B176,'第 6 天'!D46,0),IF('第 6 天'!F$7=$B176,'第 6 天'!F46,0),IF('第 6 天'!H$7=$B176,'第 6 天'!H46,0),IF('第 6 天'!J$7=$B176,'第 6 天'!J46,0),IF('第 6 天'!L$7=$B176,'第 6 天'!L46,0),IF('第 6 天'!N$7=$B176,'第 6 天'!N46,0),IF('第 6 天'!P$7=$B176,'第 6 天'!P46,0)))</f>
        <v>0</v>
      </c>
    </row>
    <row r="177" customFormat="false" ht="15" hidden="false" customHeight="false" outlineLevel="0" collapsed="false">
      <c r="A177" s="13" t="s">
        <v>125</v>
      </c>
      <c r="B177" s="13" t="s">
        <v>43</v>
      </c>
      <c r="C177" s="14" t="n">
        <f aca="false">SUM(IF(OR('第 6 天'!D$5="早餐",'第 6 天'!D$5="午餐",'第 6 天'!D$5="晚餐"),'第 6 天'!D77,0),IF(OR('第 6 天'!F$5="早餐",'第 6 天'!F$5="午餐",'第 6 天'!F$5="晚餐"),'第 6 天'!F77,0),IF(OR('第 6 天'!H$5="早餐",'第 6 天'!H$5="午餐",'第 6 天'!H$5="晚餐"),'第 6 天'!H77,0),IF(OR('第 6 天'!J$5="早餐",'第 6 天'!J$5="午餐",'第 6 天'!J$5="晚餐"),'第 6 天'!J77,0),IF(OR('第 6 天'!L$5="早餐",'第 6 天'!L$5="午餐",'第 6 天'!L$5="晚餐"),'第 6 天'!L77,0),IF(OR('第 6 天'!N$5="早餐",'第 6 天'!N$5="午餐",'第 6 天'!N$5="晚餐"),'第 6 天'!N77,0),IF(OR('第 6 天'!P$5="早餐",'第 6 天'!P$5="午餐",'第 6 天'!P$5="晚餐"),'第 6 天'!P77,0))</f>
        <v>0</v>
      </c>
      <c r="D177" s="14" t="n">
        <f aca="false">SUM(IF(OR('第 6 天'!D$5="油錢"),'第 6 天'!D77,0),IF(OR('第 6 天'!F$5="油錢"),'第 6 天'!F77,0),IF(OR('第 6 天'!H$5="油錢"),'第 6 天'!H77,0),IF(OR('第 6 天'!J$5="油錢"),'第 6 天'!J77,0),IF(OR('第 6 天'!L$5="油錢"),'第 6 天'!L77,0),IF(OR('第 6 天'!N$5="油錢"),'第 6 天'!N77,0),IF(OR('第 6 天'!P$5="油錢"),'第 6 天'!P77,0))</f>
        <v>0</v>
      </c>
      <c r="E177" s="14" t="n">
        <f aca="false">SUM(IF(OR('第 6 天'!D$5="租車費"),'第 6 天'!D77,0),IF(OR('第 6 天'!F$5="租車費"),'第 6 天'!F77,0),IF(OR('第 6 天'!H$5="租車費"),'第 6 天'!H77,0),IF(OR('第 6 天'!J$5="租車費"),'第 6 天'!J77,0),IF(OR('第 6 天'!L$5="租車費"),'第 6 天'!L77,0),IF(OR('第 6 天'!N$5="租車費"),'第 6 天'!N77,0),IF(OR('第 6 天'!P$5="租車費"),'第 6 天'!P77,0))</f>
        <v>0</v>
      </c>
      <c r="F177" s="14" t="n">
        <f aca="false">SUM(IF(OR('第 6 天'!D$5="停車費",'第 6 天'!D$5="其他"),'第 6 天'!D77,0),IF(OR('第 6 天'!F$5="停車費",'第 6 天'!F$5="其他"),'第 6 天'!F77,0),IF(OR('第 6 天'!H$5="停車費",'第 6 天'!H$5="其他"),'第 6 天'!H77,0),IF(OR('第 6 天'!J$5="停車費",'第 6 天'!J$5="其他"),'第 6 天'!J77,0),IF(OR('第 6 天'!L$5="停車費",'第 6 天'!L$5="其他"),'第 6 天'!L77,0),IF(OR('第 6 天'!N$5="停車費",'第 6 天'!N$5="其他"),'第 6 天'!N77,0),IF(OR('第 6 天'!P$5="停車費",'第 6 天'!P$5="其他"),'第 6 天'!P77,0))</f>
        <v>0</v>
      </c>
      <c r="G177" s="14" t="n">
        <f aca="false">SUM(C177:F177)</f>
        <v>0</v>
      </c>
      <c r="H177" s="14" t="n">
        <f aca="false">IF(LEN(TRIM(成員名單!$B30))=0,0,SUM(IF('第 6 天'!D$7=$B177,'第 6 天'!D46,0),IF('第 6 天'!F$7=$B177,'第 6 天'!F46,0),IF('第 6 天'!H$7=$B177,'第 6 天'!H46,0),IF('第 6 天'!J$7=$B177,'第 6 天'!J46,0),IF('第 6 天'!L$7=$B177,'第 6 天'!L46,0),IF('第 6 天'!N$7=$B177,'第 6 天'!N46,0),IF('第 6 天'!P$7=$B177,'第 6 天'!P46,0)))</f>
        <v>0</v>
      </c>
    </row>
    <row r="178" customFormat="false" ht="15" hidden="false" customHeight="false" outlineLevel="0" collapsed="false">
      <c r="A178" s="13" t="s">
        <v>125</v>
      </c>
      <c r="B178" s="13" t="s">
        <v>44</v>
      </c>
      <c r="C178" s="14" t="n">
        <f aca="false">SUM(IF(OR('第 6 天'!D$5="早餐",'第 6 天'!D$5="午餐",'第 6 天'!D$5="晚餐"),'第 6 天'!D78,0),IF(OR('第 6 天'!F$5="早餐",'第 6 天'!F$5="午餐",'第 6 天'!F$5="晚餐"),'第 6 天'!F78,0),IF(OR('第 6 天'!H$5="早餐",'第 6 天'!H$5="午餐",'第 6 天'!H$5="晚餐"),'第 6 天'!H78,0),IF(OR('第 6 天'!J$5="早餐",'第 6 天'!J$5="午餐",'第 6 天'!J$5="晚餐"),'第 6 天'!J78,0),IF(OR('第 6 天'!L$5="早餐",'第 6 天'!L$5="午餐",'第 6 天'!L$5="晚餐"),'第 6 天'!L78,0),IF(OR('第 6 天'!N$5="早餐",'第 6 天'!N$5="午餐",'第 6 天'!N$5="晚餐"),'第 6 天'!N78,0),IF(OR('第 6 天'!P$5="早餐",'第 6 天'!P$5="午餐",'第 6 天'!P$5="晚餐"),'第 6 天'!P78,0))</f>
        <v>0</v>
      </c>
      <c r="D178" s="14" t="n">
        <f aca="false">SUM(IF(OR('第 6 天'!D$5="油錢"),'第 6 天'!D78,0),IF(OR('第 6 天'!F$5="油錢"),'第 6 天'!F78,0),IF(OR('第 6 天'!H$5="油錢"),'第 6 天'!H78,0),IF(OR('第 6 天'!J$5="油錢"),'第 6 天'!J78,0),IF(OR('第 6 天'!L$5="油錢"),'第 6 天'!L78,0),IF(OR('第 6 天'!N$5="油錢"),'第 6 天'!N78,0),IF(OR('第 6 天'!P$5="油錢"),'第 6 天'!P78,0))</f>
        <v>0</v>
      </c>
      <c r="E178" s="14" t="n">
        <f aca="false">SUM(IF(OR('第 6 天'!D$5="租車費"),'第 6 天'!D78,0),IF(OR('第 6 天'!F$5="租車費"),'第 6 天'!F78,0),IF(OR('第 6 天'!H$5="租車費"),'第 6 天'!H78,0),IF(OR('第 6 天'!J$5="租車費"),'第 6 天'!J78,0),IF(OR('第 6 天'!L$5="租車費"),'第 6 天'!L78,0),IF(OR('第 6 天'!N$5="租車費"),'第 6 天'!N78,0),IF(OR('第 6 天'!P$5="租車費"),'第 6 天'!P78,0))</f>
        <v>0</v>
      </c>
      <c r="F178" s="14" t="n">
        <f aca="false">SUM(IF(OR('第 6 天'!D$5="停車費",'第 6 天'!D$5="其他"),'第 6 天'!D78,0),IF(OR('第 6 天'!F$5="停車費",'第 6 天'!F$5="其他"),'第 6 天'!F78,0),IF(OR('第 6 天'!H$5="停車費",'第 6 天'!H$5="其他"),'第 6 天'!H78,0),IF(OR('第 6 天'!J$5="停車費",'第 6 天'!J$5="其他"),'第 6 天'!J78,0),IF(OR('第 6 天'!L$5="停車費",'第 6 天'!L$5="其他"),'第 6 天'!L78,0),IF(OR('第 6 天'!N$5="停車費",'第 6 天'!N$5="其他"),'第 6 天'!N78,0),IF(OR('第 6 天'!P$5="停車費",'第 6 天'!P$5="其他"),'第 6 天'!P78,0))</f>
        <v>0</v>
      </c>
      <c r="G178" s="14" t="n">
        <f aca="false">SUM(C178:F178)</f>
        <v>0</v>
      </c>
      <c r="H178" s="14" t="n">
        <f aca="false">IF(LEN(TRIM(成員名單!$B31))=0,0,SUM(IF('第 6 天'!D$7=$B178,'第 6 天'!D46,0),IF('第 6 天'!F$7=$B178,'第 6 天'!F46,0),IF('第 6 天'!H$7=$B178,'第 6 天'!H46,0),IF('第 6 天'!J$7=$B178,'第 6 天'!J46,0),IF('第 6 天'!L$7=$B178,'第 6 天'!L46,0),IF('第 6 天'!N$7=$B178,'第 6 天'!N46,0),IF('第 6 天'!P$7=$B178,'第 6 天'!P46,0)))</f>
        <v>0</v>
      </c>
    </row>
    <row r="179" customFormat="false" ht="15" hidden="false" customHeight="false" outlineLevel="0" collapsed="false">
      <c r="A179" s="13" t="s">
        <v>125</v>
      </c>
      <c r="B179" s="13" t="s">
        <v>45</v>
      </c>
      <c r="C179" s="14" t="n">
        <f aca="false">SUM(IF(OR('第 6 天'!D$5="早餐",'第 6 天'!D$5="午餐",'第 6 天'!D$5="晚餐"),'第 6 天'!D79,0),IF(OR('第 6 天'!F$5="早餐",'第 6 天'!F$5="午餐",'第 6 天'!F$5="晚餐"),'第 6 天'!F79,0),IF(OR('第 6 天'!H$5="早餐",'第 6 天'!H$5="午餐",'第 6 天'!H$5="晚餐"),'第 6 天'!H79,0),IF(OR('第 6 天'!J$5="早餐",'第 6 天'!J$5="午餐",'第 6 天'!J$5="晚餐"),'第 6 天'!J79,0),IF(OR('第 6 天'!L$5="早餐",'第 6 天'!L$5="午餐",'第 6 天'!L$5="晚餐"),'第 6 天'!L79,0),IF(OR('第 6 天'!N$5="早餐",'第 6 天'!N$5="午餐",'第 6 天'!N$5="晚餐"),'第 6 天'!N79,0),IF(OR('第 6 天'!P$5="早餐",'第 6 天'!P$5="午餐",'第 6 天'!P$5="晚餐"),'第 6 天'!P79,0))</f>
        <v>0</v>
      </c>
      <c r="D179" s="14" t="n">
        <f aca="false">SUM(IF(OR('第 6 天'!D$5="油錢"),'第 6 天'!D79,0),IF(OR('第 6 天'!F$5="油錢"),'第 6 天'!F79,0),IF(OR('第 6 天'!H$5="油錢"),'第 6 天'!H79,0),IF(OR('第 6 天'!J$5="油錢"),'第 6 天'!J79,0),IF(OR('第 6 天'!L$5="油錢"),'第 6 天'!L79,0),IF(OR('第 6 天'!N$5="油錢"),'第 6 天'!N79,0),IF(OR('第 6 天'!P$5="油錢"),'第 6 天'!P79,0))</f>
        <v>0</v>
      </c>
      <c r="E179" s="14" t="n">
        <f aca="false">SUM(IF(OR('第 6 天'!D$5="租車費"),'第 6 天'!D79,0),IF(OR('第 6 天'!F$5="租車費"),'第 6 天'!F79,0),IF(OR('第 6 天'!H$5="租車費"),'第 6 天'!H79,0),IF(OR('第 6 天'!J$5="租車費"),'第 6 天'!J79,0),IF(OR('第 6 天'!L$5="租車費"),'第 6 天'!L79,0),IF(OR('第 6 天'!N$5="租車費"),'第 6 天'!N79,0),IF(OR('第 6 天'!P$5="租車費"),'第 6 天'!P79,0))</f>
        <v>0</v>
      </c>
      <c r="F179" s="14" t="n">
        <f aca="false">SUM(IF(OR('第 6 天'!D$5="停車費",'第 6 天'!D$5="其他"),'第 6 天'!D79,0),IF(OR('第 6 天'!F$5="停車費",'第 6 天'!F$5="其他"),'第 6 天'!F79,0),IF(OR('第 6 天'!H$5="停車費",'第 6 天'!H$5="其他"),'第 6 天'!H79,0),IF(OR('第 6 天'!J$5="停車費",'第 6 天'!J$5="其他"),'第 6 天'!J79,0),IF(OR('第 6 天'!L$5="停車費",'第 6 天'!L$5="其他"),'第 6 天'!L79,0),IF(OR('第 6 天'!N$5="停車費",'第 6 天'!N$5="其他"),'第 6 天'!N79,0),IF(OR('第 6 天'!P$5="停車費",'第 6 天'!P$5="其他"),'第 6 天'!P79,0))</f>
        <v>0</v>
      </c>
      <c r="G179" s="14" t="n">
        <f aca="false">SUM(C179:F179)</f>
        <v>0</v>
      </c>
      <c r="H179" s="14" t="n">
        <f aca="false">IF(LEN(TRIM(成員名單!$B32))=0,0,SUM(IF('第 6 天'!D$7=$B179,'第 6 天'!D46,0),IF('第 6 天'!F$7=$B179,'第 6 天'!F46,0),IF('第 6 天'!H$7=$B179,'第 6 天'!H46,0),IF('第 6 天'!J$7=$B179,'第 6 天'!J46,0),IF('第 6 天'!L$7=$B179,'第 6 天'!L46,0),IF('第 6 天'!N$7=$B179,'第 6 天'!N46,0),IF('第 6 天'!P$7=$B179,'第 6 天'!P46,0)))</f>
        <v>0</v>
      </c>
    </row>
    <row r="180" customFormat="false" ht="15" hidden="false" customHeight="false" outlineLevel="0" collapsed="false">
      <c r="A180" s="13" t="s">
        <v>125</v>
      </c>
      <c r="B180" s="13" t="s">
        <v>46</v>
      </c>
      <c r="C180" s="14" t="n">
        <f aca="false">SUM(IF(OR('第 6 天'!D$5="早餐",'第 6 天'!D$5="午餐",'第 6 天'!D$5="晚餐"),'第 6 天'!D80,0),IF(OR('第 6 天'!F$5="早餐",'第 6 天'!F$5="午餐",'第 6 天'!F$5="晚餐"),'第 6 天'!F80,0),IF(OR('第 6 天'!H$5="早餐",'第 6 天'!H$5="午餐",'第 6 天'!H$5="晚餐"),'第 6 天'!H80,0),IF(OR('第 6 天'!J$5="早餐",'第 6 天'!J$5="午餐",'第 6 天'!J$5="晚餐"),'第 6 天'!J80,0),IF(OR('第 6 天'!L$5="早餐",'第 6 天'!L$5="午餐",'第 6 天'!L$5="晚餐"),'第 6 天'!L80,0),IF(OR('第 6 天'!N$5="早餐",'第 6 天'!N$5="午餐",'第 6 天'!N$5="晚餐"),'第 6 天'!N80,0),IF(OR('第 6 天'!P$5="早餐",'第 6 天'!P$5="午餐",'第 6 天'!P$5="晚餐"),'第 6 天'!P80,0))</f>
        <v>0</v>
      </c>
      <c r="D180" s="14" t="n">
        <f aca="false">SUM(IF(OR('第 6 天'!D$5="油錢"),'第 6 天'!D80,0),IF(OR('第 6 天'!F$5="油錢"),'第 6 天'!F80,0),IF(OR('第 6 天'!H$5="油錢"),'第 6 天'!H80,0),IF(OR('第 6 天'!J$5="油錢"),'第 6 天'!J80,0),IF(OR('第 6 天'!L$5="油錢"),'第 6 天'!L80,0),IF(OR('第 6 天'!N$5="油錢"),'第 6 天'!N80,0),IF(OR('第 6 天'!P$5="油錢"),'第 6 天'!P80,0))</f>
        <v>0</v>
      </c>
      <c r="E180" s="14" t="n">
        <f aca="false">SUM(IF(OR('第 6 天'!D$5="租車費"),'第 6 天'!D80,0),IF(OR('第 6 天'!F$5="租車費"),'第 6 天'!F80,0),IF(OR('第 6 天'!H$5="租車費"),'第 6 天'!H80,0),IF(OR('第 6 天'!J$5="租車費"),'第 6 天'!J80,0),IF(OR('第 6 天'!L$5="租車費"),'第 6 天'!L80,0),IF(OR('第 6 天'!N$5="租車費"),'第 6 天'!N80,0),IF(OR('第 6 天'!P$5="租車費"),'第 6 天'!P80,0))</f>
        <v>0</v>
      </c>
      <c r="F180" s="14" t="n">
        <f aca="false">SUM(IF(OR('第 6 天'!D$5="停車費",'第 6 天'!D$5="其他"),'第 6 天'!D80,0),IF(OR('第 6 天'!F$5="停車費",'第 6 天'!F$5="其他"),'第 6 天'!F80,0),IF(OR('第 6 天'!H$5="停車費",'第 6 天'!H$5="其他"),'第 6 天'!H80,0),IF(OR('第 6 天'!J$5="停車費",'第 6 天'!J$5="其他"),'第 6 天'!J80,0),IF(OR('第 6 天'!L$5="停車費",'第 6 天'!L$5="其他"),'第 6 天'!L80,0),IF(OR('第 6 天'!N$5="停車費",'第 6 天'!N$5="其他"),'第 6 天'!N80,0),IF(OR('第 6 天'!P$5="停車費",'第 6 天'!P$5="其他"),'第 6 天'!P80,0))</f>
        <v>0</v>
      </c>
      <c r="G180" s="14" t="n">
        <f aca="false">SUM(C180:F180)</f>
        <v>0</v>
      </c>
      <c r="H180" s="14" t="n">
        <f aca="false">IF(LEN(TRIM(成員名單!$B33))=0,0,SUM(IF('第 6 天'!D$7=$B180,'第 6 天'!D46,0),IF('第 6 天'!F$7=$B180,'第 6 天'!F46,0),IF('第 6 天'!H$7=$B180,'第 6 天'!H46,0),IF('第 6 天'!J$7=$B180,'第 6 天'!J46,0),IF('第 6 天'!L$7=$B180,'第 6 天'!L46,0),IF('第 6 天'!N$7=$B180,'第 6 天'!N46,0),IF('第 6 天'!P$7=$B180,'第 6 天'!P46,0)))</f>
        <v>0</v>
      </c>
    </row>
    <row r="181" customFormat="false" ht="15" hidden="false" customHeight="false" outlineLevel="0" collapsed="false">
      <c r="A181" s="13" t="s">
        <v>125</v>
      </c>
      <c r="B181" s="13" t="s">
        <v>47</v>
      </c>
      <c r="C181" s="14" t="n">
        <f aca="false">SUM(IF(OR('第 6 天'!D$5="早餐",'第 6 天'!D$5="午餐",'第 6 天'!D$5="晚餐"),'第 6 天'!D81,0),IF(OR('第 6 天'!F$5="早餐",'第 6 天'!F$5="午餐",'第 6 天'!F$5="晚餐"),'第 6 天'!F81,0),IF(OR('第 6 天'!H$5="早餐",'第 6 天'!H$5="午餐",'第 6 天'!H$5="晚餐"),'第 6 天'!H81,0),IF(OR('第 6 天'!J$5="早餐",'第 6 天'!J$5="午餐",'第 6 天'!J$5="晚餐"),'第 6 天'!J81,0),IF(OR('第 6 天'!L$5="早餐",'第 6 天'!L$5="午餐",'第 6 天'!L$5="晚餐"),'第 6 天'!L81,0),IF(OR('第 6 天'!N$5="早餐",'第 6 天'!N$5="午餐",'第 6 天'!N$5="晚餐"),'第 6 天'!N81,0),IF(OR('第 6 天'!P$5="早餐",'第 6 天'!P$5="午餐",'第 6 天'!P$5="晚餐"),'第 6 天'!P81,0))</f>
        <v>0</v>
      </c>
      <c r="D181" s="14" t="n">
        <f aca="false">SUM(IF(OR('第 6 天'!D$5="油錢"),'第 6 天'!D81,0),IF(OR('第 6 天'!F$5="油錢"),'第 6 天'!F81,0),IF(OR('第 6 天'!H$5="油錢"),'第 6 天'!H81,0),IF(OR('第 6 天'!J$5="油錢"),'第 6 天'!J81,0),IF(OR('第 6 天'!L$5="油錢"),'第 6 天'!L81,0),IF(OR('第 6 天'!N$5="油錢"),'第 6 天'!N81,0),IF(OR('第 6 天'!P$5="油錢"),'第 6 天'!P81,0))</f>
        <v>0</v>
      </c>
      <c r="E181" s="14" t="n">
        <f aca="false">SUM(IF(OR('第 6 天'!D$5="租車費"),'第 6 天'!D81,0),IF(OR('第 6 天'!F$5="租車費"),'第 6 天'!F81,0),IF(OR('第 6 天'!H$5="租車費"),'第 6 天'!H81,0),IF(OR('第 6 天'!J$5="租車費"),'第 6 天'!J81,0),IF(OR('第 6 天'!L$5="租車費"),'第 6 天'!L81,0),IF(OR('第 6 天'!N$5="租車費"),'第 6 天'!N81,0),IF(OR('第 6 天'!P$5="租車費"),'第 6 天'!P81,0))</f>
        <v>0</v>
      </c>
      <c r="F181" s="14" t="n">
        <f aca="false">SUM(IF(OR('第 6 天'!D$5="停車費",'第 6 天'!D$5="其他"),'第 6 天'!D81,0),IF(OR('第 6 天'!F$5="停車費",'第 6 天'!F$5="其他"),'第 6 天'!F81,0),IF(OR('第 6 天'!H$5="停車費",'第 6 天'!H$5="其他"),'第 6 天'!H81,0),IF(OR('第 6 天'!J$5="停車費",'第 6 天'!J$5="其他"),'第 6 天'!J81,0),IF(OR('第 6 天'!L$5="停車費",'第 6 天'!L$5="其他"),'第 6 天'!L81,0),IF(OR('第 6 天'!N$5="停車費",'第 6 天'!N$5="其他"),'第 6 天'!N81,0),IF(OR('第 6 天'!P$5="停車費",'第 6 天'!P$5="其他"),'第 6 天'!P81,0))</f>
        <v>0</v>
      </c>
      <c r="G181" s="14" t="n">
        <f aca="false">SUM(C181:F181)</f>
        <v>0</v>
      </c>
      <c r="H181" s="14" t="n">
        <f aca="false">IF(LEN(TRIM(成員名單!$B34))=0,0,SUM(IF('第 6 天'!D$7=$B181,'第 6 天'!D46,0),IF('第 6 天'!F$7=$B181,'第 6 天'!F46,0),IF('第 6 天'!H$7=$B181,'第 6 天'!H46,0),IF('第 6 天'!J$7=$B181,'第 6 天'!J46,0),IF('第 6 天'!L$7=$B181,'第 6 天'!L46,0),IF('第 6 天'!N$7=$B181,'第 6 天'!N46,0),IF('第 6 天'!P$7=$B181,'第 6 天'!P46,0)))</f>
        <v>0</v>
      </c>
    </row>
    <row r="182" customFormat="false" ht="15" hidden="false" customHeight="false" outlineLevel="0" collapsed="false">
      <c r="A182" s="13" t="s">
        <v>134</v>
      </c>
      <c r="B182" s="13" t="s">
        <v>18</v>
      </c>
      <c r="C182" s="14" t="n">
        <f aca="false">SUM(IF(OR('第 7 天'!D$5="早餐",'第 7 天'!D$5="午餐",'第 7 天'!D$5="晚餐"),'第 7 天'!D52,0),IF(OR('第 7 天'!F$5="早餐",'第 7 天'!F$5="午餐",'第 7 天'!F$5="晚餐"),'第 7 天'!F52,0),IF(OR('第 7 天'!H$5="早餐",'第 7 天'!H$5="午餐",'第 7 天'!H$5="晚餐"),'第 7 天'!H52,0),IF(OR('第 7 天'!J$5="早餐",'第 7 天'!J$5="午餐",'第 7 天'!J$5="晚餐"),'第 7 天'!J52,0),IF(OR('第 7 天'!L$5="早餐",'第 7 天'!L$5="午餐",'第 7 天'!L$5="晚餐"),'第 7 天'!L52,0),IF(OR('第 7 天'!N$5="早餐",'第 7 天'!N$5="午餐",'第 7 天'!N$5="晚餐"),'第 7 天'!N52,0),IF(OR('第 7 天'!P$5="早餐",'第 7 天'!P$5="午餐",'第 7 天'!P$5="晚餐"),'第 7 天'!P52,0))</f>
        <v>0</v>
      </c>
      <c r="D182" s="14" t="n">
        <f aca="false">SUM(IF(OR('第 7 天'!D$5="油錢"),'第 7 天'!D52,0),IF(OR('第 7 天'!F$5="油錢"),'第 7 天'!F52,0),IF(OR('第 7 天'!H$5="油錢"),'第 7 天'!H52,0),IF(OR('第 7 天'!J$5="油錢"),'第 7 天'!J52,0),IF(OR('第 7 天'!L$5="油錢"),'第 7 天'!L52,0),IF(OR('第 7 天'!N$5="油錢"),'第 7 天'!N52,0),IF(OR('第 7 天'!P$5="油錢"),'第 7 天'!P52,0))</f>
        <v>0</v>
      </c>
      <c r="E182" s="14" t="n">
        <f aca="false">SUM(IF(OR('第 7 天'!D$5="租車費"),'第 7 天'!D52,0),IF(OR('第 7 天'!F$5="租車費"),'第 7 天'!F52,0),IF(OR('第 7 天'!H$5="租車費"),'第 7 天'!H52,0),IF(OR('第 7 天'!J$5="租車費"),'第 7 天'!J52,0),IF(OR('第 7 天'!L$5="租車費"),'第 7 天'!L52,0),IF(OR('第 7 天'!N$5="租車費"),'第 7 天'!N52,0),IF(OR('第 7 天'!P$5="租車費"),'第 7 天'!P52,0))</f>
        <v>0</v>
      </c>
      <c r="F182" s="14" t="n">
        <f aca="false">SUM(IF(OR('第 7 天'!D$5="停車費",'第 7 天'!D$5="其他"),'第 7 天'!D52,0),IF(OR('第 7 天'!F$5="停車費",'第 7 天'!F$5="其他"),'第 7 天'!F52,0),IF(OR('第 7 天'!H$5="停車費",'第 7 天'!H$5="其他"),'第 7 天'!H52,0),IF(OR('第 7 天'!J$5="停車費",'第 7 天'!J$5="其他"),'第 7 天'!J52,0),IF(OR('第 7 天'!L$5="停車費",'第 7 天'!L$5="其他"),'第 7 天'!L52,0),IF(OR('第 7 天'!N$5="停車費",'第 7 天'!N$5="其他"),'第 7 天'!N52,0),IF(OR('第 7 天'!P$5="停車費",'第 7 天'!P$5="其他"),'第 7 天'!P52,0))</f>
        <v>0</v>
      </c>
      <c r="G182" s="14" t="n">
        <f aca="false">SUM(C182:F182)</f>
        <v>0</v>
      </c>
      <c r="H182" s="14" t="n">
        <f aca="false">IF(LEN(TRIM(成員名單!$B5))=0,0,SUM(IF('第 7 天'!D$7=$B182,'第 7 天'!D46,0),IF('第 7 天'!F$7=$B182,'第 7 天'!F46,0),IF('第 7 天'!H$7=$B182,'第 7 天'!H46,0),IF('第 7 天'!J$7=$B182,'第 7 天'!J46,0),IF('第 7 天'!L$7=$B182,'第 7 天'!L46,0),IF('第 7 天'!N$7=$B182,'第 7 天'!N46,0),IF('第 7 天'!P$7=$B182,'第 7 天'!P46,0)))</f>
        <v>0</v>
      </c>
    </row>
    <row r="183" customFormat="false" ht="15" hidden="false" customHeight="false" outlineLevel="0" collapsed="false">
      <c r="A183" s="13" t="s">
        <v>134</v>
      </c>
      <c r="B183" s="13" t="s">
        <v>19</v>
      </c>
      <c r="C183" s="14" t="n">
        <f aca="false">SUM(IF(OR('第 7 天'!D$5="早餐",'第 7 天'!D$5="午餐",'第 7 天'!D$5="晚餐"),'第 7 天'!D53,0),IF(OR('第 7 天'!F$5="早餐",'第 7 天'!F$5="午餐",'第 7 天'!F$5="晚餐"),'第 7 天'!F53,0),IF(OR('第 7 天'!H$5="早餐",'第 7 天'!H$5="午餐",'第 7 天'!H$5="晚餐"),'第 7 天'!H53,0),IF(OR('第 7 天'!J$5="早餐",'第 7 天'!J$5="午餐",'第 7 天'!J$5="晚餐"),'第 7 天'!J53,0),IF(OR('第 7 天'!L$5="早餐",'第 7 天'!L$5="午餐",'第 7 天'!L$5="晚餐"),'第 7 天'!L53,0),IF(OR('第 7 天'!N$5="早餐",'第 7 天'!N$5="午餐",'第 7 天'!N$5="晚餐"),'第 7 天'!N53,0),IF(OR('第 7 天'!P$5="早餐",'第 7 天'!P$5="午餐",'第 7 天'!P$5="晚餐"),'第 7 天'!P53,0))</f>
        <v>0</v>
      </c>
      <c r="D183" s="14" t="n">
        <f aca="false">SUM(IF(OR('第 7 天'!D$5="油錢"),'第 7 天'!D53,0),IF(OR('第 7 天'!F$5="油錢"),'第 7 天'!F53,0),IF(OR('第 7 天'!H$5="油錢"),'第 7 天'!H53,0),IF(OR('第 7 天'!J$5="油錢"),'第 7 天'!J53,0),IF(OR('第 7 天'!L$5="油錢"),'第 7 天'!L53,0),IF(OR('第 7 天'!N$5="油錢"),'第 7 天'!N53,0),IF(OR('第 7 天'!P$5="油錢"),'第 7 天'!P53,0))</f>
        <v>0</v>
      </c>
      <c r="E183" s="14" t="n">
        <f aca="false">SUM(IF(OR('第 7 天'!D$5="租車費"),'第 7 天'!D53,0),IF(OR('第 7 天'!F$5="租車費"),'第 7 天'!F53,0),IF(OR('第 7 天'!H$5="租車費"),'第 7 天'!H53,0),IF(OR('第 7 天'!J$5="租車費"),'第 7 天'!J53,0),IF(OR('第 7 天'!L$5="租車費"),'第 7 天'!L53,0),IF(OR('第 7 天'!N$5="租車費"),'第 7 天'!N53,0),IF(OR('第 7 天'!P$5="租車費"),'第 7 天'!P53,0))</f>
        <v>0</v>
      </c>
      <c r="F183" s="14" t="n">
        <f aca="false">SUM(IF(OR('第 7 天'!D$5="停車費",'第 7 天'!D$5="其他"),'第 7 天'!D53,0),IF(OR('第 7 天'!F$5="停車費",'第 7 天'!F$5="其他"),'第 7 天'!F53,0),IF(OR('第 7 天'!H$5="停車費",'第 7 天'!H$5="其他"),'第 7 天'!H53,0),IF(OR('第 7 天'!J$5="停車費",'第 7 天'!J$5="其他"),'第 7 天'!J53,0),IF(OR('第 7 天'!L$5="停車費",'第 7 天'!L$5="其他"),'第 7 天'!L53,0),IF(OR('第 7 天'!N$5="停車費",'第 7 天'!N$5="其他"),'第 7 天'!N53,0),IF(OR('第 7 天'!P$5="停車費",'第 7 天'!P$5="其他"),'第 7 天'!P53,0))</f>
        <v>0</v>
      </c>
      <c r="G183" s="14" t="n">
        <f aca="false">SUM(C183:F183)</f>
        <v>0</v>
      </c>
      <c r="H183" s="14" t="n">
        <f aca="false">IF(LEN(TRIM(成員名單!$B6))=0,0,SUM(IF('第 7 天'!D$7=$B183,'第 7 天'!D46,0),IF('第 7 天'!F$7=$B183,'第 7 天'!F46,0),IF('第 7 天'!H$7=$B183,'第 7 天'!H46,0),IF('第 7 天'!J$7=$B183,'第 7 天'!J46,0),IF('第 7 天'!L$7=$B183,'第 7 天'!L46,0),IF('第 7 天'!N$7=$B183,'第 7 天'!N46,0),IF('第 7 天'!P$7=$B183,'第 7 天'!P46,0)))</f>
        <v>0</v>
      </c>
    </row>
    <row r="184" customFormat="false" ht="15" hidden="false" customHeight="false" outlineLevel="0" collapsed="false">
      <c r="A184" s="13" t="s">
        <v>134</v>
      </c>
      <c r="B184" s="13" t="s">
        <v>20</v>
      </c>
      <c r="C184" s="14" t="n">
        <f aca="false">SUM(IF(OR('第 7 天'!D$5="早餐",'第 7 天'!D$5="午餐",'第 7 天'!D$5="晚餐"),'第 7 天'!D54,0),IF(OR('第 7 天'!F$5="早餐",'第 7 天'!F$5="午餐",'第 7 天'!F$5="晚餐"),'第 7 天'!F54,0),IF(OR('第 7 天'!H$5="早餐",'第 7 天'!H$5="午餐",'第 7 天'!H$5="晚餐"),'第 7 天'!H54,0),IF(OR('第 7 天'!J$5="早餐",'第 7 天'!J$5="午餐",'第 7 天'!J$5="晚餐"),'第 7 天'!J54,0),IF(OR('第 7 天'!L$5="早餐",'第 7 天'!L$5="午餐",'第 7 天'!L$5="晚餐"),'第 7 天'!L54,0),IF(OR('第 7 天'!N$5="早餐",'第 7 天'!N$5="午餐",'第 7 天'!N$5="晚餐"),'第 7 天'!N54,0),IF(OR('第 7 天'!P$5="早餐",'第 7 天'!P$5="午餐",'第 7 天'!P$5="晚餐"),'第 7 天'!P54,0))</f>
        <v>0</v>
      </c>
      <c r="D184" s="14" t="n">
        <f aca="false">SUM(IF(OR('第 7 天'!D$5="油錢"),'第 7 天'!D54,0),IF(OR('第 7 天'!F$5="油錢"),'第 7 天'!F54,0),IF(OR('第 7 天'!H$5="油錢"),'第 7 天'!H54,0),IF(OR('第 7 天'!J$5="油錢"),'第 7 天'!J54,0),IF(OR('第 7 天'!L$5="油錢"),'第 7 天'!L54,0),IF(OR('第 7 天'!N$5="油錢"),'第 7 天'!N54,0),IF(OR('第 7 天'!P$5="油錢"),'第 7 天'!P54,0))</f>
        <v>0</v>
      </c>
      <c r="E184" s="14" t="n">
        <f aca="false">SUM(IF(OR('第 7 天'!D$5="租車費"),'第 7 天'!D54,0),IF(OR('第 7 天'!F$5="租車費"),'第 7 天'!F54,0),IF(OR('第 7 天'!H$5="租車費"),'第 7 天'!H54,0),IF(OR('第 7 天'!J$5="租車費"),'第 7 天'!J54,0),IF(OR('第 7 天'!L$5="租車費"),'第 7 天'!L54,0),IF(OR('第 7 天'!N$5="租車費"),'第 7 天'!N54,0),IF(OR('第 7 天'!P$5="租車費"),'第 7 天'!P54,0))</f>
        <v>0</v>
      </c>
      <c r="F184" s="14" t="n">
        <f aca="false">SUM(IF(OR('第 7 天'!D$5="停車費",'第 7 天'!D$5="其他"),'第 7 天'!D54,0),IF(OR('第 7 天'!F$5="停車費",'第 7 天'!F$5="其他"),'第 7 天'!F54,0),IF(OR('第 7 天'!H$5="停車費",'第 7 天'!H$5="其他"),'第 7 天'!H54,0),IF(OR('第 7 天'!J$5="停車費",'第 7 天'!J$5="其他"),'第 7 天'!J54,0),IF(OR('第 7 天'!L$5="停車費",'第 7 天'!L$5="其他"),'第 7 天'!L54,0),IF(OR('第 7 天'!N$5="停車費",'第 7 天'!N$5="其他"),'第 7 天'!N54,0),IF(OR('第 7 天'!P$5="停車費",'第 7 天'!P$5="其他"),'第 7 天'!P54,0))</f>
        <v>0</v>
      </c>
      <c r="G184" s="14" t="n">
        <f aca="false">SUM(C184:F184)</f>
        <v>0</v>
      </c>
      <c r="H184" s="14" t="n">
        <f aca="false">IF(LEN(TRIM(成員名單!$B7))=0,0,SUM(IF('第 7 天'!D$7=$B184,'第 7 天'!D46,0),IF('第 7 天'!F$7=$B184,'第 7 天'!F46,0),IF('第 7 天'!H$7=$B184,'第 7 天'!H46,0),IF('第 7 天'!J$7=$B184,'第 7 天'!J46,0),IF('第 7 天'!L$7=$B184,'第 7 天'!L46,0),IF('第 7 天'!N$7=$B184,'第 7 天'!N46,0),IF('第 7 天'!P$7=$B184,'第 7 天'!P46,0)))</f>
        <v>0</v>
      </c>
    </row>
    <row r="185" customFormat="false" ht="15" hidden="false" customHeight="false" outlineLevel="0" collapsed="false">
      <c r="A185" s="13" t="s">
        <v>134</v>
      </c>
      <c r="B185" s="13" t="s">
        <v>21</v>
      </c>
      <c r="C185" s="14" t="n">
        <f aca="false">SUM(IF(OR('第 7 天'!D$5="早餐",'第 7 天'!D$5="午餐",'第 7 天'!D$5="晚餐"),'第 7 天'!D55,0),IF(OR('第 7 天'!F$5="早餐",'第 7 天'!F$5="午餐",'第 7 天'!F$5="晚餐"),'第 7 天'!F55,0),IF(OR('第 7 天'!H$5="早餐",'第 7 天'!H$5="午餐",'第 7 天'!H$5="晚餐"),'第 7 天'!H55,0),IF(OR('第 7 天'!J$5="早餐",'第 7 天'!J$5="午餐",'第 7 天'!J$5="晚餐"),'第 7 天'!J55,0),IF(OR('第 7 天'!L$5="早餐",'第 7 天'!L$5="午餐",'第 7 天'!L$5="晚餐"),'第 7 天'!L55,0),IF(OR('第 7 天'!N$5="早餐",'第 7 天'!N$5="午餐",'第 7 天'!N$5="晚餐"),'第 7 天'!N55,0),IF(OR('第 7 天'!P$5="早餐",'第 7 天'!P$5="午餐",'第 7 天'!P$5="晚餐"),'第 7 天'!P55,0))</f>
        <v>0</v>
      </c>
      <c r="D185" s="14" t="n">
        <f aca="false">SUM(IF(OR('第 7 天'!D$5="油錢"),'第 7 天'!D55,0),IF(OR('第 7 天'!F$5="油錢"),'第 7 天'!F55,0),IF(OR('第 7 天'!H$5="油錢"),'第 7 天'!H55,0),IF(OR('第 7 天'!J$5="油錢"),'第 7 天'!J55,0),IF(OR('第 7 天'!L$5="油錢"),'第 7 天'!L55,0),IF(OR('第 7 天'!N$5="油錢"),'第 7 天'!N55,0),IF(OR('第 7 天'!P$5="油錢"),'第 7 天'!P55,0))</f>
        <v>0</v>
      </c>
      <c r="E185" s="14" t="n">
        <f aca="false">SUM(IF(OR('第 7 天'!D$5="租車費"),'第 7 天'!D55,0),IF(OR('第 7 天'!F$5="租車費"),'第 7 天'!F55,0),IF(OR('第 7 天'!H$5="租車費"),'第 7 天'!H55,0),IF(OR('第 7 天'!J$5="租車費"),'第 7 天'!J55,0),IF(OR('第 7 天'!L$5="租車費"),'第 7 天'!L55,0),IF(OR('第 7 天'!N$5="租車費"),'第 7 天'!N55,0),IF(OR('第 7 天'!P$5="租車費"),'第 7 天'!P55,0))</f>
        <v>0</v>
      </c>
      <c r="F185" s="14" t="n">
        <f aca="false">SUM(IF(OR('第 7 天'!D$5="停車費",'第 7 天'!D$5="其他"),'第 7 天'!D55,0),IF(OR('第 7 天'!F$5="停車費",'第 7 天'!F$5="其他"),'第 7 天'!F55,0),IF(OR('第 7 天'!H$5="停車費",'第 7 天'!H$5="其他"),'第 7 天'!H55,0),IF(OR('第 7 天'!J$5="停車費",'第 7 天'!J$5="其他"),'第 7 天'!J55,0),IF(OR('第 7 天'!L$5="停車費",'第 7 天'!L$5="其他"),'第 7 天'!L55,0),IF(OR('第 7 天'!N$5="停車費",'第 7 天'!N$5="其他"),'第 7 天'!N55,0),IF(OR('第 7 天'!P$5="停車費",'第 7 天'!P$5="其他"),'第 7 天'!P55,0))</f>
        <v>0</v>
      </c>
      <c r="G185" s="14" t="n">
        <f aca="false">SUM(C185:F185)</f>
        <v>0</v>
      </c>
      <c r="H185" s="14" t="n">
        <f aca="false">IF(LEN(TRIM(成員名單!$B8))=0,0,SUM(IF('第 7 天'!D$7=$B185,'第 7 天'!D46,0),IF('第 7 天'!F$7=$B185,'第 7 天'!F46,0),IF('第 7 天'!H$7=$B185,'第 7 天'!H46,0),IF('第 7 天'!J$7=$B185,'第 7 天'!J46,0),IF('第 7 天'!L$7=$B185,'第 7 天'!L46,0),IF('第 7 天'!N$7=$B185,'第 7 天'!N46,0),IF('第 7 天'!P$7=$B185,'第 7 天'!P46,0)))</f>
        <v>0</v>
      </c>
    </row>
    <row r="186" customFormat="false" ht="15" hidden="false" customHeight="false" outlineLevel="0" collapsed="false">
      <c r="A186" s="13" t="s">
        <v>134</v>
      </c>
      <c r="B186" s="13" t="s">
        <v>22</v>
      </c>
      <c r="C186" s="14" t="n">
        <f aca="false">SUM(IF(OR('第 7 天'!D$5="早餐",'第 7 天'!D$5="午餐",'第 7 天'!D$5="晚餐"),'第 7 天'!D56,0),IF(OR('第 7 天'!F$5="早餐",'第 7 天'!F$5="午餐",'第 7 天'!F$5="晚餐"),'第 7 天'!F56,0),IF(OR('第 7 天'!H$5="早餐",'第 7 天'!H$5="午餐",'第 7 天'!H$5="晚餐"),'第 7 天'!H56,0),IF(OR('第 7 天'!J$5="早餐",'第 7 天'!J$5="午餐",'第 7 天'!J$5="晚餐"),'第 7 天'!J56,0),IF(OR('第 7 天'!L$5="早餐",'第 7 天'!L$5="午餐",'第 7 天'!L$5="晚餐"),'第 7 天'!L56,0),IF(OR('第 7 天'!N$5="早餐",'第 7 天'!N$5="午餐",'第 7 天'!N$5="晚餐"),'第 7 天'!N56,0),IF(OR('第 7 天'!P$5="早餐",'第 7 天'!P$5="午餐",'第 7 天'!P$5="晚餐"),'第 7 天'!P56,0))</f>
        <v>0</v>
      </c>
      <c r="D186" s="14" t="n">
        <f aca="false">SUM(IF(OR('第 7 天'!D$5="油錢"),'第 7 天'!D56,0),IF(OR('第 7 天'!F$5="油錢"),'第 7 天'!F56,0),IF(OR('第 7 天'!H$5="油錢"),'第 7 天'!H56,0),IF(OR('第 7 天'!J$5="油錢"),'第 7 天'!J56,0),IF(OR('第 7 天'!L$5="油錢"),'第 7 天'!L56,0),IF(OR('第 7 天'!N$5="油錢"),'第 7 天'!N56,0),IF(OR('第 7 天'!P$5="油錢"),'第 7 天'!P56,0))</f>
        <v>0</v>
      </c>
      <c r="E186" s="14" t="n">
        <f aca="false">SUM(IF(OR('第 7 天'!D$5="租車費"),'第 7 天'!D56,0),IF(OR('第 7 天'!F$5="租車費"),'第 7 天'!F56,0),IF(OR('第 7 天'!H$5="租車費"),'第 7 天'!H56,0),IF(OR('第 7 天'!J$5="租車費"),'第 7 天'!J56,0),IF(OR('第 7 天'!L$5="租車費"),'第 7 天'!L56,0),IF(OR('第 7 天'!N$5="租車費"),'第 7 天'!N56,0),IF(OR('第 7 天'!P$5="租車費"),'第 7 天'!P56,0))</f>
        <v>0</v>
      </c>
      <c r="F186" s="14" t="n">
        <f aca="false">SUM(IF(OR('第 7 天'!D$5="停車費",'第 7 天'!D$5="其他"),'第 7 天'!D56,0),IF(OR('第 7 天'!F$5="停車費",'第 7 天'!F$5="其他"),'第 7 天'!F56,0),IF(OR('第 7 天'!H$5="停車費",'第 7 天'!H$5="其他"),'第 7 天'!H56,0),IF(OR('第 7 天'!J$5="停車費",'第 7 天'!J$5="其他"),'第 7 天'!J56,0),IF(OR('第 7 天'!L$5="停車費",'第 7 天'!L$5="其他"),'第 7 天'!L56,0),IF(OR('第 7 天'!N$5="停車費",'第 7 天'!N$5="其他"),'第 7 天'!N56,0),IF(OR('第 7 天'!P$5="停車費",'第 7 天'!P$5="其他"),'第 7 天'!P56,0))</f>
        <v>0</v>
      </c>
      <c r="G186" s="14" t="n">
        <f aca="false">SUM(C186:F186)</f>
        <v>0</v>
      </c>
      <c r="H186" s="14" t="n">
        <f aca="false">IF(LEN(TRIM(成員名單!$B9))=0,0,SUM(IF('第 7 天'!D$7=$B186,'第 7 天'!D46,0),IF('第 7 天'!F$7=$B186,'第 7 天'!F46,0),IF('第 7 天'!H$7=$B186,'第 7 天'!H46,0),IF('第 7 天'!J$7=$B186,'第 7 天'!J46,0),IF('第 7 天'!L$7=$B186,'第 7 天'!L46,0),IF('第 7 天'!N$7=$B186,'第 7 天'!N46,0),IF('第 7 天'!P$7=$B186,'第 7 天'!P46,0)))</f>
        <v>0</v>
      </c>
    </row>
    <row r="187" customFormat="false" ht="15" hidden="false" customHeight="false" outlineLevel="0" collapsed="false">
      <c r="A187" s="13" t="s">
        <v>134</v>
      </c>
      <c r="B187" s="13" t="s">
        <v>23</v>
      </c>
      <c r="C187" s="14" t="n">
        <f aca="false">SUM(IF(OR('第 7 天'!D$5="早餐",'第 7 天'!D$5="午餐",'第 7 天'!D$5="晚餐"),'第 7 天'!D57,0),IF(OR('第 7 天'!F$5="早餐",'第 7 天'!F$5="午餐",'第 7 天'!F$5="晚餐"),'第 7 天'!F57,0),IF(OR('第 7 天'!H$5="早餐",'第 7 天'!H$5="午餐",'第 7 天'!H$5="晚餐"),'第 7 天'!H57,0),IF(OR('第 7 天'!J$5="早餐",'第 7 天'!J$5="午餐",'第 7 天'!J$5="晚餐"),'第 7 天'!J57,0),IF(OR('第 7 天'!L$5="早餐",'第 7 天'!L$5="午餐",'第 7 天'!L$5="晚餐"),'第 7 天'!L57,0),IF(OR('第 7 天'!N$5="早餐",'第 7 天'!N$5="午餐",'第 7 天'!N$5="晚餐"),'第 7 天'!N57,0),IF(OR('第 7 天'!P$5="早餐",'第 7 天'!P$5="午餐",'第 7 天'!P$5="晚餐"),'第 7 天'!P57,0))</f>
        <v>0</v>
      </c>
      <c r="D187" s="14" t="n">
        <f aca="false">SUM(IF(OR('第 7 天'!D$5="油錢"),'第 7 天'!D57,0),IF(OR('第 7 天'!F$5="油錢"),'第 7 天'!F57,0),IF(OR('第 7 天'!H$5="油錢"),'第 7 天'!H57,0),IF(OR('第 7 天'!J$5="油錢"),'第 7 天'!J57,0),IF(OR('第 7 天'!L$5="油錢"),'第 7 天'!L57,0),IF(OR('第 7 天'!N$5="油錢"),'第 7 天'!N57,0),IF(OR('第 7 天'!P$5="油錢"),'第 7 天'!P57,0))</f>
        <v>0</v>
      </c>
      <c r="E187" s="14" t="n">
        <f aca="false">SUM(IF(OR('第 7 天'!D$5="租車費"),'第 7 天'!D57,0),IF(OR('第 7 天'!F$5="租車費"),'第 7 天'!F57,0),IF(OR('第 7 天'!H$5="租車費"),'第 7 天'!H57,0),IF(OR('第 7 天'!J$5="租車費"),'第 7 天'!J57,0),IF(OR('第 7 天'!L$5="租車費"),'第 7 天'!L57,0),IF(OR('第 7 天'!N$5="租車費"),'第 7 天'!N57,0),IF(OR('第 7 天'!P$5="租車費"),'第 7 天'!P57,0))</f>
        <v>0</v>
      </c>
      <c r="F187" s="14" t="n">
        <f aca="false">SUM(IF(OR('第 7 天'!D$5="停車費",'第 7 天'!D$5="其他"),'第 7 天'!D57,0),IF(OR('第 7 天'!F$5="停車費",'第 7 天'!F$5="其他"),'第 7 天'!F57,0),IF(OR('第 7 天'!H$5="停車費",'第 7 天'!H$5="其他"),'第 7 天'!H57,0),IF(OR('第 7 天'!J$5="停車費",'第 7 天'!J$5="其他"),'第 7 天'!J57,0),IF(OR('第 7 天'!L$5="停車費",'第 7 天'!L$5="其他"),'第 7 天'!L57,0),IF(OR('第 7 天'!N$5="停車費",'第 7 天'!N$5="其他"),'第 7 天'!N57,0),IF(OR('第 7 天'!P$5="停車費",'第 7 天'!P$5="其他"),'第 7 天'!P57,0))</f>
        <v>0</v>
      </c>
      <c r="G187" s="14" t="n">
        <f aca="false">SUM(C187:F187)</f>
        <v>0</v>
      </c>
      <c r="H187" s="14" t="n">
        <f aca="false">IF(LEN(TRIM(成員名單!$B10))=0,0,SUM(IF('第 7 天'!D$7=$B187,'第 7 天'!D46,0),IF('第 7 天'!F$7=$B187,'第 7 天'!F46,0),IF('第 7 天'!H$7=$B187,'第 7 天'!H46,0),IF('第 7 天'!J$7=$B187,'第 7 天'!J46,0),IF('第 7 天'!L$7=$B187,'第 7 天'!L46,0),IF('第 7 天'!N$7=$B187,'第 7 天'!N46,0),IF('第 7 天'!P$7=$B187,'第 7 天'!P46,0)))</f>
        <v>0</v>
      </c>
    </row>
    <row r="188" customFormat="false" ht="15" hidden="false" customHeight="false" outlineLevel="0" collapsed="false">
      <c r="A188" s="13" t="s">
        <v>134</v>
      </c>
      <c r="B188" s="13" t="s">
        <v>24</v>
      </c>
      <c r="C188" s="14" t="n">
        <f aca="false">SUM(IF(OR('第 7 天'!D$5="早餐",'第 7 天'!D$5="午餐",'第 7 天'!D$5="晚餐"),'第 7 天'!D58,0),IF(OR('第 7 天'!F$5="早餐",'第 7 天'!F$5="午餐",'第 7 天'!F$5="晚餐"),'第 7 天'!F58,0),IF(OR('第 7 天'!H$5="早餐",'第 7 天'!H$5="午餐",'第 7 天'!H$5="晚餐"),'第 7 天'!H58,0),IF(OR('第 7 天'!J$5="早餐",'第 7 天'!J$5="午餐",'第 7 天'!J$5="晚餐"),'第 7 天'!J58,0),IF(OR('第 7 天'!L$5="早餐",'第 7 天'!L$5="午餐",'第 7 天'!L$5="晚餐"),'第 7 天'!L58,0),IF(OR('第 7 天'!N$5="早餐",'第 7 天'!N$5="午餐",'第 7 天'!N$5="晚餐"),'第 7 天'!N58,0),IF(OR('第 7 天'!P$5="早餐",'第 7 天'!P$5="午餐",'第 7 天'!P$5="晚餐"),'第 7 天'!P58,0))</f>
        <v>0</v>
      </c>
      <c r="D188" s="14" t="n">
        <f aca="false">SUM(IF(OR('第 7 天'!D$5="油錢"),'第 7 天'!D58,0),IF(OR('第 7 天'!F$5="油錢"),'第 7 天'!F58,0),IF(OR('第 7 天'!H$5="油錢"),'第 7 天'!H58,0),IF(OR('第 7 天'!J$5="油錢"),'第 7 天'!J58,0),IF(OR('第 7 天'!L$5="油錢"),'第 7 天'!L58,0),IF(OR('第 7 天'!N$5="油錢"),'第 7 天'!N58,0),IF(OR('第 7 天'!P$5="油錢"),'第 7 天'!P58,0))</f>
        <v>0</v>
      </c>
      <c r="E188" s="14" t="n">
        <f aca="false">SUM(IF(OR('第 7 天'!D$5="租車費"),'第 7 天'!D58,0),IF(OR('第 7 天'!F$5="租車費"),'第 7 天'!F58,0),IF(OR('第 7 天'!H$5="租車費"),'第 7 天'!H58,0),IF(OR('第 7 天'!J$5="租車費"),'第 7 天'!J58,0),IF(OR('第 7 天'!L$5="租車費"),'第 7 天'!L58,0),IF(OR('第 7 天'!N$5="租車費"),'第 7 天'!N58,0),IF(OR('第 7 天'!P$5="租車費"),'第 7 天'!P58,0))</f>
        <v>0</v>
      </c>
      <c r="F188" s="14" t="n">
        <f aca="false">SUM(IF(OR('第 7 天'!D$5="停車費",'第 7 天'!D$5="其他"),'第 7 天'!D58,0),IF(OR('第 7 天'!F$5="停車費",'第 7 天'!F$5="其他"),'第 7 天'!F58,0),IF(OR('第 7 天'!H$5="停車費",'第 7 天'!H$5="其他"),'第 7 天'!H58,0),IF(OR('第 7 天'!J$5="停車費",'第 7 天'!J$5="其他"),'第 7 天'!J58,0),IF(OR('第 7 天'!L$5="停車費",'第 7 天'!L$5="其他"),'第 7 天'!L58,0),IF(OR('第 7 天'!N$5="停車費",'第 7 天'!N$5="其他"),'第 7 天'!N58,0),IF(OR('第 7 天'!P$5="停車費",'第 7 天'!P$5="其他"),'第 7 天'!P58,0))</f>
        <v>0</v>
      </c>
      <c r="G188" s="14" t="n">
        <f aca="false">SUM(C188:F188)</f>
        <v>0</v>
      </c>
      <c r="H188" s="14" t="n">
        <f aca="false">IF(LEN(TRIM(成員名單!$B11))=0,0,SUM(IF('第 7 天'!D$7=$B188,'第 7 天'!D46,0),IF('第 7 天'!F$7=$B188,'第 7 天'!F46,0),IF('第 7 天'!H$7=$B188,'第 7 天'!H46,0),IF('第 7 天'!J$7=$B188,'第 7 天'!J46,0),IF('第 7 天'!L$7=$B188,'第 7 天'!L46,0),IF('第 7 天'!N$7=$B188,'第 7 天'!N46,0),IF('第 7 天'!P$7=$B188,'第 7 天'!P46,0)))</f>
        <v>0</v>
      </c>
    </row>
    <row r="189" customFormat="false" ht="15" hidden="false" customHeight="false" outlineLevel="0" collapsed="false">
      <c r="A189" s="13" t="s">
        <v>134</v>
      </c>
      <c r="B189" s="13" t="s">
        <v>25</v>
      </c>
      <c r="C189" s="14" t="n">
        <f aca="false">SUM(IF(OR('第 7 天'!D$5="早餐",'第 7 天'!D$5="午餐",'第 7 天'!D$5="晚餐"),'第 7 天'!D59,0),IF(OR('第 7 天'!F$5="早餐",'第 7 天'!F$5="午餐",'第 7 天'!F$5="晚餐"),'第 7 天'!F59,0),IF(OR('第 7 天'!H$5="早餐",'第 7 天'!H$5="午餐",'第 7 天'!H$5="晚餐"),'第 7 天'!H59,0),IF(OR('第 7 天'!J$5="早餐",'第 7 天'!J$5="午餐",'第 7 天'!J$5="晚餐"),'第 7 天'!J59,0),IF(OR('第 7 天'!L$5="早餐",'第 7 天'!L$5="午餐",'第 7 天'!L$5="晚餐"),'第 7 天'!L59,0),IF(OR('第 7 天'!N$5="早餐",'第 7 天'!N$5="午餐",'第 7 天'!N$5="晚餐"),'第 7 天'!N59,0),IF(OR('第 7 天'!P$5="早餐",'第 7 天'!P$5="午餐",'第 7 天'!P$5="晚餐"),'第 7 天'!P59,0))</f>
        <v>0</v>
      </c>
      <c r="D189" s="14" t="n">
        <f aca="false">SUM(IF(OR('第 7 天'!D$5="油錢"),'第 7 天'!D59,0),IF(OR('第 7 天'!F$5="油錢"),'第 7 天'!F59,0),IF(OR('第 7 天'!H$5="油錢"),'第 7 天'!H59,0),IF(OR('第 7 天'!J$5="油錢"),'第 7 天'!J59,0),IF(OR('第 7 天'!L$5="油錢"),'第 7 天'!L59,0),IF(OR('第 7 天'!N$5="油錢"),'第 7 天'!N59,0),IF(OR('第 7 天'!P$5="油錢"),'第 7 天'!P59,0))</f>
        <v>0</v>
      </c>
      <c r="E189" s="14" t="n">
        <f aca="false">SUM(IF(OR('第 7 天'!D$5="租車費"),'第 7 天'!D59,0),IF(OR('第 7 天'!F$5="租車費"),'第 7 天'!F59,0),IF(OR('第 7 天'!H$5="租車費"),'第 7 天'!H59,0),IF(OR('第 7 天'!J$5="租車費"),'第 7 天'!J59,0),IF(OR('第 7 天'!L$5="租車費"),'第 7 天'!L59,0),IF(OR('第 7 天'!N$5="租車費"),'第 7 天'!N59,0),IF(OR('第 7 天'!P$5="租車費"),'第 7 天'!P59,0))</f>
        <v>0</v>
      </c>
      <c r="F189" s="14" t="n">
        <f aca="false">SUM(IF(OR('第 7 天'!D$5="停車費",'第 7 天'!D$5="其他"),'第 7 天'!D59,0),IF(OR('第 7 天'!F$5="停車費",'第 7 天'!F$5="其他"),'第 7 天'!F59,0),IF(OR('第 7 天'!H$5="停車費",'第 7 天'!H$5="其他"),'第 7 天'!H59,0),IF(OR('第 7 天'!J$5="停車費",'第 7 天'!J$5="其他"),'第 7 天'!J59,0),IF(OR('第 7 天'!L$5="停車費",'第 7 天'!L$5="其他"),'第 7 天'!L59,0),IF(OR('第 7 天'!N$5="停車費",'第 7 天'!N$5="其他"),'第 7 天'!N59,0),IF(OR('第 7 天'!P$5="停車費",'第 7 天'!P$5="其他"),'第 7 天'!P59,0))</f>
        <v>0</v>
      </c>
      <c r="G189" s="14" t="n">
        <f aca="false">SUM(C189:F189)</f>
        <v>0</v>
      </c>
      <c r="H189" s="14" t="n">
        <f aca="false">IF(LEN(TRIM(成員名單!$B12))=0,0,SUM(IF('第 7 天'!D$7=$B189,'第 7 天'!D46,0),IF('第 7 天'!F$7=$B189,'第 7 天'!F46,0),IF('第 7 天'!H$7=$B189,'第 7 天'!H46,0),IF('第 7 天'!J$7=$B189,'第 7 天'!J46,0),IF('第 7 天'!L$7=$B189,'第 7 天'!L46,0),IF('第 7 天'!N$7=$B189,'第 7 天'!N46,0),IF('第 7 天'!P$7=$B189,'第 7 天'!P46,0)))</f>
        <v>0</v>
      </c>
    </row>
    <row r="190" customFormat="false" ht="15" hidden="false" customHeight="false" outlineLevel="0" collapsed="false">
      <c r="A190" s="13" t="s">
        <v>134</v>
      </c>
      <c r="B190" s="13" t="s">
        <v>26</v>
      </c>
      <c r="C190" s="14" t="n">
        <f aca="false">SUM(IF(OR('第 7 天'!D$5="早餐",'第 7 天'!D$5="午餐",'第 7 天'!D$5="晚餐"),'第 7 天'!D60,0),IF(OR('第 7 天'!F$5="早餐",'第 7 天'!F$5="午餐",'第 7 天'!F$5="晚餐"),'第 7 天'!F60,0),IF(OR('第 7 天'!H$5="早餐",'第 7 天'!H$5="午餐",'第 7 天'!H$5="晚餐"),'第 7 天'!H60,0),IF(OR('第 7 天'!J$5="早餐",'第 7 天'!J$5="午餐",'第 7 天'!J$5="晚餐"),'第 7 天'!J60,0),IF(OR('第 7 天'!L$5="早餐",'第 7 天'!L$5="午餐",'第 7 天'!L$5="晚餐"),'第 7 天'!L60,0),IF(OR('第 7 天'!N$5="早餐",'第 7 天'!N$5="午餐",'第 7 天'!N$5="晚餐"),'第 7 天'!N60,0),IF(OR('第 7 天'!P$5="早餐",'第 7 天'!P$5="午餐",'第 7 天'!P$5="晚餐"),'第 7 天'!P60,0))</f>
        <v>0</v>
      </c>
      <c r="D190" s="14" t="n">
        <f aca="false">SUM(IF(OR('第 7 天'!D$5="油錢"),'第 7 天'!D60,0),IF(OR('第 7 天'!F$5="油錢"),'第 7 天'!F60,0),IF(OR('第 7 天'!H$5="油錢"),'第 7 天'!H60,0),IF(OR('第 7 天'!J$5="油錢"),'第 7 天'!J60,0),IF(OR('第 7 天'!L$5="油錢"),'第 7 天'!L60,0),IF(OR('第 7 天'!N$5="油錢"),'第 7 天'!N60,0),IF(OR('第 7 天'!P$5="油錢"),'第 7 天'!P60,0))</f>
        <v>0</v>
      </c>
      <c r="E190" s="14" t="n">
        <f aca="false">SUM(IF(OR('第 7 天'!D$5="租車費"),'第 7 天'!D60,0),IF(OR('第 7 天'!F$5="租車費"),'第 7 天'!F60,0),IF(OR('第 7 天'!H$5="租車費"),'第 7 天'!H60,0),IF(OR('第 7 天'!J$5="租車費"),'第 7 天'!J60,0),IF(OR('第 7 天'!L$5="租車費"),'第 7 天'!L60,0),IF(OR('第 7 天'!N$5="租車費"),'第 7 天'!N60,0),IF(OR('第 7 天'!P$5="租車費"),'第 7 天'!P60,0))</f>
        <v>0</v>
      </c>
      <c r="F190" s="14" t="n">
        <f aca="false">SUM(IF(OR('第 7 天'!D$5="停車費",'第 7 天'!D$5="其他"),'第 7 天'!D60,0),IF(OR('第 7 天'!F$5="停車費",'第 7 天'!F$5="其他"),'第 7 天'!F60,0),IF(OR('第 7 天'!H$5="停車費",'第 7 天'!H$5="其他"),'第 7 天'!H60,0),IF(OR('第 7 天'!J$5="停車費",'第 7 天'!J$5="其他"),'第 7 天'!J60,0),IF(OR('第 7 天'!L$5="停車費",'第 7 天'!L$5="其他"),'第 7 天'!L60,0),IF(OR('第 7 天'!N$5="停車費",'第 7 天'!N$5="其他"),'第 7 天'!N60,0),IF(OR('第 7 天'!P$5="停車費",'第 7 天'!P$5="其他"),'第 7 天'!P60,0))</f>
        <v>0</v>
      </c>
      <c r="G190" s="14" t="n">
        <f aca="false">SUM(C190:F190)</f>
        <v>0</v>
      </c>
      <c r="H190" s="14" t="n">
        <f aca="false">IF(LEN(TRIM(成員名單!$B13))=0,0,SUM(IF('第 7 天'!D$7=$B190,'第 7 天'!D46,0),IF('第 7 天'!F$7=$B190,'第 7 天'!F46,0),IF('第 7 天'!H$7=$B190,'第 7 天'!H46,0),IF('第 7 天'!J$7=$B190,'第 7 天'!J46,0),IF('第 7 天'!L$7=$B190,'第 7 天'!L46,0),IF('第 7 天'!N$7=$B190,'第 7 天'!N46,0),IF('第 7 天'!P$7=$B190,'第 7 天'!P46,0)))</f>
        <v>0</v>
      </c>
    </row>
    <row r="191" customFormat="false" ht="15" hidden="false" customHeight="false" outlineLevel="0" collapsed="false">
      <c r="A191" s="13" t="s">
        <v>134</v>
      </c>
      <c r="B191" s="13" t="s">
        <v>27</v>
      </c>
      <c r="C191" s="14" t="n">
        <f aca="false">SUM(IF(OR('第 7 天'!D$5="早餐",'第 7 天'!D$5="午餐",'第 7 天'!D$5="晚餐"),'第 7 天'!D61,0),IF(OR('第 7 天'!F$5="早餐",'第 7 天'!F$5="午餐",'第 7 天'!F$5="晚餐"),'第 7 天'!F61,0),IF(OR('第 7 天'!H$5="早餐",'第 7 天'!H$5="午餐",'第 7 天'!H$5="晚餐"),'第 7 天'!H61,0),IF(OR('第 7 天'!J$5="早餐",'第 7 天'!J$5="午餐",'第 7 天'!J$5="晚餐"),'第 7 天'!J61,0),IF(OR('第 7 天'!L$5="早餐",'第 7 天'!L$5="午餐",'第 7 天'!L$5="晚餐"),'第 7 天'!L61,0),IF(OR('第 7 天'!N$5="早餐",'第 7 天'!N$5="午餐",'第 7 天'!N$5="晚餐"),'第 7 天'!N61,0),IF(OR('第 7 天'!P$5="早餐",'第 7 天'!P$5="午餐",'第 7 天'!P$5="晚餐"),'第 7 天'!P61,0))</f>
        <v>0</v>
      </c>
      <c r="D191" s="14" t="n">
        <f aca="false">SUM(IF(OR('第 7 天'!D$5="油錢"),'第 7 天'!D61,0),IF(OR('第 7 天'!F$5="油錢"),'第 7 天'!F61,0),IF(OR('第 7 天'!H$5="油錢"),'第 7 天'!H61,0),IF(OR('第 7 天'!J$5="油錢"),'第 7 天'!J61,0),IF(OR('第 7 天'!L$5="油錢"),'第 7 天'!L61,0),IF(OR('第 7 天'!N$5="油錢"),'第 7 天'!N61,0),IF(OR('第 7 天'!P$5="油錢"),'第 7 天'!P61,0))</f>
        <v>0</v>
      </c>
      <c r="E191" s="14" t="n">
        <f aca="false">SUM(IF(OR('第 7 天'!D$5="租車費"),'第 7 天'!D61,0),IF(OR('第 7 天'!F$5="租車費"),'第 7 天'!F61,0),IF(OR('第 7 天'!H$5="租車費"),'第 7 天'!H61,0),IF(OR('第 7 天'!J$5="租車費"),'第 7 天'!J61,0),IF(OR('第 7 天'!L$5="租車費"),'第 7 天'!L61,0),IF(OR('第 7 天'!N$5="租車費"),'第 7 天'!N61,0),IF(OR('第 7 天'!P$5="租車費"),'第 7 天'!P61,0))</f>
        <v>0</v>
      </c>
      <c r="F191" s="14" t="n">
        <f aca="false">SUM(IF(OR('第 7 天'!D$5="停車費",'第 7 天'!D$5="其他"),'第 7 天'!D61,0),IF(OR('第 7 天'!F$5="停車費",'第 7 天'!F$5="其他"),'第 7 天'!F61,0),IF(OR('第 7 天'!H$5="停車費",'第 7 天'!H$5="其他"),'第 7 天'!H61,0),IF(OR('第 7 天'!J$5="停車費",'第 7 天'!J$5="其他"),'第 7 天'!J61,0),IF(OR('第 7 天'!L$5="停車費",'第 7 天'!L$5="其他"),'第 7 天'!L61,0),IF(OR('第 7 天'!N$5="停車費",'第 7 天'!N$5="其他"),'第 7 天'!N61,0),IF(OR('第 7 天'!P$5="停車費",'第 7 天'!P$5="其他"),'第 7 天'!P61,0))</f>
        <v>0</v>
      </c>
      <c r="G191" s="14" t="n">
        <f aca="false">SUM(C191:F191)</f>
        <v>0</v>
      </c>
      <c r="H191" s="14" t="n">
        <f aca="false">IF(LEN(TRIM(成員名單!$B14))=0,0,SUM(IF('第 7 天'!D$7=$B191,'第 7 天'!D46,0),IF('第 7 天'!F$7=$B191,'第 7 天'!F46,0),IF('第 7 天'!H$7=$B191,'第 7 天'!H46,0),IF('第 7 天'!J$7=$B191,'第 7 天'!J46,0),IF('第 7 天'!L$7=$B191,'第 7 天'!L46,0),IF('第 7 天'!N$7=$B191,'第 7 天'!N46,0),IF('第 7 天'!P$7=$B191,'第 7 天'!P46,0)))</f>
        <v>0</v>
      </c>
    </row>
    <row r="192" customFormat="false" ht="15" hidden="false" customHeight="false" outlineLevel="0" collapsed="false">
      <c r="A192" s="13" t="s">
        <v>134</v>
      </c>
      <c r="B192" s="13" t="s">
        <v>28</v>
      </c>
      <c r="C192" s="14" t="n">
        <f aca="false">SUM(IF(OR('第 7 天'!D$5="早餐",'第 7 天'!D$5="午餐",'第 7 天'!D$5="晚餐"),'第 7 天'!D62,0),IF(OR('第 7 天'!F$5="早餐",'第 7 天'!F$5="午餐",'第 7 天'!F$5="晚餐"),'第 7 天'!F62,0),IF(OR('第 7 天'!H$5="早餐",'第 7 天'!H$5="午餐",'第 7 天'!H$5="晚餐"),'第 7 天'!H62,0),IF(OR('第 7 天'!J$5="早餐",'第 7 天'!J$5="午餐",'第 7 天'!J$5="晚餐"),'第 7 天'!J62,0),IF(OR('第 7 天'!L$5="早餐",'第 7 天'!L$5="午餐",'第 7 天'!L$5="晚餐"),'第 7 天'!L62,0),IF(OR('第 7 天'!N$5="早餐",'第 7 天'!N$5="午餐",'第 7 天'!N$5="晚餐"),'第 7 天'!N62,0),IF(OR('第 7 天'!P$5="早餐",'第 7 天'!P$5="午餐",'第 7 天'!P$5="晚餐"),'第 7 天'!P62,0))</f>
        <v>0</v>
      </c>
      <c r="D192" s="14" t="n">
        <f aca="false">SUM(IF(OR('第 7 天'!D$5="油錢"),'第 7 天'!D62,0),IF(OR('第 7 天'!F$5="油錢"),'第 7 天'!F62,0),IF(OR('第 7 天'!H$5="油錢"),'第 7 天'!H62,0),IF(OR('第 7 天'!J$5="油錢"),'第 7 天'!J62,0),IF(OR('第 7 天'!L$5="油錢"),'第 7 天'!L62,0),IF(OR('第 7 天'!N$5="油錢"),'第 7 天'!N62,0),IF(OR('第 7 天'!P$5="油錢"),'第 7 天'!P62,0))</f>
        <v>0</v>
      </c>
      <c r="E192" s="14" t="n">
        <f aca="false">SUM(IF(OR('第 7 天'!D$5="租車費"),'第 7 天'!D62,0),IF(OR('第 7 天'!F$5="租車費"),'第 7 天'!F62,0),IF(OR('第 7 天'!H$5="租車費"),'第 7 天'!H62,0),IF(OR('第 7 天'!J$5="租車費"),'第 7 天'!J62,0),IF(OR('第 7 天'!L$5="租車費"),'第 7 天'!L62,0),IF(OR('第 7 天'!N$5="租車費"),'第 7 天'!N62,0),IF(OR('第 7 天'!P$5="租車費"),'第 7 天'!P62,0))</f>
        <v>0</v>
      </c>
      <c r="F192" s="14" t="n">
        <f aca="false">SUM(IF(OR('第 7 天'!D$5="停車費",'第 7 天'!D$5="其他"),'第 7 天'!D62,0),IF(OR('第 7 天'!F$5="停車費",'第 7 天'!F$5="其他"),'第 7 天'!F62,0),IF(OR('第 7 天'!H$5="停車費",'第 7 天'!H$5="其他"),'第 7 天'!H62,0),IF(OR('第 7 天'!J$5="停車費",'第 7 天'!J$5="其他"),'第 7 天'!J62,0),IF(OR('第 7 天'!L$5="停車費",'第 7 天'!L$5="其他"),'第 7 天'!L62,0),IF(OR('第 7 天'!N$5="停車費",'第 7 天'!N$5="其他"),'第 7 天'!N62,0),IF(OR('第 7 天'!P$5="停車費",'第 7 天'!P$5="其他"),'第 7 天'!P62,0))</f>
        <v>0</v>
      </c>
      <c r="G192" s="14" t="n">
        <f aca="false">SUM(C192:F192)</f>
        <v>0</v>
      </c>
      <c r="H192" s="14" t="n">
        <f aca="false">IF(LEN(TRIM(成員名單!$B15))=0,0,SUM(IF('第 7 天'!D$7=$B192,'第 7 天'!D46,0),IF('第 7 天'!F$7=$B192,'第 7 天'!F46,0),IF('第 7 天'!H$7=$B192,'第 7 天'!H46,0),IF('第 7 天'!J$7=$B192,'第 7 天'!J46,0),IF('第 7 天'!L$7=$B192,'第 7 天'!L46,0),IF('第 7 天'!N$7=$B192,'第 7 天'!N46,0),IF('第 7 天'!P$7=$B192,'第 7 天'!P46,0)))</f>
        <v>0</v>
      </c>
    </row>
    <row r="193" customFormat="false" ht="15" hidden="false" customHeight="false" outlineLevel="0" collapsed="false">
      <c r="A193" s="13" t="s">
        <v>134</v>
      </c>
      <c r="B193" s="13" t="s">
        <v>29</v>
      </c>
      <c r="C193" s="14" t="n">
        <f aca="false">SUM(IF(OR('第 7 天'!D$5="早餐",'第 7 天'!D$5="午餐",'第 7 天'!D$5="晚餐"),'第 7 天'!D63,0),IF(OR('第 7 天'!F$5="早餐",'第 7 天'!F$5="午餐",'第 7 天'!F$5="晚餐"),'第 7 天'!F63,0),IF(OR('第 7 天'!H$5="早餐",'第 7 天'!H$5="午餐",'第 7 天'!H$5="晚餐"),'第 7 天'!H63,0),IF(OR('第 7 天'!J$5="早餐",'第 7 天'!J$5="午餐",'第 7 天'!J$5="晚餐"),'第 7 天'!J63,0),IF(OR('第 7 天'!L$5="早餐",'第 7 天'!L$5="午餐",'第 7 天'!L$5="晚餐"),'第 7 天'!L63,0),IF(OR('第 7 天'!N$5="早餐",'第 7 天'!N$5="午餐",'第 7 天'!N$5="晚餐"),'第 7 天'!N63,0),IF(OR('第 7 天'!P$5="早餐",'第 7 天'!P$5="午餐",'第 7 天'!P$5="晚餐"),'第 7 天'!P63,0))</f>
        <v>0</v>
      </c>
      <c r="D193" s="14" t="n">
        <f aca="false">SUM(IF(OR('第 7 天'!D$5="油錢"),'第 7 天'!D63,0),IF(OR('第 7 天'!F$5="油錢"),'第 7 天'!F63,0),IF(OR('第 7 天'!H$5="油錢"),'第 7 天'!H63,0),IF(OR('第 7 天'!J$5="油錢"),'第 7 天'!J63,0),IF(OR('第 7 天'!L$5="油錢"),'第 7 天'!L63,0),IF(OR('第 7 天'!N$5="油錢"),'第 7 天'!N63,0),IF(OR('第 7 天'!P$5="油錢"),'第 7 天'!P63,0))</f>
        <v>0</v>
      </c>
      <c r="E193" s="14" t="n">
        <f aca="false">SUM(IF(OR('第 7 天'!D$5="租車費"),'第 7 天'!D63,0),IF(OR('第 7 天'!F$5="租車費"),'第 7 天'!F63,0),IF(OR('第 7 天'!H$5="租車費"),'第 7 天'!H63,0),IF(OR('第 7 天'!J$5="租車費"),'第 7 天'!J63,0),IF(OR('第 7 天'!L$5="租車費"),'第 7 天'!L63,0),IF(OR('第 7 天'!N$5="租車費"),'第 7 天'!N63,0),IF(OR('第 7 天'!P$5="租車費"),'第 7 天'!P63,0))</f>
        <v>0</v>
      </c>
      <c r="F193" s="14" t="n">
        <f aca="false">SUM(IF(OR('第 7 天'!D$5="停車費",'第 7 天'!D$5="其他"),'第 7 天'!D63,0),IF(OR('第 7 天'!F$5="停車費",'第 7 天'!F$5="其他"),'第 7 天'!F63,0),IF(OR('第 7 天'!H$5="停車費",'第 7 天'!H$5="其他"),'第 7 天'!H63,0),IF(OR('第 7 天'!J$5="停車費",'第 7 天'!J$5="其他"),'第 7 天'!J63,0),IF(OR('第 7 天'!L$5="停車費",'第 7 天'!L$5="其他"),'第 7 天'!L63,0),IF(OR('第 7 天'!N$5="停車費",'第 7 天'!N$5="其他"),'第 7 天'!N63,0),IF(OR('第 7 天'!P$5="停車費",'第 7 天'!P$5="其他"),'第 7 天'!P63,0))</f>
        <v>0</v>
      </c>
      <c r="G193" s="14" t="n">
        <f aca="false">SUM(C193:F193)</f>
        <v>0</v>
      </c>
      <c r="H193" s="14" t="n">
        <f aca="false">IF(LEN(TRIM(成員名單!$B16))=0,0,SUM(IF('第 7 天'!D$7=$B193,'第 7 天'!D46,0),IF('第 7 天'!F$7=$B193,'第 7 天'!F46,0),IF('第 7 天'!H$7=$B193,'第 7 天'!H46,0),IF('第 7 天'!J$7=$B193,'第 7 天'!J46,0),IF('第 7 天'!L$7=$B193,'第 7 天'!L46,0),IF('第 7 天'!N$7=$B193,'第 7 天'!N46,0),IF('第 7 天'!P$7=$B193,'第 7 天'!P46,0)))</f>
        <v>0</v>
      </c>
    </row>
    <row r="194" customFormat="false" ht="15" hidden="false" customHeight="false" outlineLevel="0" collapsed="false">
      <c r="A194" s="13" t="s">
        <v>134</v>
      </c>
      <c r="B194" s="13" t="s">
        <v>30</v>
      </c>
      <c r="C194" s="14" t="n">
        <f aca="false">SUM(IF(OR('第 7 天'!D$5="早餐",'第 7 天'!D$5="午餐",'第 7 天'!D$5="晚餐"),'第 7 天'!D64,0),IF(OR('第 7 天'!F$5="早餐",'第 7 天'!F$5="午餐",'第 7 天'!F$5="晚餐"),'第 7 天'!F64,0),IF(OR('第 7 天'!H$5="早餐",'第 7 天'!H$5="午餐",'第 7 天'!H$5="晚餐"),'第 7 天'!H64,0),IF(OR('第 7 天'!J$5="早餐",'第 7 天'!J$5="午餐",'第 7 天'!J$5="晚餐"),'第 7 天'!J64,0),IF(OR('第 7 天'!L$5="早餐",'第 7 天'!L$5="午餐",'第 7 天'!L$5="晚餐"),'第 7 天'!L64,0),IF(OR('第 7 天'!N$5="早餐",'第 7 天'!N$5="午餐",'第 7 天'!N$5="晚餐"),'第 7 天'!N64,0),IF(OR('第 7 天'!P$5="早餐",'第 7 天'!P$5="午餐",'第 7 天'!P$5="晚餐"),'第 7 天'!P64,0))</f>
        <v>0</v>
      </c>
      <c r="D194" s="14" t="n">
        <f aca="false">SUM(IF(OR('第 7 天'!D$5="油錢"),'第 7 天'!D64,0),IF(OR('第 7 天'!F$5="油錢"),'第 7 天'!F64,0),IF(OR('第 7 天'!H$5="油錢"),'第 7 天'!H64,0),IF(OR('第 7 天'!J$5="油錢"),'第 7 天'!J64,0),IF(OR('第 7 天'!L$5="油錢"),'第 7 天'!L64,0),IF(OR('第 7 天'!N$5="油錢"),'第 7 天'!N64,0),IF(OR('第 7 天'!P$5="油錢"),'第 7 天'!P64,0))</f>
        <v>0</v>
      </c>
      <c r="E194" s="14" t="n">
        <f aca="false">SUM(IF(OR('第 7 天'!D$5="租車費"),'第 7 天'!D64,0),IF(OR('第 7 天'!F$5="租車費"),'第 7 天'!F64,0),IF(OR('第 7 天'!H$5="租車費"),'第 7 天'!H64,0),IF(OR('第 7 天'!J$5="租車費"),'第 7 天'!J64,0),IF(OR('第 7 天'!L$5="租車費"),'第 7 天'!L64,0),IF(OR('第 7 天'!N$5="租車費"),'第 7 天'!N64,0),IF(OR('第 7 天'!P$5="租車費"),'第 7 天'!P64,0))</f>
        <v>0</v>
      </c>
      <c r="F194" s="14" t="n">
        <f aca="false">SUM(IF(OR('第 7 天'!D$5="停車費",'第 7 天'!D$5="其他"),'第 7 天'!D64,0),IF(OR('第 7 天'!F$5="停車費",'第 7 天'!F$5="其他"),'第 7 天'!F64,0),IF(OR('第 7 天'!H$5="停車費",'第 7 天'!H$5="其他"),'第 7 天'!H64,0),IF(OR('第 7 天'!J$5="停車費",'第 7 天'!J$5="其他"),'第 7 天'!J64,0),IF(OR('第 7 天'!L$5="停車費",'第 7 天'!L$5="其他"),'第 7 天'!L64,0),IF(OR('第 7 天'!N$5="停車費",'第 7 天'!N$5="其他"),'第 7 天'!N64,0),IF(OR('第 7 天'!P$5="停車費",'第 7 天'!P$5="其他"),'第 7 天'!P64,0))</f>
        <v>0</v>
      </c>
      <c r="G194" s="14" t="n">
        <f aca="false">SUM(C194:F194)</f>
        <v>0</v>
      </c>
      <c r="H194" s="14" t="n">
        <f aca="false">IF(LEN(TRIM(成員名單!$B17))=0,0,SUM(IF('第 7 天'!D$7=$B194,'第 7 天'!D46,0),IF('第 7 天'!F$7=$B194,'第 7 天'!F46,0),IF('第 7 天'!H$7=$B194,'第 7 天'!H46,0),IF('第 7 天'!J$7=$B194,'第 7 天'!J46,0),IF('第 7 天'!L$7=$B194,'第 7 天'!L46,0),IF('第 7 天'!N$7=$B194,'第 7 天'!N46,0),IF('第 7 天'!P$7=$B194,'第 7 天'!P46,0)))</f>
        <v>0</v>
      </c>
    </row>
    <row r="195" customFormat="false" ht="15" hidden="false" customHeight="false" outlineLevel="0" collapsed="false">
      <c r="A195" s="13" t="s">
        <v>134</v>
      </c>
      <c r="B195" s="13" t="s">
        <v>31</v>
      </c>
      <c r="C195" s="14" t="n">
        <f aca="false">SUM(IF(OR('第 7 天'!D$5="早餐",'第 7 天'!D$5="午餐",'第 7 天'!D$5="晚餐"),'第 7 天'!D65,0),IF(OR('第 7 天'!F$5="早餐",'第 7 天'!F$5="午餐",'第 7 天'!F$5="晚餐"),'第 7 天'!F65,0),IF(OR('第 7 天'!H$5="早餐",'第 7 天'!H$5="午餐",'第 7 天'!H$5="晚餐"),'第 7 天'!H65,0),IF(OR('第 7 天'!J$5="早餐",'第 7 天'!J$5="午餐",'第 7 天'!J$5="晚餐"),'第 7 天'!J65,0),IF(OR('第 7 天'!L$5="早餐",'第 7 天'!L$5="午餐",'第 7 天'!L$5="晚餐"),'第 7 天'!L65,0),IF(OR('第 7 天'!N$5="早餐",'第 7 天'!N$5="午餐",'第 7 天'!N$5="晚餐"),'第 7 天'!N65,0),IF(OR('第 7 天'!P$5="早餐",'第 7 天'!P$5="午餐",'第 7 天'!P$5="晚餐"),'第 7 天'!P65,0))</f>
        <v>0</v>
      </c>
      <c r="D195" s="14" t="n">
        <f aca="false">SUM(IF(OR('第 7 天'!D$5="油錢"),'第 7 天'!D65,0),IF(OR('第 7 天'!F$5="油錢"),'第 7 天'!F65,0),IF(OR('第 7 天'!H$5="油錢"),'第 7 天'!H65,0),IF(OR('第 7 天'!J$5="油錢"),'第 7 天'!J65,0),IF(OR('第 7 天'!L$5="油錢"),'第 7 天'!L65,0),IF(OR('第 7 天'!N$5="油錢"),'第 7 天'!N65,0),IF(OR('第 7 天'!P$5="油錢"),'第 7 天'!P65,0))</f>
        <v>0</v>
      </c>
      <c r="E195" s="14" t="n">
        <f aca="false">SUM(IF(OR('第 7 天'!D$5="租車費"),'第 7 天'!D65,0),IF(OR('第 7 天'!F$5="租車費"),'第 7 天'!F65,0),IF(OR('第 7 天'!H$5="租車費"),'第 7 天'!H65,0),IF(OR('第 7 天'!J$5="租車費"),'第 7 天'!J65,0),IF(OR('第 7 天'!L$5="租車費"),'第 7 天'!L65,0),IF(OR('第 7 天'!N$5="租車費"),'第 7 天'!N65,0),IF(OR('第 7 天'!P$5="租車費"),'第 7 天'!P65,0))</f>
        <v>0</v>
      </c>
      <c r="F195" s="14" t="n">
        <f aca="false">SUM(IF(OR('第 7 天'!D$5="停車費",'第 7 天'!D$5="其他"),'第 7 天'!D65,0),IF(OR('第 7 天'!F$5="停車費",'第 7 天'!F$5="其他"),'第 7 天'!F65,0),IF(OR('第 7 天'!H$5="停車費",'第 7 天'!H$5="其他"),'第 7 天'!H65,0),IF(OR('第 7 天'!J$5="停車費",'第 7 天'!J$5="其他"),'第 7 天'!J65,0),IF(OR('第 7 天'!L$5="停車費",'第 7 天'!L$5="其他"),'第 7 天'!L65,0),IF(OR('第 7 天'!N$5="停車費",'第 7 天'!N$5="其他"),'第 7 天'!N65,0),IF(OR('第 7 天'!P$5="停車費",'第 7 天'!P$5="其他"),'第 7 天'!P65,0))</f>
        <v>0</v>
      </c>
      <c r="G195" s="14" t="n">
        <f aca="false">SUM(C195:F195)</f>
        <v>0</v>
      </c>
      <c r="H195" s="14" t="n">
        <f aca="false">IF(LEN(TRIM(成員名單!$B18))=0,0,SUM(IF('第 7 天'!D$7=$B195,'第 7 天'!D46,0),IF('第 7 天'!F$7=$B195,'第 7 天'!F46,0),IF('第 7 天'!H$7=$B195,'第 7 天'!H46,0),IF('第 7 天'!J$7=$B195,'第 7 天'!J46,0),IF('第 7 天'!L$7=$B195,'第 7 天'!L46,0),IF('第 7 天'!N$7=$B195,'第 7 天'!N46,0),IF('第 7 天'!P$7=$B195,'第 7 天'!P46,0)))</f>
        <v>0</v>
      </c>
    </row>
    <row r="196" customFormat="false" ht="15" hidden="false" customHeight="false" outlineLevel="0" collapsed="false">
      <c r="A196" s="13" t="s">
        <v>134</v>
      </c>
      <c r="B196" s="13" t="s">
        <v>32</v>
      </c>
      <c r="C196" s="14" t="n">
        <f aca="false">SUM(IF(OR('第 7 天'!D$5="早餐",'第 7 天'!D$5="午餐",'第 7 天'!D$5="晚餐"),'第 7 天'!D66,0),IF(OR('第 7 天'!F$5="早餐",'第 7 天'!F$5="午餐",'第 7 天'!F$5="晚餐"),'第 7 天'!F66,0),IF(OR('第 7 天'!H$5="早餐",'第 7 天'!H$5="午餐",'第 7 天'!H$5="晚餐"),'第 7 天'!H66,0),IF(OR('第 7 天'!J$5="早餐",'第 7 天'!J$5="午餐",'第 7 天'!J$5="晚餐"),'第 7 天'!J66,0),IF(OR('第 7 天'!L$5="早餐",'第 7 天'!L$5="午餐",'第 7 天'!L$5="晚餐"),'第 7 天'!L66,0),IF(OR('第 7 天'!N$5="早餐",'第 7 天'!N$5="午餐",'第 7 天'!N$5="晚餐"),'第 7 天'!N66,0),IF(OR('第 7 天'!P$5="早餐",'第 7 天'!P$5="午餐",'第 7 天'!P$5="晚餐"),'第 7 天'!P66,0))</f>
        <v>0</v>
      </c>
      <c r="D196" s="14" t="n">
        <f aca="false">SUM(IF(OR('第 7 天'!D$5="油錢"),'第 7 天'!D66,0),IF(OR('第 7 天'!F$5="油錢"),'第 7 天'!F66,0),IF(OR('第 7 天'!H$5="油錢"),'第 7 天'!H66,0),IF(OR('第 7 天'!J$5="油錢"),'第 7 天'!J66,0),IF(OR('第 7 天'!L$5="油錢"),'第 7 天'!L66,0),IF(OR('第 7 天'!N$5="油錢"),'第 7 天'!N66,0),IF(OR('第 7 天'!P$5="油錢"),'第 7 天'!P66,0))</f>
        <v>0</v>
      </c>
      <c r="E196" s="14" t="n">
        <f aca="false">SUM(IF(OR('第 7 天'!D$5="租車費"),'第 7 天'!D66,0),IF(OR('第 7 天'!F$5="租車費"),'第 7 天'!F66,0),IF(OR('第 7 天'!H$5="租車費"),'第 7 天'!H66,0),IF(OR('第 7 天'!J$5="租車費"),'第 7 天'!J66,0),IF(OR('第 7 天'!L$5="租車費"),'第 7 天'!L66,0),IF(OR('第 7 天'!N$5="租車費"),'第 7 天'!N66,0),IF(OR('第 7 天'!P$5="租車費"),'第 7 天'!P66,0))</f>
        <v>0</v>
      </c>
      <c r="F196" s="14" t="n">
        <f aca="false">SUM(IF(OR('第 7 天'!D$5="停車費",'第 7 天'!D$5="其他"),'第 7 天'!D66,0),IF(OR('第 7 天'!F$5="停車費",'第 7 天'!F$5="其他"),'第 7 天'!F66,0),IF(OR('第 7 天'!H$5="停車費",'第 7 天'!H$5="其他"),'第 7 天'!H66,0),IF(OR('第 7 天'!J$5="停車費",'第 7 天'!J$5="其他"),'第 7 天'!J66,0),IF(OR('第 7 天'!L$5="停車費",'第 7 天'!L$5="其他"),'第 7 天'!L66,0),IF(OR('第 7 天'!N$5="停車費",'第 7 天'!N$5="其他"),'第 7 天'!N66,0),IF(OR('第 7 天'!P$5="停車費",'第 7 天'!P$5="其他"),'第 7 天'!P66,0))</f>
        <v>0</v>
      </c>
      <c r="G196" s="14" t="n">
        <f aca="false">SUM(C196:F196)</f>
        <v>0</v>
      </c>
      <c r="H196" s="14" t="n">
        <f aca="false">IF(LEN(TRIM(成員名單!$B19))=0,0,SUM(IF('第 7 天'!D$7=$B196,'第 7 天'!D46,0),IF('第 7 天'!F$7=$B196,'第 7 天'!F46,0),IF('第 7 天'!H$7=$B196,'第 7 天'!H46,0),IF('第 7 天'!J$7=$B196,'第 7 天'!J46,0),IF('第 7 天'!L$7=$B196,'第 7 天'!L46,0),IF('第 7 天'!N$7=$B196,'第 7 天'!N46,0),IF('第 7 天'!P$7=$B196,'第 7 天'!P46,0)))</f>
        <v>0</v>
      </c>
    </row>
    <row r="197" customFormat="false" ht="15" hidden="false" customHeight="false" outlineLevel="0" collapsed="false">
      <c r="A197" s="13" t="s">
        <v>134</v>
      </c>
      <c r="B197" s="13" t="s">
        <v>33</v>
      </c>
      <c r="C197" s="14" t="n">
        <f aca="false">SUM(IF(OR('第 7 天'!D$5="早餐",'第 7 天'!D$5="午餐",'第 7 天'!D$5="晚餐"),'第 7 天'!D67,0),IF(OR('第 7 天'!F$5="早餐",'第 7 天'!F$5="午餐",'第 7 天'!F$5="晚餐"),'第 7 天'!F67,0),IF(OR('第 7 天'!H$5="早餐",'第 7 天'!H$5="午餐",'第 7 天'!H$5="晚餐"),'第 7 天'!H67,0),IF(OR('第 7 天'!J$5="早餐",'第 7 天'!J$5="午餐",'第 7 天'!J$5="晚餐"),'第 7 天'!J67,0),IF(OR('第 7 天'!L$5="早餐",'第 7 天'!L$5="午餐",'第 7 天'!L$5="晚餐"),'第 7 天'!L67,0),IF(OR('第 7 天'!N$5="早餐",'第 7 天'!N$5="午餐",'第 7 天'!N$5="晚餐"),'第 7 天'!N67,0),IF(OR('第 7 天'!P$5="早餐",'第 7 天'!P$5="午餐",'第 7 天'!P$5="晚餐"),'第 7 天'!P67,0))</f>
        <v>0</v>
      </c>
      <c r="D197" s="14" t="n">
        <f aca="false">SUM(IF(OR('第 7 天'!D$5="油錢"),'第 7 天'!D67,0),IF(OR('第 7 天'!F$5="油錢"),'第 7 天'!F67,0),IF(OR('第 7 天'!H$5="油錢"),'第 7 天'!H67,0),IF(OR('第 7 天'!J$5="油錢"),'第 7 天'!J67,0),IF(OR('第 7 天'!L$5="油錢"),'第 7 天'!L67,0),IF(OR('第 7 天'!N$5="油錢"),'第 7 天'!N67,0),IF(OR('第 7 天'!P$5="油錢"),'第 7 天'!P67,0))</f>
        <v>0</v>
      </c>
      <c r="E197" s="14" t="n">
        <f aca="false">SUM(IF(OR('第 7 天'!D$5="租車費"),'第 7 天'!D67,0),IF(OR('第 7 天'!F$5="租車費"),'第 7 天'!F67,0),IF(OR('第 7 天'!H$5="租車費"),'第 7 天'!H67,0),IF(OR('第 7 天'!J$5="租車費"),'第 7 天'!J67,0),IF(OR('第 7 天'!L$5="租車費"),'第 7 天'!L67,0),IF(OR('第 7 天'!N$5="租車費"),'第 7 天'!N67,0),IF(OR('第 7 天'!P$5="租車費"),'第 7 天'!P67,0))</f>
        <v>0</v>
      </c>
      <c r="F197" s="14" t="n">
        <f aca="false">SUM(IF(OR('第 7 天'!D$5="停車費",'第 7 天'!D$5="其他"),'第 7 天'!D67,0),IF(OR('第 7 天'!F$5="停車費",'第 7 天'!F$5="其他"),'第 7 天'!F67,0),IF(OR('第 7 天'!H$5="停車費",'第 7 天'!H$5="其他"),'第 7 天'!H67,0),IF(OR('第 7 天'!J$5="停車費",'第 7 天'!J$5="其他"),'第 7 天'!J67,0),IF(OR('第 7 天'!L$5="停車費",'第 7 天'!L$5="其他"),'第 7 天'!L67,0),IF(OR('第 7 天'!N$5="停車費",'第 7 天'!N$5="其他"),'第 7 天'!N67,0),IF(OR('第 7 天'!P$5="停車費",'第 7 天'!P$5="其他"),'第 7 天'!P67,0))</f>
        <v>0</v>
      </c>
      <c r="G197" s="14" t="n">
        <f aca="false">SUM(C197:F197)</f>
        <v>0</v>
      </c>
      <c r="H197" s="14" t="n">
        <f aca="false">IF(LEN(TRIM(成員名單!$B20))=0,0,SUM(IF('第 7 天'!D$7=$B197,'第 7 天'!D46,0),IF('第 7 天'!F$7=$B197,'第 7 天'!F46,0),IF('第 7 天'!H$7=$B197,'第 7 天'!H46,0),IF('第 7 天'!J$7=$B197,'第 7 天'!J46,0),IF('第 7 天'!L$7=$B197,'第 7 天'!L46,0),IF('第 7 天'!N$7=$B197,'第 7 天'!N46,0),IF('第 7 天'!P$7=$B197,'第 7 天'!P46,0)))</f>
        <v>0</v>
      </c>
    </row>
    <row r="198" customFormat="false" ht="15" hidden="false" customHeight="false" outlineLevel="0" collapsed="false">
      <c r="A198" s="13" t="s">
        <v>134</v>
      </c>
      <c r="B198" s="13" t="s">
        <v>34</v>
      </c>
      <c r="C198" s="14" t="n">
        <f aca="false">SUM(IF(OR('第 7 天'!D$5="早餐",'第 7 天'!D$5="午餐",'第 7 天'!D$5="晚餐"),'第 7 天'!D68,0),IF(OR('第 7 天'!F$5="早餐",'第 7 天'!F$5="午餐",'第 7 天'!F$5="晚餐"),'第 7 天'!F68,0),IF(OR('第 7 天'!H$5="早餐",'第 7 天'!H$5="午餐",'第 7 天'!H$5="晚餐"),'第 7 天'!H68,0),IF(OR('第 7 天'!J$5="早餐",'第 7 天'!J$5="午餐",'第 7 天'!J$5="晚餐"),'第 7 天'!J68,0),IF(OR('第 7 天'!L$5="早餐",'第 7 天'!L$5="午餐",'第 7 天'!L$5="晚餐"),'第 7 天'!L68,0),IF(OR('第 7 天'!N$5="早餐",'第 7 天'!N$5="午餐",'第 7 天'!N$5="晚餐"),'第 7 天'!N68,0),IF(OR('第 7 天'!P$5="早餐",'第 7 天'!P$5="午餐",'第 7 天'!P$5="晚餐"),'第 7 天'!P68,0))</f>
        <v>0</v>
      </c>
      <c r="D198" s="14" t="n">
        <f aca="false">SUM(IF(OR('第 7 天'!D$5="油錢"),'第 7 天'!D68,0),IF(OR('第 7 天'!F$5="油錢"),'第 7 天'!F68,0),IF(OR('第 7 天'!H$5="油錢"),'第 7 天'!H68,0),IF(OR('第 7 天'!J$5="油錢"),'第 7 天'!J68,0),IF(OR('第 7 天'!L$5="油錢"),'第 7 天'!L68,0),IF(OR('第 7 天'!N$5="油錢"),'第 7 天'!N68,0),IF(OR('第 7 天'!P$5="油錢"),'第 7 天'!P68,0))</f>
        <v>0</v>
      </c>
      <c r="E198" s="14" t="n">
        <f aca="false">SUM(IF(OR('第 7 天'!D$5="租車費"),'第 7 天'!D68,0),IF(OR('第 7 天'!F$5="租車費"),'第 7 天'!F68,0),IF(OR('第 7 天'!H$5="租車費"),'第 7 天'!H68,0),IF(OR('第 7 天'!J$5="租車費"),'第 7 天'!J68,0),IF(OR('第 7 天'!L$5="租車費"),'第 7 天'!L68,0),IF(OR('第 7 天'!N$5="租車費"),'第 7 天'!N68,0),IF(OR('第 7 天'!P$5="租車費"),'第 7 天'!P68,0))</f>
        <v>0</v>
      </c>
      <c r="F198" s="14" t="n">
        <f aca="false">SUM(IF(OR('第 7 天'!D$5="停車費",'第 7 天'!D$5="其他"),'第 7 天'!D68,0),IF(OR('第 7 天'!F$5="停車費",'第 7 天'!F$5="其他"),'第 7 天'!F68,0),IF(OR('第 7 天'!H$5="停車費",'第 7 天'!H$5="其他"),'第 7 天'!H68,0),IF(OR('第 7 天'!J$5="停車費",'第 7 天'!J$5="其他"),'第 7 天'!J68,0),IF(OR('第 7 天'!L$5="停車費",'第 7 天'!L$5="其他"),'第 7 天'!L68,0),IF(OR('第 7 天'!N$5="停車費",'第 7 天'!N$5="其他"),'第 7 天'!N68,0),IF(OR('第 7 天'!P$5="停車費",'第 7 天'!P$5="其他"),'第 7 天'!P68,0))</f>
        <v>0</v>
      </c>
      <c r="G198" s="14" t="n">
        <f aca="false">SUM(C198:F198)</f>
        <v>0</v>
      </c>
      <c r="H198" s="14" t="n">
        <f aca="false">IF(LEN(TRIM(成員名單!$B21))=0,0,SUM(IF('第 7 天'!D$7=$B198,'第 7 天'!D46,0),IF('第 7 天'!F$7=$B198,'第 7 天'!F46,0),IF('第 7 天'!H$7=$B198,'第 7 天'!H46,0),IF('第 7 天'!J$7=$B198,'第 7 天'!J46,0),IF('第 7 天'!L$7=$B198,'第 7 天'!L46,0),IF('第 7 天'!N$7=$B198,'第 7 天'!N46,0),IF('第 7 天'!P$7=$B198,'第 7 天'!P46,0)))</f>
        <v>0</v>
      </c>
    </row>
    <row r="199" customFormat="false" ht="15" hidden="false" customHeight="false" outlineLevel="0" collapsed="false">
      <c r="A199" s="13" t="s">
        <v>134</v>
      </c>
      <c r="B199" s="13" t="s">
        <v>35</v>
      </c>
      <c r="C199" s="14" t="n">
        <f aca="false">SUM(IF(OR('第 7 天'!D$5="早餐",'第 7 天'!D$5="午餐",'第 7 天'!D$5="晚餐"),'第 7 天'!D69,0),IF(OR('第 7 天'!F$5="早餐",'第 7 天'!F$5="午餐",'第 7 天'!F$5="晚餐"),'第 7 天'!F69,0),IF(OR('第 7 天'!H$5="早餐",'第 7 天'!H$5="午餐",'第 7 天'!H$5="晚餐"),'第 7 天'!H69,0),IF(OR('第 7 天'!J$5="早餐",'第 7 天'!J$5="午餐",'第 7 天'!J$5="晚餐"),'第 7 天'!J69,0),IF(OR('第 7 天'!L$5="早餐",'第 7 天'!L$5="午餐",'第 7 天'!L$5="晚餐"),'第 7 天'!L69,0),IF(OR('第 7 天'!N$5="早餐",'第 7 天'!N$5="午餐",'第 7 天'!N$5="晚餐"),'第 7 天'!N69,0),IF(OR('第 7 天'!P$5="早餐",'第 7 天'!P$5="午餐",'第 7 天'!P$5="晚餐"),'第 7 天'!P69,0))</f>
        <v>0</v>
      </c>
      <c r="D199" s="14" t="n">
        <f aca="false">SUM(IF(OR('第 7 天'!D$5="油錢"),'第 7 天'!D69,0),IF(OR('第 7 天'!F$5="油錢"),'第 7 天'!F69,0),IF(OR('第 7 天'!H$5="油錢"),'第 7 天'!H69,0),IF(OR('第 7 天'!J$5="油錢"),'第 7 天'!J69,0),IF(OR('第 7 天'!L$5="油錢"),'第 7 天'!L69,0),IF(OR('第 7 天'!N$5="油錢"),'第 7 天'!N69,0),IF(OR('第 7 天'!P$5="油錢"),'第 7 天'!P69,0))</f>
        <v>0</v>
      </c>
      <c r="E199" s="14" t="n">
        <f aca="false">SUM(IF(OR('第 7 天'!D$5="租車費"),'第 7 天'!D69,0),IF(OR('第 7 天'!F$5="租車費"),'第 7 天'!F69,0),IF(OR('第 7 天'!H$5="租車費"),'第 7 天'!H69,0),IF(OR('第 7 天'!J$5="租車費"),'第 7 天'!J69,0),IF(OR('第 7 天'!L$5="租車費"),'第 7 天'!L69,0),IF(OR('第 7 天'!N$5="租車費"),'第 7 天'!N69,0),IF(OR('第 7 天'!P$5="租車費"),'第 7 天'!P69,0))</f>
        <v>0</v>
      </c>
      <c r="F199" s="14" t="n">
        <f aca="false">SUM(IF(OR('第 7 天'!D$5="停車費",'第 7 天'!D$5="其他"),'第 7 天'!D69,0),IF(OR('第 7 天'!F$5="停車費",'第 7 天'!F$5="其他"),'第 7 天'!F69,0),IF(OR('第 7 天'!H$5="停車費",'第 7 天'!H$5="其他"),'第 7 天'!H69,0),IF(OR('第 7 天'!J$5="停車費",'第 7 天'!J$5="其他"),'第 7 天'!J69,0),IF(OR('第 7 天'!L$5="停車費",'第 7 天'!L$5="其他"),'第 7 天'!L69,0),IF(OR('第 7 天'!N$5="停車費",'第 7 天'!N$5="其他"),'第 7 天'!N69,0),IF(OR('第 7 天'!P$5="停車費",'第 7 天'!P$5="其他"),'第 7 天'!P69,0))</f>
        <v>0</v>
      </c>
      <c r="G199" s="14" t="n">
        <f aca="false">SUM(C199:F199)</f>
        <v>0</v>
      </c>
      <c r="H199" s="14" t="n">
        <f aca="false">IF(LEN(TRIM(成員名單!$B22))=0,0,SUM(IF('第 7 天'!D$7=$B199,'第 7 天'!D46,0),IF('第 7 天'!F$7=$B199,'第 7 天'!F46,0),IF('第 7 天'!H$7=$B199,'第 7 天'!H46,0),IF('第 7 天'!J$7=$B199,'第 7 天'!J46,0),IF('第 7 天'!L$7=$B199,'第 7 天'!L46,0),IF('第 7 天'!N$7=$B199,'第 7 天'!N46,0),IF('第 7 天'!P$7=$B199,'第 7 天'!P46,0)))</f>
        <v>0</v>
      </c>
    </row>
    <row r="200" customFormat="false" ht="15" hidden="false" customHeight="false" outlineLevel="0" collapsed="false">
      <c r="A200" s="13" t="s">
        <v>134</v>
      </c>
      <c r="B200" s="13" t="s">
        <v>36</v>
      </c>
      <c r="C200" s="14" t="n">
        <f aca="false">SUM(IF(OR('第 7 天'!D$5="早餐",'第 7 天'!D$5="午餐",'第 7 天'!D$5="晚餐"),'第 7 天'!D70,0),IF(OR('第 7 天'!F$5="早餐",'第 7 天'!F$5="午餐",'第 7 天'!F$5="晚餐"),'第 7 天'!F70,0),IF(OR('第 7 天'!H$5="早餐",'第 7 天'!H$5="午餐",'第 7 天'!H$5="晚餐"),'第 7 天'!H70,0),IF(OR('第 7 天'!J$5="早餐",'第 7 天'!J$5="午餐",'第 7 天'!J$5="晚餐"),'第 7 天'!J70,0),IF(OR('第 7 天'!L$5="早餐",'第 7 天'!L$5="午餐",'第 7 天'!L$5="晚餐"),'第 7 天'!L70,0),IF(OR('第 7 天'!N$5="早餐",'第 7 天'!N$5="午餐",'第 7 天'!N$5="晚餐"),'第 7 天'!N70,0),IF(OR('第 7 天'!P$5="早餐",'第 7 天'!P$5="午餐",'第 7 天'!P$5="晚餐"),'第 7 天'!P70,0))</f>
        <v>0</v>
      </c>
      <c r="D200" s="14" t="n">
        <f aca="false">SUM(IF(OR('第 7 天'!D$5="油錢"),'第 7 天'!D70,0),IF(OR('第 7 天'!F$5="油錢"),'第 7 天'!F70,0),IF(OR('第 7 天'!H$5="油錢"),'第 7 天'!H70,0),IF(OR('第 7 天'!J$5="油錢"),'第 7 天'!J70,0),IF(OR('第 7 天'!L$5="油錢"),'第 7 天'!L70,0),IF(OR('第 7 天'!N$5="油錢"),'第 7 天'!N70,0),IF(OR('第 7 天'!P$5="油錢"),'第 7 天'!P70,0))</f>
        <v>0</v>
      </c>
      <c r="E200" s="14" t="n">
        <f aca="false">SUM(IF(OR('第 7 天'!D$5="租車費"),'第 7 天'!D70,0),IF(OR('第 7 天'!F$5="租車費"),'第 7 天'!F70,0),IF(OR('第 7 天'!H$5="租車費"),'第 7 天'!H70,0),IF(OR('第 7 天'!J$5="租車費"),'第 7 天'!J70,0),IF(OR('第 7 天'!L$5="租車費"),'第 7 天'!L70,0),IF(OR('第 7 天'!N$5="租車費"),'第 7 天'!N70,0),IF(OR('第 7 天'!P$5="租車費"),'第 7 天'!P70,0))</f>
        <v>0</v>
      </c>
      <c r="F200" s="14" t="n">
        <f aca="false">SUM(IF(OR('第 7 天'!D$5="停車費",'第 7 天'!D$5="其他"),'第 7 天'!D70,0),IF(OR('第 7 天'!F$5="停車費",'第 7 天'!F$5="其他"),'第 7 天'!F70,0),IF(OR('第 7 天'!H$5="停車費",'第 7 天'!H$5="其他"),'第 7 天'!H70,0),IF(OR('第 7 天'!J$5="停車費",'第 7 天'!J$5="其他"),'第 7 天'!J70,0),IF(OR('第 7 天'!L$5="停車費",'第 7 天'!L$5="其他"),'第 7 天'!L70,0),IF(OR('第 7 天'!N$5="停車費",'第 7 天'!N$5="其他"),'第 7 天'!N70,0),IF(OR('第 7 天'!P$5="停車費",'第 7 天'!P$5="其他"),'第 7 天'!P70,0))</f>
        <v>0</v>
      </c>
      <c r="G200" s="14" t="n">
        <f aca="false">SUM(C200:F200)</f>
        <v>0</v>
      </c>
      <c r="H200" s="14" t="n">
        <f aca="false">IF(LEN(TRIM(成員名單!$B23))=0,0,SUM(IF('第 7 天'!D$7=$B200,'第 7 天'!D46,0),IF('第 7 天'!F$7=$B200,'第 7 天'!F46,0),IF('第 7 天'!H$7=$B200,'第 7 天'!H46,0),IF('第 7 天'!J$7=$B200,'第 7 天'!J46,0),IF('第 7 天'!L$7=$B200,'第 7 天'!L46,0),IF('第 7 天'!N$7=$B200,'第 7 天'!N46,0),IF('第 7 天'!P$7=$B200,'第 7 天'!P46,0)))</f>
        <v>0</v>
      </c>
    </row>
    <row r="201" customFormat="false" ht="15" hidden="false" customHeight="false" outlineLevel="0" collapsed="false">
      <c r="A201" s="13" t="s">
        <v>134</v>
      </c>
      <c r="B201" s="13" t="s">
        <v>37</v>
      </c>
      <c r="C201" s="14" t="n">
        <f aca="false">SUM(IF(OR('第 7 天'!D$5="早餐",'第 7 天'!D$5="午餐",'第 7 天'!D$5="晚餐"),'第 7 天'!D71,0),IF(OR('第 7 天'!F$5="早餐",'第 7 天'!F$5="午餐",'第 7 天'!F$5="晚餐"),'第 7 天'!F71,0),IF(OR('第 7 天'!H$5="早餐",'第 7 天'!H$5="午餐",'第 7 天'!H$5="晚餐"),'第 7 天'!H71,0),IF(OR('第 7 天'!J$5="早餐",'第 7 天'!J$5="午餐",'第 7 天'!J$5="晚餐"),'第 7 天'!J71,0),IF(OR('第 7 天'!L$5="早餐",'第 7 天'!L$5="午餐",'第 7 天'!L$5="晚餐"),'第 7 天'!L71,0),IF(OR('第 7 天'!N$5="早餐",'第 7 天'!N$5="午餐",'第 7 天'!N$5="晚餐"),'第 7 天'!N71,0),IF(OR('第 7 天'!P$5="早餐",'第 7 天'!P$5="午餐",'第 7 天'!P$5="晚餐"),'第 7 天'!P71,0))</f>
        <v>0</v>
      </c>
      <c r="D201" s="14" t="n">
        <f aca="false">SUM(IF(OR('第 7 天'!D$5="油錢"),'第 7 天'!D71,0),IF(OR('第 7 天'!F$5="油錢"),'第 7 天'!F71,0),IF(OR('第 7 天'!H$5="油錢"),'第 7 天'!H71,0),IF(OR('第 7 天'!J$5="油錢"),'第 7 天'!J71,0),IF(OR('第 7 天'!L$5="油錢"),'第 7 天'!L71,0),IF(OR('第 7 天'!N$5="油錢"),'第 7 天'!N71,0),IF(OR('第 7 天'!P$5="油錢"),'第 7 天'!P71,0))</f>
        <v>0</v>
      </c>
      <c r="E201" s="14" t="n">
        <f aca="false">SUM(IF(OR('第 7 天'!D$5="租車費"),'第 7 天'!D71,0),IF(OR('第 7 天'!F$5="租車費"),'第 7 天'!F71,0),IF(OR('第 7 天'!H$5="租車費"),'第 7 天'!H71,0),IF(OR('第 7 天'!J$5="租車費"),'第 7 天'!J71,0),IF(OR('第 7 天'!L$5="租車費"),'第 7 天'!L71,0),IF(OR('第 7 天'!N$5="租車費"),'第 7 天'!N71,0),IF(OR('第 7 天'!P$5="租車費"),'第 7 天'!P71,0))</f>
        <v>0</v>
      </c>
      <c r="F201" s="14" t="n">
        <f aca="false">SUM(IF(OR('第 7 天'!D$5="停車費",'第 7 天'!D$5="其他"),'第 7 天'!D71,0),IF(OR('第 7 天'!F$5="停車費",'第 7 天'!F$5="其他"),'第 7 天'!F71,0),IF(OR('第 7 天'!H$5="停車費",'第 7 天'!H$5="其他"),'第 7 天'!H71,0),IF(OR('第 7 天'!J$5="停車費",'第 7 天'!J$5="其他"),'第 7 天'!J71,0),IF(OR('第 7 天'!L$5="停車費",'第 7 天'!L$5="其他"),'第 7 天'!L71,0),IF(OR('第 7 天'!N$5="停車費",'第 7 天'!N$5="其他"),'第 7 天'!N71,0),IF(OR('第 7 天'!P$5="停車費",'第 7 天'!P$5="其他"),'第 7 天'!P71,0))</f>
        <v>0</v>
      </c>
      <c r="G201" s="14" t="n">
        <f aca="false">SUM(C201:F201)</f>
        <v>0</v>
      </c>
      <c r="H201" s="14" t="n">
        <f aca="false">IF(LEN(TRIM(成員名單!$B24))=0,0,SUM(IF('第 7 天'!D$7=$B201,'第 7 天'!D46,0),IF('第 7 天'!F$7=$B201,'第 7 天'!F46,0),IF('第 7 天'!H$7=$B201,'第 7 天'!H46,0),IF('第 7 天'!J$7=$B201,'第 7 天'!J46,0),IF('第 7 天'!L$7=$B201,'第 7 天'!L46,0),IF('第 7 天'!N$7=$B201,'第 7 天'!N46,0),IF('第 7 天'!P$7=$B201,'第 7 天'!P46,0)))</f>
        <v>0</v>
      </c>
    </row>
    <row r="202" customFormat="false" ht="15" hidden="false" customHeight="false" outlineLevel="0" collapsed="false">
      <c r="A202" s="13" t="s">
        <v>134</v>
      </c>
      <c r="B202" s="13" t="s">
        <v>38</v>
      </c>
      <c r="C202" s="14" t="n">
        <f aca="false">SUM(IF(OR('第 7 天'!D$5="早餐",'第 7 天'!D$5="午餐",'第 7 天'!D$5="晚餐"),'第 7 天'!D72,0),IF(OR('第 7 天'!F$5="早餐",'第 7 天'!F$5="午餐",'第 7 天'!F$5="晚餐"),'第 7 天'!F72,0),IF(OR('第 7 天'!H$5="早餐",'第 7 天'!H$5="午餐",'第 7 天'!H$5="晚餐"),'第 7 天'!H72,0),IF(OR('第 7 天'!J$5="早餐",'第 7 天'!J$5="午餐",'第 7 天'!J$5="晚餐"),'第 7 天'!J72,0),IF(OR('第 7 天'!L$5="早餐",'第 7 天'!L$5="午餐",'第 7 天'!L$5="晚餐"),'第 7 天'!L72,0),IF(OR('第 7 天'!N$5="早餐",'第 7 天'!N$5="午餐",'第 7 天'!N$5="晚餐"),'第 7 天'!N72,0),IF(OR('第 7 天'!P$5="早餐",'第 7 天'!P$5="午餐",'第 7 天'!P$5="晚餐"),'第 7 天'!P72,0))</f>
        <v>0</v>
      </c>
      <c r="D202" s="14" t="n">
        <f aca="false">SUM(IF(OR('第 7 天'!D$5="油錢"),'第 7 天'!D72,0),IF(OR('第 7 天'!F$5="油錢"),'第 7 天'!F72,0),IF(OR('第 7 天'!H$5="油錢"),'第 7 天'!H72,0),IF(OR('第 7 天'!J$5="油錢"),'第 7 天'!J72,0),IF(OR('第 7 天'!L$5="油錢"),'第 7 天'!L72,0),IF(OR('第 7 天'!N$5="油錢"),'第 7 天'!N72,0),IF(OR('第 7 天'!P$5="油錢"),'第 7 天'!P72,0))</f>
        <v>0</v>
      </c>
      <c r="E202" s="14" t="n">
        <f aca="false">SUM(IF(OR('第 7 天'!D$5="租車費"),'第 7 天'!D72,0),IF(OR('第 7 天'!F$5="租車費"),'第 7 天'!F72,0),IF(OR('第 7 天'!H$5="租車費"),'第 7 天'!H72,0),IF(OR('第 7 天'!J$5="租車費"),'第 7 天'!J72,0),IF(OR('第 7 天'!L$5="租車費"),'第 7 天'!L72,0),IF(OR('第 7 天'!N$5="租車費"),'第 7 天'!N72,0),IF(OR('第 7 天'!P$5="租車費"),'第 7 天'!P72,0))</f>
        <v>0</v>
      </c>
      <c r="F202" s="14" t="n">
        <f aca="false">SUM(IF(OR('第 7 天'!D$5="停車費",'第 7 天'!D$5="其他"),'第 7 天'!D72,0),IF(OR('第 7 天'!F$5="停車費",'第 7 天'!F$5="其他"),'第 7 天'!F72,0),IF(OR('第 7 天'!H$5="停車費",'第 7 天'!H$5="其他"),'第 7 天'!H72,0),IF(OR('第 7 天'!J$5="停車費",'第 7 天'!J$5="其他"),'第 7 天'!J72,0),IF(OR('第 7 天'!L$5="停車費",'第 7 天'!L$5="其他"),'第 7 天'!L72,0),IF(OR('第 7 天'!N$5="停車費",'第 7 天'!N$5="其他"),'第 7 天'!N72,0),IF(OR('第 7 天'!P$5="停車費",'第 7 天'!P$5="其他"),'第 7 天'!P72,0))</f>
        <v>0</v>
      </c>
      <c r="G202" s="14" t="n">
        <f aca="false">SUM(C202:F202)</f>
        <v>0</v>
      </c>
      <c r="H202" s="14" t="n">
        <f aca="false">IF(LEN(TRIM(成員名單!$B25))=0,0,SUM(IF('第 7 天'!D$7=$B202,'第 7 天'!D46,0),IF('第 7 天'!F$7=$B202,'第 7 天'!F46,0),IF('第 7 天'!H$7=$B202,'第 7 天'!H46,0),IF('第 7 天'!J$7=$B202,'第 7 天'!J46,0),IF('第 7 天'!L$7=$B202,'第 7 天'!L46,0),IF('第 7 天'!N$7=$B202,'第 7 天'!N46,0),IF('第 7 天'!P$7=$B202,'第 7 天'!P46,0)))</f>
        <v>0</v>
      </c>
    </row>
    <row r="203" customFormat="false" ht="15" hidden="false" customHeight="false" outlineLevel="0" collapsed="false">
      <c r="A203" s="13" t="s">
        <v>134</v>
      </c>
      <c r="B203" s="13" t="s">
        <v>39</v>
      </c>
      <c r="C203" s="14" t="n">
        <f aca="false">SUM(IF(OR('第 7 天'!D$5="早餐",'第 7 天'!D$5="午餐",'第 7 天'!D$5="晚餐"),'第 7 天'!D73,0),IF(OR('第 7 天'!F$5="早餐",'第 7 天'!F$5="午餐",'第 7 天'!F$5="晚餐"),'第 7 天'!F73,0),IF(OR('第 7 天'!H$5="早餐",'第 7 天'!H$5="午餐",'第 7 天'!H$5="晚餐"),'第 7 天'!H73,0),IF(OR('第 7 天'!J$5="早餐",'第 7 天'!J$5="午餐",'第 7 天'!J$5="晚餐"),'第 7 天'!J73,0),IF(OR('第 7 天'!L$5="早餐",'第 7 天'!L$5="午餐",'第 7 天'!L$5="晚餐"),'第 7 天'!L73,0),IF(OR('第 7 天'!N$5="早餐",'第 7 天'!N$5="午餐",'第 7 天'!N$5="晚餐"),'第 7 天'!N73,0),IF(OR('第 7 天'!P$5="早餐",'第 7 天'!P$5="午餐",'第 7 天'!P$5="晚餐"),'第 7 天'!P73,0))</f>
        <v>0</v>
      </c>
      <c r="D203" s="14" t="n">
        <f aca="false">SUM(IF(OR('第 7 天'!D$5="油錢"),'第 7 天'!D73,0),IF(OR('第 7 天'!F$5="油錢"),'第 7 天'!F73,0),IF(OR('第 7 天'!H$5="油錢"),'第 7 天'!H73,0),IF(OR('第 7 天'!J$5="油錢"),'第 7 天'!J73,0),IF(OR('第 7 天'!L$5="油錢"),'第 7 天'!L73,0),IF(OR('第 7 天'!N$5="油錢"),'第 7 天'!N73,0),IF(OR('第 7 天'!P$5="油錢"),'第 7 天'!P73,0))</f>
        <v>0</v>
      </c>
      <c r="E203" s="14" t="n">
        <f aca="false">SUM(IF(OR('第 7 天'!D$5="租車費"),'第 7 天'!D73,0),IF(OR('第 7 天'!F$5="租車費"),'第 7 天'!F73,0),IF(OR('第 7 天'!H$5="租車費"),'第 7 天'!H73,0),IF(OR('第 7 天'!J$5="租車費"),'第 7 天'!J73,0),IF(OR('第 7 天'!L$5="租車費"),'第 7 天'!L73,0),IF(OR('第 7 天'!N$5="租車費"),'第 7 天'!N73,0),IF(OR('第 7 天'!P$5="租車費"),'第 7 天'!P73,0))</f>
        <v>0</v>
      </c>
      <c r="F203" s="14" t="n">
        <f aca="false">SUM(IF(OR('第 7 天'!D$5="停車費",'第 7 天'!D$5="其他"),'第 7 天'!D73,0),IF(OR('第 7 天'!F$5="停車費",'第 7 天'!F$5="其他"),'第 7 天'!F73,0),IF(OR('第 7 天'!H$5="停車費",'第 7 天'!H$5="其他"),'第 7 天'!H73,0),IF(OR('第 7 天'!J$5="停車費",'第 7 天'!J$5="其他"),'第 7 天'!J73,0),IF(OR('第 7 天'!L$5="停車費",'第 7 天'!L$5="其他"),'第 7 天'!L73,0),IF(OR('第 7 天'!N$5="停車費",'第 7 天'!N$5="其他"),'第 7 天'!N73,0),IF(OR('第 7 天'!P$5="停車費",'第 7 天'!P$5="其他"),'第 7 天'!P73,0))</f>
        <v>0</v>
      </c>
      <c r="G203" s="14" t="n">
        <f aca="false">SUM(C203:F203)</f>
        <v>0</v>
      </c>
      <c r="H203" s="14" t="n">
        <f aca="false">IF(LEN(TRIM(成員名單!$B26))=0,0,SUM(IF('第 7 天'!D$7=$B203,'第 7 天'!D46,0),IF('第 7 天'!F$7=$B203,'第 7 天'!F46,0),IF('第 7 天'!H$7=$B203,'第 7 天'!H46,0),IF('第 7 天'!J$7=$B203,'第 7 天'!J46,0),IF('第 7 天'!L$7=$B203,'第 7 天'!L46,0),IF('第 7 天'!N$7=$B203,'第 7 天'!N46,0),IF('第 7 天'!P$7=$B203,'第 7 天'!P46,0)))</f>
        <v>0</v>
      </c>
    </row>
    <row r="204" customFormat="false" ht="15" hidden="false" customHeight="false" outlineLevel="0" collapsed="false">
      <c r="A204" s="13" t="s">
        <v>134</v>
      </c>
      <c r="B204" s="13" t="s">
        <v>40</v>
      </c>
      <c r="C204" s="14" t="n">
        <f aca="false">SUM(IF(OR('第 7 天'!D$5="早餐",'第 7 天'!D$5="午餐",'第 7 天'!D$5="晚餐"),'第 7 天'!D74,0),IF(OR('第 7 天'!F$5="早餐",'第 7 天'!F$5="午餐",'第 7 天'!F$5="晚餐"),'第 7 天'!F74,0),IF(OR('第 7 天'!H$5="早餐",'第 7 天'!H$5="午餐",'第 7 天'!H$5="晚餐"),'第 7 天'!H74,0),IF(OR('第 7 天'!J$5="早餐",'第 7 天'!J$5="午餐",'第 7 天'!J$5="晚餐"),'第 7 天'!J74,0),IF(OR('第 7 天'!L$5="早餐",'第 7 天'!L$5="午餐",'第 7 天'!L$5="晚餐"),'第 7 天'!L74,0),IF(OR('第 7 天'!N$5="早餐",'第 7 天'!N$5="午餐",'第 7 天'!N$5="晚餐"),'第 7 天'!N74,0),IF(OR('第 7 天'!P$5="早餐",'第 7 天'!P$5="午餐",'第 7 天'!P$5="晚餐"),'第 7 天'!P74,0))</f>
        <v>0</v>
      </c>
      <c r="D204" s="14" t="n">
        <f aca="false">SUM(IF(OR('第 7 天'!D$5="油錢"),'第 7 天'!D74,0),IF(OR('第 7 天'!F$5="油錢"),'第 7 天'!F74,0),IF(OR('第 7 天'!H$5="油錢"),'第 7 天'!H74,0),IF(OR('第 7 天'!J$5="油錢"),'第 7 天'!J74,0),IF(OR('第 7 天'!L$5="油錢"),'第 7 天'!L74,0),IF(OR('第 7 天'!N$5="油錢"),'第 7 天'!N74,0),IF(OR('第 7 天'!P$5="油錢"),'第 7 天'!P74,0))</f>
        <v>0</v>
      </c>
      <c r="E204" s="14" t="n">
        <f aca="false">SUM(IF(OR('第 7 天'!D$5="租車費"),'第 7 天'!D74,0),IF(OR('第 7 天'!F$5="租車費"),'第 7 天'!F74,0),IF(OR('第 7 天'!H$5="租車費"),'第 7 天'!H74,0),IF(OR('第 7 天'!J$5="租車費"),'第 7 天'!J74,0),IF(OR('第 7 天'!L$5="租車費"),'第 7 天'!L74,0),IF(OR('第 7 天'!N$5="租車費"),'第 7 天'!N74,0),IF(OR('第 7 天'!P$5="租車費"),'第 7 天'!P74,0))</f>
        <v>0</v>
      </c>
      <c r="F204" s="14" t="n">
        <f aca="false">SUM(IF(OR('第 7 天'!D$5="停車費",'第 7 天'!D$5="其他"),'第 7 天'!D74,0),IF(OR('第 7 天'!F$5="停車費",'第 7 天'!F$5="其他"),'第 7 天'!F74,0),IF(OR('第 7 天'!H$5="停車費",'第 7 天'!H$5="其他"),'第 7 天'!H74,0),IF(OR('第 7 天'!J$5="停車費",'第 7 天'!J$5="其他"),'第 7 天'!J74,0),IF(OR('第 7 天'!L$5="停車費",'第 7 天'!L$5="其他"),'第 7 天'!L74,0),IF(OR('第 7 天'!N$5="停車費",'第 7 天'!N$5="其他"),'第 7 天'!N74,0),IF(OR('第 7 天'!P$5="停車費",'第 7 天'!P$5="其他"),'第 7 天'!P74,0))</f>
        <v>0</v>
      </c>
      <c r="G204" s="14" t="n">
        <f aca="false">SUM(C204:F204)</f>
        <v>0</v>
      </c>
      <c r="H204" s="14" t="n">
        <f aca="false">IF(LEN(TRIM(成員名單!$B27))=0,0,SUM(IF('第 7 天'!D$7=$B204,'第 7 天'!D46,0),IF('第 7 天'!F$7=$B204,'第 7 天'!F46,0),IF('第 7 天'!H$7=$B204,'第 7 天'!H46,0),IF('第 7 天'!J$7=$B204,'第 7 天'!J46,0),IF('第 7 天'!L$7=$B204,'第 7 天'!L46,0),IF('第 7 天'!N$7=$B204,'第 7 天'!N46,0),IF('第 7 天'!P$7=$B204,'第 7 天'!P46,0)))</f>
        <v>0</v>
      </c>
    </row>
    <row r="205" customFormat="false" ht="15" hidden="false" customHeight="false" outlineLevel="0" collapsed="false">
      <c r="A205" s="13" t="s">
        <v>134</v>
      </c>
      <c r="B205" s="13" t="s">
        <v>41</v>
      </c>
      <c r="C205" s="14" t="n">
        <f aca="false">SUM(IF(OR('第 7 天'!D$5="早餐",'第 7 天'!D$5="午餐",'第 7 天'!D$5="晚餐"),'第 7 天'!D75,0),IF(OR('第 7 天'!F$5="早餐",'第 7 天'!F$5="午餐",'第 7 天'!F$5="晚餐"),'第 7 天'!F75,0),IF(OR('第 7 天'!H$5="早餐",'第 7 天'!H$5="午餐",'第 7 天'!H$5="晚餐"),'第 7 天'!H75,0),IF(OR('第 7 天'!J$5="早餐",'第 7 天'!J$5="午餐",'第 7 天'!J$5="晚餐"),'第 7 天'!J75,0),IF(OR('第 7 天'!L$5="早餐",'第 7 天'!L$5="午餐",'第 7 天'!L$5="晚餐"),'第 7 天'!L75,0),IF(OR('第 7 天'!N$5="早餐",'第 7 天'!N$5="午餐",'第 7 天'!N$5="晚餐"),'第 7 天'!N75,0),IF(OR('第 7 天'!P$5="早餐",'第 7 天'!P$5="午餐",'第 7 天'!P$5="晚餐"),'第 7 天'!P75,0))</f>
        <v>0</v>
      </c>
      <c r="D205" s="14" t="n">
        <f aca="false">SUM(IF(OR('第 7 天'!D$5="油錢"),'第 7 天'!D75,0),IF(OR('第 7 天'!F$5="油錢"),'第 7 天'!F75,0),IF(OR('第 7 天'!H$5="油錢"),'第 7 天'!H75,0),IF(OR('第 7 天'!J$5="油錢"),'第 7 天'!J75,0),IF(OR('第 7 天'!L$5="油錢"),'第 7 天'!L75,0),IF(OR('第 7 天'!N$5="油錢"),'第 7 天'!N75,0),IF(OR('第 7 天'!P$5="油錢"),'第 7 天'!P75,0))</f>
        <v>0</v>
      </c>
      <c r="E205" s="14" t="n">
        <f aca="false">SUM(IF(OR('第 7 天'!D$5="租車費"),'第 7 天'!D75,0),IF(OR('第 7 天'!F$5="租車費"),'第 7 天'!F75,0),IF(OR('第 7 天'!H$5="租車費"),'第 7 天'!H75,0),IF(OR('第 7 天'!J$5="租車費"),'第 7 天'!J75,0),IF(OR('第 7 天'!L$5="租車費"),'第 7 天'!L75,0),IF(OR('第 7 天'!N$5="租車費"),'第 7 天'!N75,0),IF(OR('第 7 天'!P$5="租車費"),'第 7 天'!P75,0))</f>
        <v>0</v>
      </c>
      <c r="F205" s="14" t="n">
        <f aca="false">SUM(IF(OR('第 7 天'!D$5="停車費",'第 7 天'!D$5="其他"),'第 7 天'!D75,0),IF(OR('第 7 天'!F$5="停車費",'第 7 天'!F$5="其他"),'第 7 天'!F75,0),IF(OR('第 7 天'!H$5="停車費",'第 7 天'!H$5="其他"),'第 7 天'!H75,0),IF(OR('第 7 天'!J$5="停車費",'第 7 天'!J$5="其他"),'第 7 天'!J75,0),IF(OR('第 7 天'!L$5="停車費",'第 7 天'!L$5="其他"),'第 7 天'!L75,0),IF(OR('第 7 天'!N$5="停車費",'第 7 天'!N$5="其他"),'第 7 天'!N75,0),IF(OR('第 7 天'!P$5="停車費",'第 7 天'!P$5="其他"),'第 7 天'!P75,0))</f>
        <v>0</v>
      </c>
      <c r="G205" s="14" t="n">
        <f aca="false">SUM(C205:F205)</f>
        <v>0</v>
      </c>
      <c r="H205" s="14" t="n">
        <f aca="false">IF(LEN(TRIM(成員名單!$B28))=0,0,SUM(IF('第 7 天'!D$7=$B205,'第 7 天'!D46,0),IF('第 7 天'!F$7=$B205,'第 7 天'!F46,0),IF('第 7 天'!H$7=$B205,'第 7 天'!H46,0),IF('第 7 天'!J$7=$B205,'第 7 天'!J46,0),IF('第 7 天'!L$7=$B205,'第 7 天'!L46,0),IF('第 7 天'!N$7=$B205,'第 7 天'!N46,0),IF('第 7 天'!P$7=$B205,'第 7 天'!P46,0)))</f>
        <v>0</v>
      </c>
    </row>
    <row r="206" customFormat="false" ht="15" hidden="false" customHeight="false" outlineLevel="0" collapsed="false">
      <c r="A206" s="13" t="s">
        <v>134</v>
      </c>
      <c r="B206" s="13" t="s">
        <v>42</v>
      </c>
      <c r="C206" s="14" t="n">
        <f aca="false">SUM(IF(OR('第 7 天'!D$5="早餐",'第 7 天'!D$5="午餐",'第 7 天'!D$5="晚餐"),'第 7 天'!D76,0),IF(OR('第 7 天'!F$5="早餐",'第 7 天'!F$5="午餐",'第 7 天'!F$5="晚餐"),'第 7 天'!F76,0),IF(OR('第 7 天'!H$5="早餐",'第 7 天'!H$5="午餐",'第 7 天'!H$5="晚餐"),'第 7 天'!H76,0),IF(OR('第 7 天'!J$5="早餐",'第 7 天'!J$5="午餐",'第 7 天'!J$5="晚餐"),'第 7 天'!J76,0),IF(OR('第 7 天'!L$5="早餐",'第 7 天'!L$5="午餐",'第 7 天'!L$5="晚餐"),'第 7 天'!L76,0),IF(OR('第 7 天'!N$5="早餐",'第 7 天'!N$5="午餐",'第 7 天'!N$5="晚餐"),'第 7 天'!N76,0),IF(OR('第 7 天'!P$5="早餐",'第 7 天'!P$5="午餐",'第 7 天'!P$5="晚餐"),'第 7 天'!P76,0))</f>
        <v>0</v>
      </c>
      <c r="D206" s="14" t="n">
        <f aca="false">SUM(IF(OR('第 7 天'!D$5="油錢"),'第 7 天'!D76,0),IF(OR('第 7 天'!F$5="油錢"),'第 7 天'!F76,0),IF(OR('第 7 天'!H$5="油錢"),'第 7 天'!H76,0),IF(OR('第 7 天'!J$5="油錢"),'第 7 天'!J76,0),IF(OR('第 7 天'!L$5="油錢"),'第 7 天'!L76,0),IF(OR('第 7 天'!N$5="油錢"),'第 7 天'!N76,0),IF(OR('第 7 天'!P$5="油錢"),'第 7 天'!P76,0))</f>
        <v>0</v>
      </c>
      <c r="E206" s="14" t="n">
        <f aca="false">SUM(IF(OR('第 7 天'!D$5="租車費"),'第 7 天'!D76,0),IF(OR('第 7 天'!F$5="租車費"),'第 7 天'!F76,0),IF(OR('第 7 天'!H$5="租車費"),'第 7 天'!H76,0),IF(OR('第 7 天'!J$5="租車費"),'第 7 天'!J76,0),IF(OR('第 7 天'!L$5="租車費"),'第 7 天'!L76,0),IF(OR('第 7 天'!N$5="租車費"),'第 7 天'!N76,0),IF(OR('第 7 天'!P$5="租車費"),'第 7 天'!P76,0))</f>
        <v>0</v>
      </c>
      <c r="F206" s="14" t="n">
        <f aca="false">SUM(IF(OR('第 7 天'!D$5="停車費",'第 7 天'!D$5="其他"),'第 7 天'!D76,0),IF(OR('第 7 天'!F$5="停車費",'第 7 天'!F$5="其他"),'第 7 天'!F76,0),IF(OR('第 7 天'!H$5="停車費",'第 7 天'!H$5="其他"),'第 7 天'!H76,0),IF(OR('第 7 天'!J$5="停車費",'第 7 天'!J$5="其他"),'第 7 天'!J76,0),IF(OR('第 7 天'!L$5="停車費",'第 7 天'!L$5="其他"),'第 7 天'!L76,0),IF(OR('第 7 天'!N$5="停車費",'第 7 天'!N$5="其他"),'第 7 天'!N76,0),IF(OR('第 7 天'!P$5="停車費",'第 7 天'!P$5="其他"),'第 7 天'!P76,0))</f>
        <v>0</v>
      </c>
      <c r="G206" s="14" t="n">
        <f aca="false">SUM(C206:F206)</f>
        <v>0</v>
      </c>
      <c r="H206" s="14" t="n">
        <f aca="false">IF(LEN(TRIM(成員名單!$B29))=0,0,SUM(IF('第 7 天'!D$7=$B206,'第 7 天'!D46,0),IF('第 7 天'!F$7=$B206,'第 7 天'!F46,0),IF('第 7 天'!H$7=$B206,'第 7 天'!H46,0),IF('第 7 天'!J$7=$B206,'第 7 天'!J46,0),IF('第 7 天'!L$7=$B206,'第 7 天'!L46,0),IF('第 7 天'!N$7=$B206,'第 7 天'!N46,0),IF('第 7 天'!P$7=$B206,'第 7 天'!P46,0)))</f>
        <v>0</v>
      </c>
    </row>
    <row r="207" customFormat="false" ht="15" hidden="false" customHeight="false" outlineLevel="0" collapsed="false">
      <c r="A207" s="13" t="s">
        <v>134</v>
      </c>
      <c r="B207" s="13" t="s">
        <v>43</v>
      </c>
      <c r="C207" s="14" t="n">
        <f aca="false">SUM(IF(OR('第 7 天'!D$5="早餐",'第 7 天'!D$5="午餐",'第 7 天'!D$5="晚餐"),'第 7 天'!D77,0),IF(OR('第 7 天'!F$5="早餐",'第 7 天'!F$5="午餐",'第 7 天'!F$5="晚餐"),'第 7 天'!F77,0),IF(OR('第 7 天'!H$5="早餐",'第 7 天'!H$5="午餐",'第 7 天'!H$5="晚餐"),'第 7 天'!H77,0),IF(OR('第 7 天'!J$5="早餐",'第 7 天'!J$5="午餐",'第 7 天'!J$5="晚餐"),'第 7 天'!J77,0),IF(OR('第 7 天'!L$5="早餐",'第 7 天'!L$5="午餐",'第 7 天'!L$5="晚餐"),'第 7 天'!L77,0),IF(OR('第 7 天'!N$5="早餐",'第 7 天'!N$5="午餐",'第 7 天'!N$5="晚餐"),'第 7 天'!N77,0),IF(OR('第 7 天'!P$5="早餐",'第 7 天'!P$5="午餐",'第 7 天'!P$5="晚餐"),'第 7 天'!P77,0))</f>
        <v>0</v>
      </c>
      <c r="D207" s="14" t="n">
        <f aca="false">SUM(IF(OR('第 7 天'!D$5="油錢"),'第 7 天'!D77,0),IF(OR('第 7 天'!F$5="油錢"),'第 7 天'!F77,0),IF(OR('第 7 天'!H$5="油錢"),'第 7 天'!H77,0),IF(OR('第 7 天'!J$5="油錢"),'第 7 天'!J77,0),IF(OR('第 7 天'!L$5="油錢"),'第 7 天'!L77,0),IF(OR('第 7 天'!N$5="油錢"),'第 7 天'!N77,0),IF(OR('第 7 天'!P$5="油錢"),'第 7 天'!P77,0))</f>
        <v>0</v>
      </c>
      <c r="E207" s="14" t="n">
        <f aca="false">SUM(IF(OR('第 7 天'!D$5="租車費"),'第 7 天'!D77,0),IF(OR('第 7 天'!F$5="租車費"),'第 7 天'!F77,0),IF(OR('第 7 天'!H$5="租車費"),'第 7 天'!H77,0),IF(OR('第 7 天'!J$5="租車費"),'第 7 天'!J77,0),IF(OR('第 7 天'!L$5="租車費"),'第 7 天'!L77,0),IF(OR('第 7 天'!N$5="租車費"),'第 7 天'!N77,0),IF(OR('第 7 天'!P$5="租車費"),'第 7 天'!P77,0))</f>
        <v>0</v>
      </c>
      <c r="F207" s="14" t="n">
        <f aca="false">SUM(IF(OR('第 7 天'!D$5="停車費",'第 7 天'!D$5="其他"),'第 7 天'!D77,0),IF(OR('第 7 天'!F$5="停車費",'第 7 天'!F$5="其他"),'第 7 天'!F77,0),IF(OR('第 7 天'!H$5="停車費",'第 7 天'!H$5="其他"),'第 7 天'!H77,0),IF(OR('第 7 天'!J$5="停車費",'第 7 天'!J$5="其他"),'第 7 天'!J77,0),IF(OR('第 7 天'!L$5="停車費",'第 7 天'!L$5="其他"),'第 7 天'!L77,0),IF(OR('第 7 天'!N$5="停車費",'第 7 天'!N$5="其他"),'第 7 天'!N77,0),IF(OR('第 7 天'!P$5="停車費",'第 7 天'!P$5="其他"),'第 7 天'!P77,0))</f>
        <v>0</v>
      </c>
      <c r="G207" s="14" t="n">
        <f aca="false">SUM(C207:F207)</f>
        <v>0</v>
      </c>
      <c r="H207" s="14" t="n">
        <f aca="false">IF(LEN(TRIM(成員名單!$B30))=0,0,SUM(IF('第 7 天'!D$7=$B207,'第 7 天'!D46,0),IF('第 7 天'!F$7=$B207,'第 7 天'!F46,0),IF('第 7 天'!H$7=$B207,'第 7 天'!H46,0),IF('第 7 天'!J$7=$B207,'第 7 天'!J46,0),IF('第 7 天'!L$7=$B207,'第 7 天'!L46,0),IF('第 7 天'!N$7=$B207,'第 7 天'!N46,0),IF('第 7 天'!P$7=$B207,'第 7 天'!P46,0)))</f>
        <v>0</v>
      </c>
    </row>
    <row r="208" customFormat="false" ht="15" hidden="false" customHeight="false" outlineLevel="0" collapsed="false">
      <c r="A208" s="13" t="s">
        <v>134</v>
      </c>
      <c r="B208" s="13" t="s">
        <v>44</v>
      </c>
      <c r="C208" s="14" t="n">
        <f aca="false">SUM(IF(OR('第 7 天'!D$5="早餐",'第 7 天'!D$5="午餐",'第 7 天'!D$5="晚餐"),'第 7 天'!D78,0),IF(OR('第 7 天'!F$5="早餐",'第 7 天'!F$5="午餐",'第 7 天'!F$5="晚餐"),'第 7 天'!F78,0),IF(OR('第 7 天'!H$5="早餐",'第 7 天'!H$5="午餐",'第 7 天'!H$5="晚餐"),'第 7 天'!H78,0),IF(OR('第 7 天'!J$5="早餐",'第 7 天'!J$5="午餐",'第 7 天'!J$5="晚餐"),'第 7 天'!J78,0),IF(OR('第 7 天'!L$5="早餐",'第 7 天'!L$5="午餐",'第 7 天'!L$5="晚餐"),'第 7 天'!L78,0),IF(OR('第 7 天'!N$5="早餐",'第 7 天'!N$5="午餐",'第 7 天'!N$5="晚餐"),'第 7 天'!N78,0),IF(OR('第 7 天'!P$5="早餐",'第 7 天'!P$5="午餐",'第 7 天'!P$5="晚餐"),'第 7 天'!P78,0))</f>
        <v>0</v>
      </c>
      <c r="D208" s="14" t="n">
        <f aca="false">SUM(IF(OR('第 7 天'!D$5="油錢"),'第 7 天'!D78,0),IF(OR('第 7 天'!F$5="油錢"),'第 7 天'!F78,0),IF(OR('第 7 天'!H$5="油錢"),'第 7 天'!H78,0),IF(OR('第 7 天'!J$5="油錢"),'第 7 天'!J78,0),IF(OR('第 7 天'!L$5="油錢"),'第 7 天'!L78,0),IF(OR('第 7 天'!N$5="油錢"),'第 7 天'!N78,0),IF(OR('第 7 天'!P$5="油錢"),'第 7 天'!P78,0))</f>
        <v>0</v>
      </c>
      <c r="E208" s="14" t="n">
        <f aca="false">SUM(IF(OR('第 7 天'!D$5="租車費"),'第 7 天'!D78,0),IF(OR('第 7 天'!F$5="租車費"),'第 7 天'!F78,0),IF(OR('第 7 天'!H$5="租車費"),'第 7 天'!H78,0),IF(OR('第 7 天'!J$5="租車費"),'第 7 天'!J78,0),IF(OR('第 7 天'!L$5="租車費"),'第 7 天'!L78,0),IF(OR('第 7 天'!N$5="租車費"),'第 7 天'!N78,0),IF(OR('第 7 天'!P$5="租車費"),'第 7 天'!P78,0))</f>
        <v>0</v>
      </c>
      <c r="F208" s="14" t="n">
        <f aca="false">SUM(IF(OR('第 7 天'!D$5="停車費",'第 7 天'!D$5="其他"),'第 7 天'!D78,0),IF(OR('第 7 天'!F$5="停車費",'第 7 天'!F$5="其他"),'第 7 天'!F78,0),IF(OR('第 7 天'!H$5="停車費",'第 7 天'!H$5="其他"),'第 7 天'!H78,0),IF(OR('第 7 天'!J$5="停車費",'第 7 天'!J$5="其他"),'第 7 天'!J78,0),IF(OR('第 7 天'!L$5="停車費",'第 7 天'!L$5="其他"),'第 7 天'!L78,0),IF(OR('第 7 天'!N$5="停車費",'第 7 天'!N$5="其他"),'第 7 天'!N78,0),IF(OR('第 7 天'!P$5="停車費",'第 7 天'!P$5="其他"),'第 7 天'!P78,0))</f>
        <v>0</v>
      </c>
      <c r="G208" s="14" t="n">
        <f aca="false">SUM(C208:F208)</f>
        <v>0</v>
      </c>
      <c r="H208" s="14" t="n">
        <f aca="false">IF(LEN(TRIM(成員名單!$B31))=0,0,SUM(IF('第 7 天'!D$7=$B208,'第 7 天'!D46,0),IF('第 7 天'!F$7=$B208,'第 7 天'!F46,0),IF('第 7 天'!H$7=$B208,'第 7 天'!H46,0),IF('第 7 天'!J$7=$B208,'第 7 天'!J46,0),IF('第 7 天'!L$7=$B208,'第 7 天'!L46,0),IF('第 7 天'!N$7=$B208,'第 7 天'!N46,0),IF('第 7 天'!P$7=$B208,'第 7 天'!P46,0)))</f>
        <v>0</v>
      </c>
    </row>
    <row r="209" customFormat="false" ht="15" hidden="false" customHeight="false" outlineLevel="0" collapsed="false">
      <c r="A209" s="13" t="s">
        <v>134</v>
      </c>
      <c r="B209" s="13" t="s">
        <v>45</v>
      </c>
      <c r="C209" s="14" t="n">
        <f aca="false">SUM(IF(OR('第 7 天'!D$5="早餐",'第 7 天'!D$5="午餐",'第 7 天'!D$5="晚餐"),'第 7 天'!D79,0),IF(OR('第 7 天'!F$5="早餐",'第 7 天'!F$5="午餐",'第 7 天'!F$5="晚餐"),'第 7 天'!F79,0),IF(OR('第 7 天'!H$5="早餐",'第 7 天'!H$5="午餐",'第 7 天'!H$5="晚餐"),'第 7 天'!H79,0),IF(OR('第 7 天'!J$5="早餐",'第 7 天'!J$5="午餐",'第 7 天'!J$5="晚餐"),'第 7 天'!J79,0),IF(OR('第 7 天'!L$5="早餐",'第 7 天'!L$5="午餐",'第 7 天'!L$5="晚餐"),'第 7 天'!L79,0),IF(OR('第 7 天'!N$5="早餐",'第 7 天'!N$5="午餐",'第 7 天'!N$5="晚餐"),'第 7 天'!N79,0),IF(OR('第 7 天'!P$5="早餐",'第 7 天'!P$5="午餐",'第 7 天'!P$5="晚餐"),'第 7 天'!P79,0))</f>
        <v>0</v>
      </c>
      <c r="D209" s="14" t="n">
        <f aca="false">SUM(IF(OR('第 7 天'!D$5="油錢"),'第 7 天'!D79,0),IF(OR('第 7 天'!F$5="油錢"),'第 7 天'!F79,0),IF(OR('第 7 天'!H$5="油錢"),'第 7 天'!H79,0),IF(OR('第 7 天'!J$5="油錢"),'第 7 天'!J79,0),IF(OR('第 7 天'!L$5="油錢"),'第 7 天'!L79,0),IF(OR('第 7 天'!N$5="油錢"),'第 7 天'!N79,0),IF(OR('第 7 天'!P$5="油錢"),'第 7 天'!P79,0))</f>
        <v>0</v>
      </c>
      <c r="E209" s="14" t="n">
        <f aca="false">SUM(IF(OR('第 7 天'!D$5="租車費"),'第 7 天'!D79,0),IF(OR('第 7 天'!F$5="租車費"),'第 7 天'!F79,0),IF(OR('第 7 天'!H$5="租車費"),'第 7 天'!H79,0),IF(OR('第 7 天'!J$5="租車費"),'第 7 天'!J79,0),IF(OR('第 7 天'!L$5="租車費"),'第 7 天'!L79,0),IF(OR('第 7 天'!N$5="租車費"),'第 7 天'!N79,0),IF(OR('第 7 天'!P$5="租車費"),'第 7 天'!P79,0))</f>
        <v>0</v>
      </c>
      <c r="F209" s="14" t="n">
        <f aca="false">SUM(IF(OR('第 7 天'!D$5="停車費",'第 7 天'!D$5="其他"),'第 7 天'!D79,0),IF(OR('第 7 天'!F$5="停車費",'第 7 天'!F$5="其他"),'第 7 天'!F79,0),IF(OR('第 7 天'!H$5="停車費",'第 7 天'!H$5="其他"),'第 7 天'!H79,0),IF(OR('第 7 天'!J$5="停車費",'第 7 天'!J$5="其他"),'第 7 天'!J79,0),IF(OR('第 7 天'!L$5="停車費",'第 7 天'!L$5="其他"),'第 7 天'!L79,0),IF(OR('第 7 天'!N$5="停車費",'第 7 天'!N$5="其他"),'第 7 天'!N79,0),IF(OR('第 7 天'!P$5="停車費",'第 7 天'!P$5="其他"),'第 7 天'!P79,0))</f>
        <v>0</v>
      </c>
      <c r="G209" s="14" t="n">
        <f aca="false">SUM(C209:F209)</f>
        <v>0</v>
      </c>
      <c r="H209" s="14" t="n">
        <f aca="false">IF(LEN(TRIM(成員名單!$B32))=0,0,SUM(IF('第 7 天'!D$7=$B209,'第 7 天'!D46,0),IF('第 7 天'!F$7=$B209,'第 7 天'!F46,0),IF('第 7 天'!H$7=$B209,'第 7 天'!H46,0),IF('第 7 天'!J$7=$B209,'第 7 天'!J46,0),IF('第 7 天'!L$7=$B209,'第 7 天'!L46,0),IF('第 7 天'!N$7=$B209,'第 7 天'!N46,0),IF('第 7 天'!P$7=$B209,'第 7 天'!P46,0)))</f>
        <v>0</v>
      </c>
    </row>
    <row r="210" customFormat="false" ht="15" hidden="false" customHeight="false" outlineLevel="0" collapsed="false">
      <c r="A210" s="13" t="s">
        <v>134</v>
      </c>
      <c r="B210" s="13" t="s">
        <v>46</v>
      </c>
      <c r="C210" s="14" t="n">
        <f aca="false">SUM(IF(OR('第 7 天'!D$5="早餐",'第 7 天'!D$5="午餐",'第 7 天'!D$5="晚餐"),'第 7 天'!D80,0),IF(OR('第 7 天'!F$5="早餐",'第 7 天'!F$5="午餐",'第 7 天'!F$5="晚餐"),'第 7 天'!F80,0),IF(OR('第 7 天'!H$5="早餐",'第 7 天'!H$5="午餐",'第 7 天'!H$5="晚餐"),'第 7 天'!H80,0),IF(OR('第 7 天'!J$5="早餐",'第 7 天'!J$5="午餐",'第 7 天'!J$5="晚餐"),'第 7 天'!J80,0),IF(OR('第 7 天'!L$5="早餐",'第 7 天'!L$5="午餐",'第 7 天'!L$5="晚餐"),'第 7 天'!L80,0),IF(OR('第 7 天'!N$5="早餐",'第 7 天'!N$5="午餐",'第 7 天'!N$5="晚餐"),'第 7 天'!N80,0),IF(OR('第 7 天'!P$5="早餐",'第 7 天'!P$5="午餐",'第 7 天'!P$5="晚餐"),'第 7 天'!P80,0))</f>
        <v>0</v>
      </c>
      <c r="D210" s="14" t="n">
        <f aca="false">SUM(IF(OR('第 7 天'!D$5="油錢"),'第 7 天'!D80,0),IF(OR('第 7 天'!F$5="油錢"),'第 7 天'!F80,0),IF(OR('第 7 天'!H$5="油錢"),'第 7 天'!H80,0),IF(OR('第 7 天'!J$5="油錢"),'第 7 天'!J80,0),IF(OR('第 7 天'!L$5="油錢"),'第 7 天'!L80,0),IF(OR('第 7 天'!N$5="油錢"),'第 7 天'!N80,0),IF(OR('第 7 天'!P$5="油錢"),'第 7 天'!P80,0))</f>
        <v>0</v>
      </c>
      <c r="E210" s="14" t="n">
        <f aca="false">SUM(IF(OR('第 7 天'!D$5="租車費"),'第 7 天'!D80,0),IF(OR('第 7 天'!F$5="租車費"),'第 7 天'!F80,0),IF(OR('第 7 天'!H$5="租車費"),'第 7 天'!H80,0),IF(OR('第 7 天'!J$5="租車費"),'第 7 天'!J80,0),IF(OR('第 7 天'!L$5="租車費"),'第 7 天'!L80,0),IF(OR('第 7 天'!N$5="租車費"),'第 7 天'!N80,0),IF(OR('第 7 天'!P$5="租車費"),'第 7 天'!P80,0))</f>
        <v>0</v>
      </c>
      <c r="F210" s="14" t="n">
        <f aca="false">SUM(IF(OR('第 7 天'!D$5="停車費",'第 7 天'!D$5="其他"),'第 7 天'!D80,0),IF(OR('第 7 天'!F$5="停車費",'第 7 天'!F$5="其他"),'第 7 天'!F80,0),IF(OR('第 7 天'!H$5="停車費",'第 7 天'!H$5="其他"),'第 7 天'!H80,0),IF(OR('第 7 天'!J$5="停車費",'第 7 天'!J$5="其他"),'第 7 天'!J80,0),IF(OR('第 7 天'!L$5="停車費",'第 7 天'!L$5="其他"),'第 7 天'!L80,0),IF(OR('第 7 天'!N$5="停車費",'第 7 天'!N$5="其他"),'第 7 天'!N80,0),IF(OR('第 7 天'!P$5="停車費",'第 7 天'!P$5="其他"),'第 7 天'!P80,0))</f>
        <v>0</v>
      </c>
      <c r="G210" s="14" t="n">
        <f aca="false">SUM(C210:F210)</f>
        <v>0</v>
      </c>
      <c r="H210" s="14" t="n">
        <f aca="false">IF(LEN(TRIM(成員名單!$B33))=0,0,SUM(IF('第 7 天'!D$7=$B210,'第 7 天'!D46,0),IF('第 7 天'!F$7=$B210,'第 7 天'!F46,0),IF('第 7 天'!H$7=$B210,'第 7 天'!H46,0),IF('第 7 天'!J$7=$B210,'第 7 天'!J46,0),IF('第 7 天'!L$7=$B210,'第 7 天'!L46,0),IF('第 7 天'!N$7=$B210,'第 7 天'!N46,0),IF('第 7 天'!P$7=$B210,'第 7 天'!P46,0)))</f>
        <v>0</v>
      </c>
    </row>
    <row r="211" customFormat="false" ht="15" hidden="false" customHeight="false" outlineLevel="0" collapsed="false">
      <c r="A211" s="13" t="s">
        <v>134</v>
      </c>
      <c r="B211" s="13" t="s">
        <v>47</v>
      </c>
      <c r="C211" s="14" t="n">
        <f aca="false">SUM(IF(OR('第 7 天'!D$5="早餐",'第 7 天'!D$5="午餐",'第 7 天'!D$5="晚餐"),'第 7 天'!D81,0),IF(OR('第 7 天'!F$5="早餐",'第 7 天'!F$5="午餐",'第 7 天'!F$5="晚餐"),'第 7 天'!F81,0),IF(OR('第 7 天'!H$5="早餐",'第 7 天'!H$5="午餐",'第 7 天'!H$5="晚餐"),'第 7 天'!H81,0),IF(OR('第 7 天'!J$5="早餐",'第 7 天'!J$5="午餐",'第 7 天'!J$5="晚餐"),'第 7 天'!J81,0),IF(OR('第 7 天'!L$5="早餐",'第 7 天'!L$5="午餐",'第 7 天'!L$5="晚餐"),'第 7 天'!L81,0),IF(OR('第 7 天'!N$5="早餐",'第 7 天'!N$5="午餐",'第 7 天'!N$5="晚餐"),'第 7 天'!N81,0),IF(OR('第 7 天'!P$5="早餐",'第 7 天'!P$5="午餐",'第 7 天'!P$5="晚餐"),'第 7 天'!P81,0))</f>
        <v>0</v>
      </c>
      <c r="D211" s="14" t="n">
        <f aca="false">SUM(IF(OR('第 7 天'!D$5="油錢"),'第 7 天'!D81,0),IF(OR('第 7 天'!F$5="油錢"),'第 7 天'!F81,0),IF(OR('第 7 天'!H$5="油錢"),'第 7 天'!H81,0),IF(OR('第 7 天'!J$5="油錢"),'第 7 天'!J81,0),IF(OR('第 7 天'!L$5="油錢"),'第 7 天'!L81,0),IF(OR('第 7 天'!N$5="油錢"),'第 7 天'!N81,0),IF(OR('第 7 天'!P$5="油錢"),'第 7 天'!P81,0))</f>
        <v>0</v>
      </c>
      <c r="E211" s="14" t="n">
        <f aca="false">SUM(IF(OR('第 7 天'!D$5="租車費"),'第 7 天'!D81,0),IF(OR('第 7 天'!F$5="租車費"),'第 7 天'!F81,0),IF(OR('第 7 天'!H$5="租車費"),'第 7 天'!H81,0),IF(OR('第 7 天'!J$5="租車費"),'第 7 天'!J81,0),IF(OR('第 7 天'!L$5="租車費"),'第 7 天'!L81,0),IF(OR('第 7 天'!N$5="租車費"),'第 7 天'!N81,0),IF(OR('第 7 天'!P$5="租車費"),'第 7 天'!P81,0))</f>
        <v>0</v>
      </c>
      <c r="F211" s="14" t="n">
        <f aca="false">SUM(IF(OR('第 7 天'!D$5="停車費",'第 7 天'!D$5="其他"),'第 7 天'!D81,0),IF(OR('第 7 天'!F$5="停車費",'第 7 天'!F$5="其他"),'第 7 天'!F81,0),IF(OR('第 7 天'!H$5="停車費",'第 7 天'!H$5="其他"),'第 7 天'!H81,0),IF(OR('第 7 天'!J$5="停車費",'第 7 天'!J$5="其他"),'第 7 天'!J81,0),IF(OR('第 7 天'!L$5="停車費",'第 7 天'!L$5="其他"),'第 7 天'!L81,0),IF(OR('第 7 天'!N$5="停車費",'第 7 天'!N$5="其他"),'第 7 天'!N81,0),IF(OR('第 7 天'!P$5="停車費",'第 7 天'!P$5="其他"),'第 7 天'!P81,0))</f>
        <v>0</v>
      </c>
      <c r="G211" s="14" t="n">
        <f aca="false">SUM(C211:F211)</f>
        <v>0</v>
      </c>
      <c r="H211" s="14" t="n">
        <f aca="false">IF(LEN(TRIM(成員名單!$B34))=0,0,SUM(IF('第 7 天'!D$7=$B211,'第 7 天'!D46,0),IF('第 7 天'!F$7=$B211,'第 7 天'!F46,0),IF('第 7 天'!H$7=$B211,'第 7 天'!H46,0),IF('第 7 天'!J$7=$B211,'第 7 天'!J46,0),IF('第 7 天'!L$7=$B211,'第 7 天'!L46,0),IF('第 7 天'!N$7=$B211,'第 7 天'!N46,0),IF('第 7 天'!P$7=$B211,'第 7 天'!P46,0)))</f>
        <v>0</v>
      </c>
    </row>
    <row r="212" customFormat="false" ht="15" hidden="false" customHeight="false" outlineLevel="0" collapsed="false">
      <c r="A212" s="13" t="s">
        <v>143</v>
      </c>
      <c r="B212" s="13" t="s">
        <v>18</v>
      </c>
      <c r="C212" s="14" t="n">
        <f aca="false">SUM(IF(OR('第 8 天'!D$5="早餐",'第 8 天'!D$5="午餐",'第 8 天'!D$5="晚餐"),'第 8 天'!D52,0),IF(OR('第 8 天'!F$5="早餐",'第 8 天'!F$5="午餐",'第 8 天'!F$5="晚餐"),'第 8 天'!F52,0),IF(OR('第 8 天'!H$5="早餐",'第 8 天'!H$5="午餐",'第 8 天'!H$5="晚餐"),'第 8 天'!H52,0),IF(OR('第 8 天'!J$5="早餐",'第 8 天'!J$5="午餐",'第 8 天'!J$5="晚餐"),'第 8 天'!J52,0),IF(OR('第 8 天'!L$5="早餐",'第 8 天'!L$5="午餐",'第 8 天'!L$5="晚餐"),'第 8 天'!L52,0),IF(OR('第 8 天'!N$5="早餐",'第 8 天'!N$5="午餐",'第 8 天'!N$5="晚餐"),'第 8 天'!N52,0),IF(OR('第 8 天'!P$5="早餐",'第 8 天'!P$5="午餐",'第 8 天'!P$5="晚餐"),'第 8 天'!P52,0))</f>
        <v>0</v>
      </c>
      <c r="D212" s="14" t="n">
        <f aca="false">SUM(IF(OR('第 8 天'!D$5="油錢"),'第 8 天'!D52,0),IF(OR('第 8 天'!F$5="油錢"),'第 8 天'!F52,0),IF(OR('第 8 天'!H$5="油錢"),'第 8 天'!H52,0),IF(OR('第 8 天'!J$5="油錢"),'第 8 天'!J52,0),IF(OR('第 8 天'!L$5="油錢"),'第 8 天'!L52,0),IF(OR('第 8 天'!N$5="油錢"),'第 8 天'!N52,0),IF(OR('第 8 天'!P$5="油錢"),'第 8 天'!P52,0))</f>
        <v>0</v>
      </c>
      <c r="E212" s="14" t="n">
        <f aca="false">SUM(IF(OR('第 8 天'!D$5="租車費"),'第 8 天'!D52,0),IF(OR('第 8 天'!F$5="租車費"),'第 8 天'!F52,0),IF(OR('第 8 天'!H$5="租車費"),'第 8 天'!H52,0),IF(OR('第 8 天'!J$5="租車費"),'第 8 天'!J52,0),IF(OR('第 8 天'!L$5="租車費"),'第 8 天'!L52,0),IF(OR('第 8 天'!N$5="租車費"),'第 8 天'!N52,0),IF(OR('第 8 天'!P$5="租車費"),'第 8 天'!P52,0))</f>
        <v>0</v>
      </c>
      <c r="F212" s="14" t="n">
        <f aca="false">SUM(IF(OR('第 8 天'!D$5="停車費",'第 8 天'!D$5="其他"),'第 8 天'!D52,0),IF(OR('第 8 天'!F$5="停車費",'第 8 天'!F$5="其他"),'第 8 天'!F52,0),IF(OR('第 8 天'!H$5="停車費",'第 8 天'!H$5="其他"),'第 8 天'!H52,0),IF(OR('第 8 天'!J$5="停車費",'第 8 天'!J$5="其他"),'第 8 天'!J52,0),IF(OR('第 8 天'!L$5="停車費",'第 8 天'!L$5="其他"),'第 8 天'!L52,0),IF(OR('第 8 天'!N$5="停車費",'第 8 天'!N$5="其他"),'第 8 天'!N52,0),IF(OR('第 8 天'!P$5="停車費",'第 8 天'!P$5="其他"),'第 8 天'!P52,0))</f>
        <v>0</v>
      </c>
      <c r="G212" s="14" t="n">
        <f aca="false">SUM(C212:F212)</f>
        <v>0</v>
      </c>
      <c r="H212" s="14" t="n">
        <f aca="false">IF(LEN(TRIM(成員名單!$B5))=0,0,SUM(IF('第 8 天'!D$7=$B212,'第 8 天'!D46,0),IF('第 8 天'!F$7=$B212,'第 8 天'!F46,0),IF('第 8 天'!H$7=$B212,'第 8 天'!H46,0),IF('第 8 天'!J$7=$B212,'第 8 天'!J46,0),IF('第 8 天'!L$7=$B212,'第 8 天'!L46,0),IF('第 8 天'!N$7=$B212,'第 8 天'!N46,0),IF('第 8 天'!P$7=$B212,'第 8 天'!P46,0)))</f>
        <v>0</v>
      </c>
    </row>
    <row r="213" customFormat="false" ht="15" hidden="false" customHeight="false" outlineLevel="0" collapsed="false">
      <c r="A213" s="13" t="s">
        <v>143</v>
      </c>
      <c r="B213" s="13" t="s">
        <v>19</v>
      </c>
      <c r="C213" s="14" t="n">
        <f aca="false">SUM(IF(OR('第 8 天'!D$5="早餐",'第 8 天'!D$5="午餐",'第 8 天'!D$5="晚餐"),'第 8 天'!D53,0),IF(OR('第 8 天'!F$5="早餐",'第 8 天'!F$5="午餐",'第 8 天'!F$5="晚餐"),'第 8 天'!F53,0),IF(OR('第 8 天'!H$5="早餐",'第 8 天'!H$5="午餐",'第 8 天'!H$5="晚餐"),'第 8 天'!H53,0),IF(OR('第 8 天'!J$5="早餐",'第 8 天'!J$5="午餐",'第 8 天'!J$5="晚餐"),'第 8 天'!J53,0),IF(OR('第 8 天'!L$5="早餐",'第 8 天'!L$5="午餐",'第 8 天'!L$5="晚餐"),'第 8 天'!L53,0),IF(OR('第 8 天'!N$5="早餐",'第 8 天'!N$5="午餐",'第 8 天'!N$5="晚餐"),'第 8 天'!N53,0),IF(OR('第 8 天'!P$5="早餐",'第 8 天'!P$5="午餐",'第 8 天'!P$5="晚餐"),'第 8 天'!P53,0))</f>
        <v>0</v>
      </c>
      <c r="D213" s="14" t="n">
        <f aca="false">SUM(IF(OR('第 8 天'!D$5="油錢"),'第 8 天'!D53,0),IF(OR('第 8 天'!F$5="油錢"),'第 8 天'!F53,0),IF(OR('第 8 天'!H$5="油錢"),'第 8 天'!H53,0),IF(OR('第 8 天'!J$5="油錢"),'第 8 天'!J53,0),IF(OR('第 8 天'!L$5="油錢"),'第 8 天'!L53,0),IF(OR('第 8 天'!N$5="油錢"),'第 8 天'!N53,0),IF(OR('第 8 天'!P$5="油錢"),'第 8 天'!P53,0))</f>
        <v>0</v>
      </c>
      <c r="E213" s="14" t="n">
        <f aca="false">SUM(IF(OR('第 8 天'!D$5="租車費"),'第 8 天'!D53,0),IF(OR('第 8 天'!F$5="租車費"),'第 8 天'!F53,0),IF(OR('第 8 天'!H$5="租車費"),'第 8 天'!H53,0),IF(OR('第 8 天'!J$5="租車費"),'第 8 天'!J53,0),IF(OR('第 8 天'!L$5="租車費"),'第 8 天'!L53,0),IF(OR('第 8 天'!N$5="租車費"),'第 8 天'!N53,0),IF(OR('第 8 天'!P$5="租車費"),'第 8 天'!P53,0))</f>
        <v>0</v>
      </c>
      <c r="F213" s="14" t="n">
        <f aca="false">SUM(IF(OR('第 8 天'!D$5="停車費",'第 8 天'!D$5="其他"),'第 8 天'!D53,0),IF(OR('第 8 天'!F$5="停車費",'第 8 天'!F$5="其他"),'第 8 天'!F53,0),IF(OR('第 8 天'!H$5="停車費",'第 8 天'!H$5="其他"),'第 8 天'!H53,0),IF(OR('第 8 天'!J$5="停車費",'第 8 天'!J$5="其他"),'第 8 天'!J53,0),IF(OR('第 8 天'!L$5="停車費",'第 8 天'!L$5="其他"),'第 8 天'!L53,0),IF(OR('第 8 天'!N$5="停車費",'第 8 天'!N$5="其他"),'第 8 天'!N53,0),IF(OR('第 8 天'!P$5="停車費",'第 8 天'!P$5="其他"),'第 8 天'!P53,0))</f>
        <v>0</v>
      </c>
      <c r="G213" s="14" t="n">
        <f aca="false">SUM(C213:F213)</f>
        <v>0</v>
      </c>
      <c r="H213" s="14" t="n">
        <f aca="false">IF(LEN(TRIM(成員名單!$B6))=0,0,SUM(IF('第 8 天'!D$7=$B213,'第 8 天'!D46,0),IF('第 8 天'!F$7=$B213,'第 8 天'!F46,0),IF('第 8 天'!H$7=$B213,'第 8 天'!H46,0),IF('第 8 天'!J$7=$B213,'第 8 天'!J46,0),IF('第 8 天'!L$7=$B213,'第 8 天'!L46,0),IF('第 8 天'!N$7=$B213,'第 8 天'!N46,0),IF('第 8 天'!P$7=$B213,'第 8 天'!P46,0)))</f>
        <v>0</v>
      </c>
    </row>
    <row r="214" customFormat="false" ht="15" hidden="false" customHeight="false" outlineLevel="0" collapsed="false">
      <c r="A214" s="13" t="s">
        <v>143</v>
      </c>
      <c r="B214" s="13" t="s">
        <v>20</v>
      </c>
      <c r="C214" s="14" t="n">
        <f aca="false">SUM(IF(OR('第 8 天'!D$5="早餐",'第 8 天'!D$5="午餐",'第 8 天'!D$5="晚餐"),'第 8 天'!D54,0),IF(OR('第 8 天'!F$5="早餐",'第 8 天'!F$5="午餐",'第 8 天'!F$5="晚餐"),'第 8 天'!F54,0),IF(OR('第 8 天'!H$5="早餐",'第 8 天'!H$5="午餐",'第 8 天'!H$5="晚餐"),'第 8 天'!H54,0),IF(OR('第 8 天'!J$5="早餐",'第 8 天'!J$5="午餐",'第 8 天'!J$5="晚餐"),'第 8 天'!J54,0),IF(OR('第 8 天'!L$5="早餐",'第 8 天'!L$5="午餐",'第 8 天'!L$5="晚餐"),'第 8 天'!L54,0),IF(OR('第 8 天'!N$5="早餐",'第 8 天'!N$5="午餐",'第 8 天'!N$5="晚餐"),'第 8 天'!N54,0),IF(OR('第 8 天'!P$5="早餐",'第 8 天'!P$5="午餐",'第 8 天'!P$5="晚餐"),'第 8 天'!P54,0))</f>
        <v>0</v>
      </c>
      <c r="D214" s="14" t="n">
        <f aca="false">SUM(IF(OR('第 8 天'!D$5="油錢"),'第 8 天'!D54,0),IF(OR('第 8 天'!F$5="油錢"),'第 8 天'!F54,0),IF(OR('第 8 天'!H$5="油錢"),'第 8 天'!H54,0),IF(OR('第 8 天'!J$5="油錢"),'第 8 天'!J54,0),IF(OR('第 8 天'!L$5="油錢"),'第 8 天'!L54,0),IF(OR('第 8 天'!N$5="油錢"),'第 8 天'!N54,0),IF(OR('第 8 天'!P$5="油錢"),'第 8 天'!P54,0))</f>
        <v>0</v>
      </c>
      <c r="E214" s="14" t="n">
        <f aca="false">SUM(IF(OR('第 8 天'!D$5="租車費"),'第 8 天'!D54,0),IF(OR('第 8 天'!F$5="租車費"),'第 8 天'!F54,0),IF(OR('第 8 天'!H$5="租車費"),'第 8 天'!H54,0),IF(OR('第 8 天'!J$5="租車費"),'第 8 天'!J54,0),IF(OR('第 8 天'!L$5="租車費"),'第 8 天'!L54,0),IF(OR('第 8 天'!N$5="租車費"),'第 8 天'!N54,0),IF(OR('第 8 天'!P$5="租車費"),'第 8 天'!P54,0))</f>
        <v>0</v>
      </c>
      <c r="F214" s="14" t="n">
        <f aca="false">SUM(IF(OR('第 8 天'!D$5="停車費",'第 8 天'!D$5="其他"),'第 8 天'!D54,0),IF(OR('第 8 天'!F$5="停車費",'第 8 天'!F$5="其他"),'第 8 天'!F54,0),IF(OR('第 8 天'!H$5="停車費",'第 8 天'!H$5="其他"),'第 8 天'!H54,0),IF(OR('第 8 天'!J$5="停車費",'第 8 天'!J$5="其他"),'第 8 天'!J54,0),IF(OR('第 8 天'!L$5="停車費",'第 8 天'!L$5="其他"),'第 8 天'!L54,0),IF(OR('第 8 天'!N$5="停車費",'第 8 天'!N$5="其他"),'第 8 天'!N54,0),IF(OR('第 8 天'!P$5="停車費",'第 8 天'!P$5="其他"),'第 8 天'!P54,0))</f>
        <v>0</v>
      </c>
      <c r="G214" s="14" t="n">
        <f aca="false">SUM(C214:F214)</f>
        <v>0</v>
      </c>
      <c r="H214" s="14" t="n">
        <f aca="false">IF(LEN(TRIM(成員名單!$B7))=0,0,SUM(IF('第 8 天'!D$7=$B214,'第 8 天'!D46,0),IF('第 8 天'!F$7=$B214,'第 8 天'!F46,0),IF('第 8 天'!H$7=$B214,'第 8 天'!H46,0),IF('第 8 天'!J$7=$B214,'第 8 天'!J46,0),IF('第 8 天'!L$7=$B214,'第 8 天'!L46,0),IF('第 8 天'!N$7=$B214,'第 8 天'!N46,0),IF('第 8 天'!P$7=$B214,'第 8 天'!P46,0)))</f>
        <v>0</v>
      </c>
    </row>
    <row r="215" customFormat="false" ht="15" hidden="false" customHeight="false" outlineLevel="0" collapsed="false">
      <c r="A215" s="13" t="s">
        <v>143</v>
      </c>
      <c r="B215" s="13" t="s">
        <v>21</v>
      </c>
      <c r="C215" s="14" t="n">
        <f aca="false">SUM(IF(OR('第 8 天'!D$5="早餐",'第 8 天'!D$5="午餐",'第 8 天'!D$5="晚餐"),'第 8 天'!D55,0),IF(OR('第 8 天'!F$5="早餐",'第 8 天'!F$5="午餐",'第 8 天'!F$5="晚餐"),'第 8 天'!F55,0),IF(OR('第 8 天'!H$5="早餐",'第 8 天'!H$5="午餐",'第 8 天'!H$5="晚餐"),'第 8 天'!H55,0),IF(OR('第 8 天'!J$5="早餐",'第 8 天'!J$5="午餐",'第 8 天'!J$5="晚餐"),'第 8 天'!J55,0),IF(OR('第 8 天'!L$5="早餐",'第 8 天'!L$5="午餐",'第 8 天'!L$5="晚餐"),'第 8 天'!L55,0),IF(OR('第 8 天'!N$5="早餐",'第 8 天'!N$5="午餐",'第 8 天'!N$5="晚餐"),'第 8 天'!N55,0),IF(OR('第 8 天'!P$5="早餐",'第 8 天'!P$5="午餐",'第 8 天'!P$5="晚餐"),'第 8 天'!P55,0))</f>
        <v>0</v>
      </c>
      <c r="D215" s="14" t="n">
        <f aca="false">SUM(IF(OR('第 8 天'!D$5="油錢"),'第 8 天'!D55,0),IF(OR('第 8 天'!F$5="油錢"),'第 8 天'!F55,0),IF(OR('第 8 天'!H$5="油錢"),'第 8 天'!H55,0),IF(OR('第 8 天'!J$5="油錢"),'第 8 天'!J55,0),IF(OR('第 8 天'!L$5="油錢"),'第 8 天'!L55,0),IF(OR('第 8 天'!N$5="油錢"),'第 8 天'!N55,0),IF(OR('第 8 天'!P$5="油錢"),'第 8 天'!P55,0))</f>
        <v>0</v>
      </c>
      <c r="E215" s="14" t="n">
        <f aca="false">SUM(IF(OR('第 8 天'!D$5="租車費"),'第 8 天'!D55,0),IF(OR('第 8 天'!F$5="租車費"),'第 8 天'!F55,0),IF(OR('第 8 天'!H$5="租車費"),'第 8 天'!H55,0),IF(OR('第 8 天'!J$5="租車費"),'第 8 天'!J55,0),IF(OR('第 8 天'!L$5="租車費"),'第 8 天'!L55,0),IF(OR('第 8 天'!N$5="租車費"),'第 8 天'!N55,0),IF(OR('第 8 天'!P$5="租車費"),'第 8 天'!P55,0))</f>
        <v>0</v>
      </c>
      <c r="F215" s="14" t="n">
        <f aca="false">SUM(IF(OR('第 8 天'!D$5="停車費",'第 8 天'!D$5="其他"),'第 8 天'!D55,0),IF(OR('第 8 天'!F$5="停車費",'第 8 天'!F$5="其他"),'第 8 天'!F55,0),IF(OR('第 8 天'!H$5="停車費",'第 8 天'!H$5="其他"),'第 8 天'!H55,0),IF(OR('第 8 天'!J$5="停車費",'第 8 天'!J$5="其他"),'第 8 天'!J55,0),IF(OR('第 8 天'!L$5="停車費",'第 8 天'!L$5="其他"),'第 8 天'!L55,0),IF(OR('第 8 天'!N$5="停車費",'第 8 天'!N$5="其他"),'第 8 天'!N55,0),IF(OR('第 8 天'!P$5="停車費",'第 8 天'!P$5="其他"),'第 8 天'!P55,0))</f>
        <v>0</v>
      </c>
      <c r="G215" s="14" t="n">
        <f aca="false">SUM(C215:F215)</f>
        <v>0</v>
      </c>
      <c r="H215" s="14" t="n">
        <f aca="false">IF(LEN(TRIM(成員名單!$B8))=0,0,SUM(IF('第 8 天'!D$7=$B215,'第 8 天'!D46,0),IF('第 8 天'!F$7=$B215,'第 8 天'!F46,0),IF('第 8 天'!H$7=$B215,'第 8 天'!H46,0),IF('第 8 天'!J$7=$B215,'第 8 天'!J46,0),IF('第 8 天'!L$7=$B215,'第 8 天'!L46,0),IF('第 8 天'!N$7=$B215,'第 8 天'!N46,0),IF('第 8 天'!P$7=$B215,'第 8 天'!P46,0)))</f>
        <v>0</v>
      </c>
    </row>
    <row r="216" customFormat="false" ht="15" hidden="false" customHeight="false" outlineLevel="0" collapsed="false">
      <c r="A216" s="13" t="s">
        <v>143</v>
      </c>
      <c r="B216" s="13" t="s">
        <v>22</v>
      </c>
      <c r="C216" s="14" t="n">
        <f aca="false">SUM(IF(OR('第 8 天'!D$5="早餐",'第 8 天'!D$5="午餐",'第 8 天'!D$5="晚餐"),'第 8 天'!D56,0),IF(OR('第 8 天'!F$5="早餐",'第 8 天'!F$5="午餐",'第 8 天'!F$5="晚餐"),'第 8 天'!F56,0),IF(OR('第 8 天'!H$5="早餐",'第 8 天'!H$5="午餐",'第 8 天'!H$5="晚餐"),'第 8 天'!H56,0),IF(OR('第 8 天'!J$5="早餐",'第 8 天'!J$5="午餐",'第 8 天'!J$5="晚餐"),'第 8 天'!J56,0),IF(OR('第 8 天'!L$5="早餐",'第 8 天'!L$5="午餐",'第 8 天'!L$5="晚餐"),'第 8 天'!L56,0),IF(OR('第 8 天'!N$5="早餐",'第 8 天'!N$5="午餐",'第 8 天'!N$5="晚餐"),'第 8 天'!N56,0),IF(OR('第 8 天'!P$5="早餐",'第 8 天'!P$5="午餐",'第 8 天'!P$5="晚餐"),'第 8 天'!P56,0))</f>
        <v>0</v>
      </c>
      <c r="D216" s="14" t="n">
        <f aca="false">SUM(IF(OR('第 8 天'!D$5="油錢"),'第 8 天'!D56,0),IF(OR('第 8 天'!F$5="油錢"),'第 8 天'!F56,0),IF(OR('第 8 天'!H$5="油錢"),'第 8 天'!H56,0),IF(OR('第 8 天'!J$5="油錢"),'第 8 天'!J56,0),IF(OR('第 8 天'!L$5="油錢"),'第 8 天'!L56,0),IF(OR('第 8 天'!N$5="油錢"),'第 8 天'!N56,0),IF(OR('第 8 天'!P$5="油錢"),'第 8 天'!P56,0))</f>
        <v>0</v>
      </c>
      <c r="E216" s="14" t="n">
        <f aca="false">SUM(IF(OR('第 8 天'!D$5="租車費"),'第 8 天'!D56,0),IF(OR('第 8 天'!F$5="租車費"),'第 8 天'!F56,0),IF(OR('第 8 天'!H$5="租車費"),'第 8 天'!H56,0),IF(OR('第 8 天'!J$5="租車費"),'第 8 天'!J56,0),IF(OR('第 8 天'!L$5="租車費"),'第 8 天'!L56,0),IF(OR('第 8 天'!N$5="租車費"),'第 8 天'!N56,0),IF(OR('第 8 天'!P$5="租車費"),'第 8 天'!P56,0))</f>
        <v>0</v>
      </c>
      <c r="F216" s="14" t="n">
        <f aca="false">SUM(IF(OR('第 8 天'!D$5="停車費",'第 8 天'!D$5="其他"),'第 8 天'!D56,0),IF(OR('第 8 天'!F$5="停車費",'第 8 天'!F$5="其他"),'第 8 天'!F56,0),IF(OR('第 8 天'!H$5="停車費",'第 8 天'!H$5="其他"),'第 8 天'!H56,0),IF(OR('第 8 天'!J$5="停車費",'第 8 天'!J$5="其他"),'第 8 天'!J56,0),IF(OR('第 8 天'!L$5="停車費",'第 8 天'!L$5="其他"),'第 8 天'!L56,0),IF(OR('第 8 天'!N$5="停車費",'第 8 天'!N$5="其他"),'第 8 天'!N56,0),IF(OR('第 8 天'!P$5="停車費",'第 8 天'!P$5="其他"),'第 8 天'!P56,0))</f>
        <v>0</v>
      </c>
      <c r="G216" s="14" t="n">
        <f aca="false">SUM(C216:F216)</f>
        <v>0</v>
      </c>
      <c r="H216" s="14" t="n">
        <f aca="false">IF(LEN(TRIM(成員名單!$B9))=0,0,SUM(IF('第 8 天'!D$7=$B216,'第 8 天'!D46,0),IF('第 8 天'!F$7=$B216,'第 8 天'!F46,0),IF('第 8 天'!H$7=$B216,'第 8 天'!H46,0),IF('第 8 天'!J$7=$B216,'第 8 天'!J46,0),IF('第 8 天'!L$7=$B216,'第 8 天'!L46,0),IF('第 8 天'!N$7=$B216,'第 8 天'!N46,0),IF('第 8 天'!P$7=$B216,'第 8 天'!P46,0)))</f>
        <v>0</v>
      </c>
    </row>
    <row r="217" customFormat="false" ht="15" hidden="false" customHeight="false" outlineLevel="0" collapsed="false">
      <c r="A217" s="13" t="s">
        <v>143</v>
      </c>
      <c r="B217" s="13" t="s">
        <v>23</v>
      </c>
      <c r="C217" s="14" t="n">
        <f aca="false">SUM(IF(OR('第 8 天'!D$5="早餐",'第 8 天'!D$5="午餐",'第 8 天'!D$5="晚餐"),'第 8 天'!D57,0),IF(OR('第 8 天'!F$5="早餐",'第 8 天'!F$5="午餐",'第 8 天'!F$5="晚餐"),'第 8 天'!F57,0),IF(OR('第 8 天'!H$5="早餐",'第 8 天'!H$5="午餐",'第 8 天'!H$5="晚餐"),'第 8 天'!H57,0),IF(OR('第 8 天'!J$5="早餐",'第 8 天'!J$5="午餐",'第 8 天'!J$5="晚餐"),'第 8 天'!J57,0),IF(OR('第 8 天'!L$5="早餐",'第 8 天'!L$5="午餐",'第 8 天'!L$5="晚餐"),'第 8 天'!L57,0),IF(OR('第 8 天'!N$5="早餐",'第 8 天'!N$5="午餐",'第 8 天'!N$5="晚餐"),'第 8 天'!N57,0),IF(OR('第 8 天'!P$5="早餐",'第 8 天'!P$5="午餐",'第 8 天'!P$5="晚餐"),'第 8 天'!P57,0))</f>
        <v>0</v>
      </c>
      <c r="D217" s="14" t="n">
        <f aca="false">SUM(IF(OR('第 8 天'!D$5="油錢"),'第 8 天'!D57,0),IF(OR('第 8 天'!F$5="油錢"),'第 8 天'!F57,0),IF(OR('第 8 天'!H$5="油錢"),'第 8 天'!H57,0),IF(OR('第 8 天'!J$5="油錢"),'第 8 天'!J57,0),IF(OR('第 8 天'!L$5="油錢"),'第 8 天'!L57,0),IF(OR('第 8 天'!N$5="油錢"),'第 8 天'!N57,0),IF(OR('第 8 天'!P$5="油錢"),'第 8 天'!P57,0))</f>
        <v>0</v>
      </c>
      <c r="E217" s="14" t="n">
        <f aca="false">SUM(IF(OR('第 8 天'!D$5="租車費"),'第 8 天'!D57,0),IF(OR('第 8 天'!F$5="租車費"),'第 8 天'!F57,0),IF(OR('第 8 天'!H$5="租車費"),'第 8 天'!H57,0),IF(OR('第 8 天'!J$5="租車費"),'第 8 天'!J57,0),IF(OR('第 8 天'!L$5="租車費"),'第 8 天'!L57,0),IF(OR('第 8 天'!N$5="租車費"),'第 8 天'!N57,0),IF(OR('第 8 天'!P$5="租車費"),'第 8 天'!P57,0))</f>
        <v>0</v>
      </c>
      <c r="F217" s="14" t="n">
        <f aca="false">SUM(IF(OR('第 8 天'!D$5="停車費",'第 8 天'!D$5="其他"),'第 8 天'!D57,0),IF(OR('第 8 天'!F$5="停車費",'第 8 天'!F$5="其他"),'第 8 天'!F57,0),IF(OR('第 8 天'!H$5="停車費",'第 8 天'!H$5="其他"),'第 8 天'!H57,0),IF(OR('第 8 天'!J$5="停車費",'第 8 天'!J$5="其他"),'第 8 天'!J57,0),IF(OR('第 8 天'!L$5="停車費",'第 8 天'!L$5="其他"),'第 8 天'!L57,0),IF(OR('第 8 天'!N$5="停車費",'第 8 天'!N$5="其他"),'第 8 天'!N57,0),IF(OR('第 8 天'!P$5="停車費",'第 8 天'!P$5="其他"),'第 8 天'!P57,0))</f>
        <v>0</v>
      </c>
      <c r="G217" s="14" t="n">
        <f aca="false">SUM(C217:F217)</f>
        <v>0</v>
      </c>
      <c r="H217" s="14" t="n">
        <f aca="false">IF(LEN(TRIM(成員名單!$B10))=0,0,SUM(IF('第 8 天'!D$7=$B217,'第 8 天'!D46,0),IF('第 8 天'!F$7=$B217,'第 8 天'!F46,0),IF('第 8 天'!H$7=$B217,'第 8 天'!H46,0),IF('第 8 天'!J$7=$B217,'第 8 天'!J46,0),IF('第 8 天'!L$7=$B217,'第 8 天'!L46,0),IF('第 8 天'!N$7=$B217,'第 8 天'!N46,0),IF('第 8 天'!P$7=$B217,'第 8 天'!P46,0)))</f>
        <v>0</v>
      </c>
    </row>
    <row r="218" customFormat="false" ht="15" hidden="false" customHeight="false" outlineLevel="0" collapsed="false">
      <c r="A218" s="13" t="s">
        <v>143</v>
      </c>
      <c r="B218" s="13" t="s">
        <v>24</v>
      </c>
      <c r="C218" s="14" t="n">
        <f aca="false">SUM(IF(OR('第 8 天'!D$5="早餐",'第 8 天'!D$5="午餐",'第 8 天'!D$5="晚餐"),'第 8 天'!D58,0),IF(OR('第 8 天'!F$5="早餐",'第 8 天'!F$5="午餐",'第 8 天'!F$5="晚餐"),'第 8 天'!F58,0),IF(OR('第 8 天'!H$5="早餐",'第 8 天'!H$5="午餐",'第 8 天'!H$5="晚餐"),'第 8 天'!H58,0),IF(OR('第 8 天'!J$5="早餐",'第 8 天'!J$5="午餐",'第 8 天'!J$5="晚餐"),'第 8 天'!J58,0),IF(OR('第 8 天'!L$5="早餐",'第 8 天'!L$5="午餐",'第 8 天'!L$5="晚餐"),'第 8 天'!L58,0),IF(OR('第 8 天'!N$5="早餐",'第 8 天'!N$5="午餐",'第 8 天'!N$5="晚餐"),'第 8 天'!N58,0),IF(OR('第 8 天'!P$5="早餐",'第 8 天'!P$5="午餐",'第 8 天'!P$5="晚餐"),'第 8 天'!P58,0))</f>
        <v>0</v>
      </c>
      <c r="D218" s="14" t="n">
        <f aca="false">SUM(IF(OR('第 8 天'!D$5="油錢"),'第 8 天'!D58,0),IF(OR('第 8 天'!F$5="油錢"),'第 8 天'!F58,0),IF(OR('第 8 天'!H$5="油錢"),'第 8 天'!H58,0),IF(OR('第 8 天'!J$5="油錢"),'第 8 天'!J58,0),IF(OR('第 8 天'!L$5="油錢"),'第 8 天'!L58,0),IF(OR('第 8 天'!N$5="油錢"),'第 8 天'!N58,0),IF(OR('第 8 天'!P$5="油錢"),'第 8 天'!P58,0))</f>
        <v>0</v>
      </c>
      <c r="E218" s="14" t="n">
        <f aca="false">SUM(IF(OR('第 8 天'!D$5="租車費"),'第 8 天'!D58,0),IF(OR('第 8 天'!F$5="租車費"),'第 8 天'!F58,0),IF(OR('第 8 天'!H$5="租車費"),'第 8 天'!H58,0),IF(OR('第 8 天'!J$5="租車費"),'第 8 天'!J58,0),IF(OR('第 8 天'!L$5="租車費"),'第 8 天'!L58,0),IF(OR('第 8 天'!N$5="租車費"),'第 8 天'!N58,0),IF(OR('第 8 天'!P$5="租車費"),'第 8 天'!P58,0))</f>
        <v>0</v>
      </c>
      <c r="F218" s="14" t="n">
        <f aca="false">SUM(IF(OR('第 8 天'!D$5="停車費",'第 8 天'!D$5="其他"),'第 8 天'!D58,0),IF(OR('第 8 天'!F$5="停車費",'第 8 天'!F$5="其他"),'第 8 天'!F58,0),IF(OR('第 8 天'!H$5="停車費",'第 8 天'!H$5="其他"),'第 8 天'!H58,0),IF(OR('第 8 天'!J$5="停車費",'第 8 天'!J$5="其他"),'第 8 天'!J58,0),IF(OR('第 8 天'!L$5="停車費",'第 8 天'!L$5="其他"),'第 8 天'!L58,0),IF(OR('第 8 天'!N$5="停車費",'第 8 天'!N$5="其他"),'第 8 天'!N58,0),IF(OR('第 8 天'!P$5="停車費",'第 8 天'!P$5="其他"),'第 8 天'!P58,0))</f>
        <v>0</v>
      </c>
      <c r="G218" s="14" t="n">
        <f aca="false">SUM(C218:F218)</f>
        <v>0</v>
      </c>
      <c r="H218" s="14" t="n">
        <f aca="false">IF(LEN(TRIM(成員名單!$B11))=0,0,SUM(IF('第 8 天'!D$7=$B218,'第 8 天'!D46,0),IF('第 8 天'!F$7=$B218,'第 8 天'!F46,0),IF('第 8 天'!H$7=$B218,'第 8 天'!H46,0),IF('第 8 天'!J$7=$B218,'第 8 天'!J46,0),IF('第 8 天'!L$7=$B218,'第 8 天'!L46,0),IF('第 8 天'!N$7=$B218,'第 8 天'!N46,0),IF('第 8 天'!P$7=$B218,'第 8 天'!P46,0)))</f>
        <v>0</v>
      </c>
    </row>
    <row r="219" customFormat="false" ht="15" hidden="false" customHeight="false" outlineLevel="0" collapsed="false">
      <c r="A219" s="13" t="s">
        <v>143</v>
      </c>
      <c r="B219" s="13" t="s">
        <v>25</v>
      </c>
      <c r="C219" s="14" t="n">
        <f aca="false">SUM(IF(OR('第 8 天'!D$5="早餐",'第 8 天'!D$5="午餐",'第 8 天'!D$5="晚餐"),'第 8 天'!D59,0),IF(OR('第 8 天'!F$5="早餐",'第 8 天'!F$5="午餐",'第 8 天'!F$5="晚餐"),'第 8 天'!F59,0),IF(OR('第 8 天'!H$5="早餐",'第 8 天'!H$5="午餐",'第 8 天'!H$5="晚餐"),'第 8 天'!H59,0),IF(OR('第 8 天'!J$5="早餐",'第 8 天'!J$5="午餐",'第 8 天'!J$5="晚餐"),'第 8 天'!J59,0),IF(OR('第 8 天'!L$5="早餐",'第 8 天'!L$5="午餐",'第 8 天'!L$5="晚餐"),'第 8 天'!L59,0),IF(OR('第 8 天'!N$5="早餐",'第 8 天'!N$5="午餐",'第 8 天'!N$5="晚餐"),'第 8 天'!N59,0),IF(OR('第 8 天'!P$5="早餐",'第 8 天'!P$5="午餐",'第 8 天'!P$5="晚餐"),'第 8 天'!P59,0))</f>
        <v>0</v>
      </c>
      <c r="D219" s="14" t="n">
        <f aca="false">SUM(IF(OR('第 8 天'!D$5="油錢"),'第 8 天'!D59,0),IF(OR('第 8 天'!F$5="油錢"),'第 8 天'!F59,0),IF(OR('第 8 天'!H$5="油錢"),'第 8 天'!H59,0),IF(OR('第 8 天'!J$5="油錢"),'第 8 天'!J59,0),IF(OR('第 8 天'!L$5="油錢"),'第 8 天'!L59,0),IF(OR('第 8 天'!N$5="油錢"),'第 8 天'!N59,0),IF(OR('第 8 天'!P$5="油錢"),'第 8 天'!P59,0))</f>
        <v>0</v>
      </c>
      <c r="E219" s="14" t="n">
        <f aca="false">SUM(IF(OR('第 8 天'!D$5="租車費"),'第 8 天'!D59,0),IF(OR('第 8 天'!F$5="租車費"),'第 8 天'!F59,0),IF(OR('第 8 天'!H$5="租車費"),'第 8 天'!H59,0),IF(OR('第 8 天'!J$5="租車費"),'第 8 天'!J59,0),IF(OR('第 8 天'!L$5="租車費"),'第 8 天'!L59,0),IF(OR('第 8 天'!N$5="租車費"),'第 8 天'!N59,0),IF(OR('第 8 天'!P$5="租車費"),'第 8 天'!P59,0))</f>
        <v>0</v>
      </c>
      <c r="F219" s="14" t="n">
        <f aca="false">SUM(IF(OR('第 8 天'!D$5="停車費",'第 8 天'!D$5="其他"),'第 8 天'!D59,0),IF(OR('第 8 天'!F$5="停車費",'第 8 天'!F$5="其他"),'第 8 天'!F59,0),IF(OR('第 8 天'!H$5="停車費",'第 8 天'!H$5="其他"),'第 8 天'!H59,0),IF(OR('第 8 天'!J$5="停車費",'第 8 天'!J$5="其他"),'第 8 天'!J59,0),IF(OR('第 8 天'!L$5="停車費",'第 8 天'!L$5="其他"),'第 8 天'!L59,0),IF(OR('第 8 天'!N$5="停車費",'第 8 天'!N$5="其他"),'第 8 天'!N59,0),IF(OR('第 8 天'!P$5="停車費",'第 8 天'!P$5="其他"),'第 8 天'!P59,0))</f>
        <v>0</v>
      </c>
      <c r="G219" s="14" t="n">
        <f aca="false">SUM(C219:F219)</f>
        <v>0</v>
      </c>
      <c r="H219" s="14" t="n">
        <f aca="false">IF(LEN(TRIM(成員名單!$B12))=0,0,SUM(IF('第 8 天'!D$7=$B219,'第 8 天'!D46,0),IF('第 8 天'!F$7=$B219,'第 8 天'!F46,0),IF('第 8 天'!H$7=$B219,'第 8 天'!H46,0),IF('第 8 天'!J$7=$B219,'第 8 天'!J46,0),IF('第 8 天'!L$7=$B219,'第 8 天'!L46,0),IF('第 8 天'!N$7=$B219,'第 8 天'!N46,0),IF('第 8 天'!P$7=$B219,'第 8 天'!P46,0)))</f>
        <v>0</v>
      </c>
    </row>
    <row r="220" customFormat="false" ht="15" hidden="false" customHeight="false" outlineLevel="0" collapsed="false">
      <c r="A220" s="13" t="s">
        <v>143</v>
      </c>
      <c r="B220" s="13" t="s">
        <v>26</v>
      </c>
      <c r="C220" s="14" t="n">
        <f aca="false">SUM(IF(OR('第 8 天'!D$5="早餐",'第 8 天'!D$5="午餐",'第 8 天'!D$5="晚餐"),'第 8 天'!D60,0),IF(OR('第 8 天'!F$5="早餐",'第 8 天'!F$5="午餐",'第 8 天'!F$5="晚餐"),'第 8 天'!F60,0),IF(OR('第 8 天'!H$5="早餐",'第 8 天'!H$5="午餐",'第 8 天'!H$5="晚餐"),'第 8 天'!H60,0),IF(OR('第 8 天'!J$5="早餐",'第 8 天'!J$5="午餐",'第 8 天'!J$5="晚餐"),'第 8 天'!J60,0),IF(OR('第 8 天'!L$5="早餐",'第 8 天'!L$5="午餐",'第 8 天'!L$5="晚餐"),'第 8 天'!L60,0),IF(OR('第 8 天'!N$5="早餐",'第 8 天'!N$5="午餐",'第 8 天'!N$5="晚餐"),'第 8 天'!N60,0),IF(OR('第 8 天'!P$5="早餐",'第 8 天'!P$5="午餐",'第 8 天'!P$5="晚餐"),'第 8 天'!P60,0))</f>
        <v>0</v>
      </c>
      <c r="D220" s="14" t="n">
        <f aca="false">SUM(IF(OR('第 8 天'!D$5="油錢"),'第 8 天'!D60,0),IF(OR('第 8 天'!F$5="油錢"),'第 8 天'!F60,0),IF(OR('第 8 天'!H$5="油錢"),'第 8 天'!H60,0),IF(OR('第 8 天'!J$5="油錢"),'第 8 天'!J60,0),IF(OR('第 8 天'!L$5="油錢"),'第 8 天'!L60,0),IF(OR('第 8 天'!N$5="油錢"),'第 8 天'!N60,0),IF(OR('第 8 天'!P$5="油錢"),'第 8 天'!P60,0))</f>
        <v>0</v>
      </c>
      <c r="E220" s="14" t="n">
        <f aca="false">SUM(IF(OR('第 8 天'!D$5="租車費"),'第 8 天'!D60,0),IF(OR('第 8 天'!F$5="租車費"),'第 8 天'!F60,0),IF(OR('第 8 天'!H$5="租車費"),'第 8 天'!H60,0),IF(OR('第 8 天'!J$5="租車費"),'第 8 天'!J60,0),IF(OR('第 8 天'!L$5="租車費"),'第 8 天'!L60,0),IF(OR('第 8 天'!N$5="租車費"),'第 8 天'!N60,0),IF(OR('第 8 天'!P$5="租車費"),'第 8 天'!P60,0))</f>
        <v>0</v>
      </c>
      <c r="F220" s="14" t="n">
        <f aca="false">SUM(IF(OR('第 8 天'!D$5="停車費",'第 8 天'!D$5="其他"),'第 8 天'!D60,0),IF(OR('第 8 天'!F$5="停車費",'第 8 天'!F$5="其他"),'第 8 天'!F60,0),IF(OR('第 8 天'!H$5="停車費",'第 8 天'!H$5="其他"),'第 8 天'!H60,0),IF(OR('第 8 天'!J$5="停車費",'第 8 天'!J$5="其他"),'第 8 天'!J60,0),IF(OR('第 8 天'!L$5="停車費",'第 8 天'!L$5="其他"),'第 8 天'!L60,0),IF(OR('第 8 天'!N$5="停車費",'第 8 天'!N$5="其他"),'第 8 天'!N60,0),IF(OR('第 8 天'!P$5="停車費",'第 8 天'!P$5="其他"),'第 8 天'!P60,0))</f>
        <v>0</v>
      </c>
      <c r="G220" s="14" t="n">
        <f aca="false">SUM(C220:F220)</f>
        <v>0</v>
      </c>
      <c r="H220" s="14" t="n">
        <f aca="false">IF(LEN(TRIM(成員名單!$B13))=0,0,SUM(IF('第 8 天'!D$7=$B220,'第 8 天'!D46,0),IF('第 8 天'!F$7=$B220,'第 8 天'!F46,0),IF('第 8 天'!H$7=$B220,'第 8 天'!H46,0),IF('第 8 天'!J$7=$B220,'第 8 天'!J46,0),IF('第 8 天'!L$7=$B220,'第 8 天'!L46,0),IF('第 8 天'!N$7=$B220,'第 8 天'!N46,0),IF('第 8 天'!P$7=$B220,'第 8 天'!P46,0)))</f>
        <v>0</v>
      </c>
    </row>
    <row r="221" customFormat="false" ht="15" hidden="false" customHeight="false" outlineLevel="0" collapsed="false">
      <c r="A221" s="13" t="s">
        <v>143</v>
      </c>
      <c r="B221" s="13" t="s">
        <v>27</v>
      </c>
      <c r="C221" s="14" t="n">
        <f aca="false">SUM(IF(OR('第 8 天'!D$5="早餐",'第 8 天'!D$5="午餐",'第 8 天'!D$5="晚餐"),'第 8 天'!D61,0),IF(OR('第 8 天'!F$5="早餐",'第 8 天'!F$5="午餐",'第 8 天'!F$5="晚餐"),'第 8 天'!F61,0),IF(OR('第 8 天'!H$5="早餐",'第 8 天'!H$5="午餐",'第 8 天'!H$5="晚餐"),'第 8 天'!H61,0),IF(OR('第 8 天'!J$5="早餐",'第 8 天'!J$5="午餐",'第 8 天'!J$5="晚餐"),'第 8 天'!J61,0),IF(OR('第 8 天'!L$5="早餐",'第 8 天'!L$5="午餐",'第 8 天'!L$5="晚餐"),'第 8 天'!L61,0),IF(OR('第 8 天'!N$5="早餐",'第 8 天'!N$5="午餐",'第 8 天'!N$5="晚餐"),'第 8 天'!N61,0),IF(OR('第 8 天'!P$5="早餐",'第 8 天'!P$5="午餐",'第 8 天'!P$5="晚餐"),'第 8 天'!P61,0))</f>
        <v>0</v>
      </c>
      <c r="D221" s="14" t="n">
        <f aca="false">SUM(IF(OR('第 8 天'!D$5="油錢"),'第 8 天'!D61,0),IF(OR('第 8 天'!F$5="油錢"),'第 8 天'!F61,0),IF(OR('第 8 天'!H$5="油錢"),'第 8 天'!H61,0),IF(OR('第 8 天'!J$5="油錢"),'第 8 天'!J61,0),IF(OR('第 8 天'!L$5="油錢"),'第 8 天'!L61,0),IF(OR('第 8 天'!N$5="油錢"),'第 8 天'!N61,0),IF(OR('第 8 天'!P$5="油錢"),'第 8 天'!P61,0))</f>
        <v>0</v>
      </c>
      <c r="E221" s="14" t="n">
        <f aca="false">SUM(IF(OR('第 8 天'!D$5="租車費"),'第 8 天'!D61,0),IF(OR('第 8 天'!F$5="租車費"),'第 8 天'!F61,0),IF(OR('第 8 天'!H$5="租車費"),'第 8 天'!H61,0),IF(OR('第 8 天'!J$5="租車費"),'第 8 天'!J61,0),IF(OR('第 8 天'!L$5="租車費"),'第 8 天'!L61,0),IF(OR('第 8 天'!N$5="租車費"),'第 8 天'!N61,0),IF(OR('第 8 天'!P$5="租車費"),'第 8 天'!P61,0))</f>
        <v>0</v>
      </c>
      <c r="F221" s="14" t="n">
        <f aca="false">SUM(IF(OR('第 8 天'!D$5="停車費",'第 8 天'!D$5="其他"),'第 8 天'!D61,0),IF(OR('第 8 天'!F$5="停車費",'第 8 天'!F$5="其他"),'第 8 天'!F61,0),IF(OR('第 8 天'!H$5="停車費",'第 8 天'!H$5="其他"),'第 8 天'!H61,0),IF(OR('第 8 天'!J$5="停車費",'第 8 天'!J$5="其他"),'第 8 天'!J61,0),IF(OR('第 8 天'!L$5="停車費",'第 8 天'!L$5="其他"),'第 8 天'!L61,0),IF(OR('第 8 天'!N$5="停車費",'第 8 天'!N$5="其他"),'第 8 天'!N61,0),IF(OR('第 8 天'!P$5="停車費",'第 8 天'!P$5="其他"),'第 8 天'!P61,0))</f>
        <v>0</v>
      </c>
      <c r="G221" s="14" t="n">
        <f aca="false">SUM(C221:F221)</f>
        <v>0</v>
      </c>
      <c r="H221" s="14" t="n">
        <f aca="false">IF(LEN(TRIM(成員名單!$B14))=0,0,SUM(IF('第 8 天'!D$7=$B221,'第 8 天'!D46,0),IF('第 8 天'!F$7=$B221,'第 8 天'!F46,0),IF('第 8 天'!H$7=$B221,'第 8 天'!H46,0),IF('第 8 天'!J$7=$B221,'第 8 天'!J46,0),IF('第 8 天'!L$7=$B221,'第 8 天'!L46,0),IF('第 8 天'!N$7=$B221,'第 8 天'!N46,0),IF('第 8 天'!P$7=$B221,'第 8 天'!P46,0)))</f>
        <v>0</v>
      </c>
    </row>
    <row r="222" customFormat="false" ht="15" hidden="false" customHeight="false" outlineLevel="0" collapsed="false">
      <c r="A222" s="13" t="s">
        <v>143</v>
      </c>
      <c r="B222" s="13" t="s">
        <v>28</v>
      </c>
      <c r="C222" s="14" t="n">
        <f aca="false">SUM(IF(OR('第 8 天'!D$5="早餐",'第 8 天'!D$5="午餐",'第 8 天'!D$5="晚餐"),'第 8 天'!D62,0),IF(OR('第 8 天'!F$5="早餐",'第 8 天'!F$5="午餐",'第 8 天'!F$5="晚餐"),'第 8 天'!F62,0),IF(OR('第 8 天'!H$5="早餐",'第 8 天'!H$5="午餐",'第 8 天'!H$5="晚餐"),'第 8 天'!H62,0),IF(OR('第 8 天'!J$5="早餐",'第 8 天'!J$5="午餐",'第 8 天'!J$5="晚餐"),'第 8 天'!J62,0),IF(OR('第 8 天'!L$5="早餐",'第 8 天'!L$5="午餐",'第 8 天'!L$5="晚餐"),'第 8 天'!L62,0),IF(OR('第 8 天'!N$5="早餐",'第 8 天'!N$5="午餐",'第 8 天'!N$5="晚餐"),'第 8 天'!N62,0),IF(OR('第 8 天'!P$5="早餐",'第 8 天'!P$5="午餐",'第 8 天'!P$5="晚餐"),'第 8 天'!P62,0))</f>
        <v>0</v>
      </c>
      <c r="D222" s="14" t="n">
        <f aca="false">SUM(IF(OR('第 8 天'!D$5="油錢"),'第 8 天'!D62,0),IF(OR('第 8 天'!F$5="油錢"),'第 8 天'!F62,0),IF(OR('第 8 天'!H$5="油錢"),'第 8 天'!H62,0),IF(OR('第 8 天'!J$5="油錢"),'第 8 天'!J62,0),IF(OR('第 8 天'!L$5="油錢"),'第 8 天'!L62,0),IF(OR('第 8 天'!N$5="油錢"),'第 8 天'!N62,0),IF(OR('第 8 天'!P$5="油錢"),'第 8 天'!P62,0))</f>
        <v>0</v>
      </c>
      <c r="E222" s="14" t="n">
        <f aca="false">SUM(IF(OR('第 8 天'!D$5="租車費"),'第 8 天'!D62,0),IF(OR('第 8 天'!F$5="租車費"),'第 8 天'!F62,0),IF(OR('第 8 天'!H$5="租車費"),'第 8 天'!H62,0),IF(OR('第 8 天'!J$5="租車費"),'第 8 天'!J62,0),IF(OR('第 8 天'!L$5="租車費"),'第 8 天'!L62,0),IF(OR('第 8 天'!N$5="租車費"),'第 8 天'!N62,0),IF(OR('第 8 天'!P$5="租車費"),'第 8 天'!P62,0))</f>
        <v>0</v>
      </c>
      <c r="F222" s="14" t="n">
        <f aca="false">SUM(IF(OR('第 8 天'!D$5="停車費",'第 8 天'!D$5="其他"),'第 8 天'!D62,0),IF(OR('第 8 天'!F$5="停車費",'第 8 天'!F$5="其他"),'第 8 天'!F62,0),IF(OR('第 8 天'!H$5="停車費",'第 8 天'!H$5="其他"),'第 8 天'!H62,0),IF(OR('第 8 天'!J$5="停車費",'第 8 天'!J$5="其他"),'第 8 天'!J62,0),IF(OR('第 8 天'!L$5="停車費",'第 8 天'!L$5="其他"),'第 8 天'!L62,0),IF(OR('第 8 天'!N$5="停車費",'第 8 天'!N$5="其他"),'第 8 天'!N62,0),IF(OR('第 8 天'!P$5="停車費",'第 8 天'!P$5="其他"),'第 8 天'!P62,0))</f>
        <v>0</v>
      </c>
      <c r="G222" s="14" t="n">
        <f aca="false">SUM(C222:F222)</f>
        <v>0</v>
      </c>
      <c r="H222" s="14" t="n">
        <f aca="false">IF(LEN(TRIM(成員名單!$B15))=0,0,SUM(IF('第 8 天'!D$7=$B222,'第 8 天'!D46,0),IF('第 8 天'!F$7=$B222,'第 8 天'!F46,0),IF('第 8 天'!H$7=$B222,'第 8 天'!H46,0),IF('第 8 天'!J$7=$B222,'第 8 天'!J46,0),IF('第 8 天'!L$7=$B222,'第 8 天'!L46,0),IF('第 8 天'!N$7=$B222,'第 8 天'!N46,0),IF('第 8 天'!P$7=$B222,'第 8 天'!P46,0)))</f>
        <v>0</v>
      </c>
    </row>
    <row r="223" customFormat="false" ht="15" hidden="false" customHeight="false" outlineLevel="0" collapsed="false">
      <c r="A223" s="13" t="s">
        <v>143</v>
      </c>
      <c r="B223" s="13" t="s">
        <v>29</v>
      </c>
      <c r="C223" s="14" t="n">
        <f aca="false">SUM(IF(OR('第 8 天'!D$5="早餐",'第 8 天'!D$5="午餐",'第 8 天'!D$5="晚餐"),'第 8 天'!D63,0),IF(OR('第 8 天'!F$5="早餐",'第 8 天'!F$5="午餐",'第 8 天'!F$5="晚餐"),'第 8 天'!F63,0),IF(OR('第 8 天'!H$5="早餐",'第 8 天'!H$5="午餐",'第 8 天'!H$5="晚餐"),'第 8 天'!H63,0),IF(OR('第 8 天'!J$5="早餐",'第 8 天'!J$5="午餐",'第 8 天'!J$5="晚餐"),'第 8 天'!J63,0),IF(OR('第 8 天'!L$5="早餐",'第 8 天'!L$5="午餐",'第 8 天'!L$5="晚餐"),'第 8 天'!L63,0),IF(OR('第 8 天'!N$5="早餐",'第 8 天'!N$5="午餐",'第 8 天'!N$5="晚餐"),'第 8 天'!N63,0),IF(OR('第 8 天'!P$5="早餐",'第 8 天'!P$5="午餐",'第 8 天'!P$5="晚餐"),'第 8 天'!P63,0))</f>
        <v>0</v>
      </c>
      <c r="D223" s="14" t="n">
        <f aca="false">SUM(IF(OR('第 8 天'!D$5="油錢"),'第 8 天'!D63,0),IF(OR('第 8 天'!F$5="油錢"),'第 8 天'!F63,0),IF(OR('第 8 天'!H$5="油錢"),'第 8 天'!H63,0),IF(OR('第 8 天'!J$5="油錢"),'第 8 天'!J63,0),IF(OR('第 8 天'!L$5="油錢"),'第 8 天'!L63,0),IF(OR('第 8 天'!N$5="油錢"),'第 8 天'!N63,0),IF(OR('第 8 天'!P$5="油錢"),'第 8 天'!P63,0))</f>
        <v>0</v>
      </c>
      <c r="E223" s="14" t="n">
        <f aca="false">SUM(IF(OR('第 8 天'!D$5="租車費"),'第 8 天'!D63,0),IF(OR('第 8 天'!F$5="租車費"),'第 8 天'!F63,0),IF(OR('第 8 天'!H$5="租車費"),'第 8 天'!H63,0),IF(OR('第 8 天'!J$5="租車費"),'第 8 天'!J63,0),IF(OR('第 8 天'!L$5="租車費"),'第 8 天'!L63,0),IF(OR('第 8 天'!N$5="租車費"),'第 8 天'!N63,0),IF(OR('第 8 天'!P$5="租車費"),'第 8 天'!P63,0))</f>
        <v>0</v>
      </c>
      <c r="F223" s="14" t="n">
        <f aca="false">SUM(IF(OR('第 8 天'!D$5="停車費",'第 8 天'!D$5="其他"),'第 8 天'!D63,0),IF(OR('第 8 天'!F$5="停車費",'第 8 天'!F$5="其他"),'第 8 天'!F63,0),IF(OR('第 8 天'!H$5="停車費",'第 8 天'!H$5="其他"),'第 8 天'!H63,0),IF(OR('第 8 天'!J$5="停車費",'第 8 天'!J$5="其他"),'第 8 天'!J63,0),IF(OR('第 8 天'!L$5="停車費",'第 8 天'!L$5="其他"),'第 8 天'!L63,0),IF(OR('第 8 天'!N$5="停車費",'第 8 天'!N$5="其他"),'第 8 天'!N63,0),IF(OR('第 8 天'!P$5="停車費",'第 8 天'!P$5="其他"),'第 8 天'!P63,0))</f>
        <v>0</v>
      </c>
      <c r="G223" s="14" t="n">
        <f aca="false">SUM(C223:F223)</f>
        <v>0</v>
      </c>
      <c r="H223" s="14" t="n">
        <f aca="false">IF(LEN(TRIM(成員名單!$B16))=0,0,SUM(IF('第 8 天'!D$7=$B223,'第 8 天'!D46,0),IF('第 8 天'!F$7=$B223,'第 8 天'!F46,0),IF('第 8 天'!H$7=$B223,'第 8 天'!H46,0),IF('第 8 天'!J$7=$B223,'第 8 天'!J46,0),IF('第 8 天'!L$7=$B223,'第 8 天'!L46,0),IF('第 8 天'!N$7=$B223,'第 8 天'!N46,0),IF('第 8 天'!P$7=$B223,'第 8 天'!P46,0)))</f>
        <v>0</v>
      </c>
    </row>
    <row r="224" customFormat="false" ht="15" hidden="false" customHeight="false" outlineLevel="0" collapsed="false">
      <c r="A224" s="13" t="s">
        <v>143</v>
      </c>
      <c r="B224" s="13" t="s">
        <v>30</v>
      </c>
      <c r="C224" s="14" t="n">
        <f aca="false">SUM(IF(OR('第 8 天'!D$5="早餐",'第 8 天'!D$5="午餐",'第 8 天'!D$5="晚餐"),'第 8 天'!D64,0),IF(OR('第 8 天'!F$5="早餐",'第 8 天'!F$5="午餐",'第 8 天'!F$5="晚餐"),'第 8 天'!F64,0),IF(OR('第 8 天'!H$5="早餐",'第 8 天'!H$5="午餐",'第 8 天'!H$5="晚餐"),'第 8 天'!H64,0),IF(OR('第 8 天'!J$5="早餐",'第 8 天'!J$5="午餐",'第 8 天'!J$5="晚餐"),'第 8 天'!J64,0),IF(OR('第 8 天'!L$5="早餐",'第 8 天'!L$5="午餐",'第 8 天'!L$5="晚餐"),'第 8 天'!L64,0),IF(OR('第 8 天'!N$5="早餐",'第 8 天'!N$5="午餐",'第 8 天'!N$5="晚餐"),'第 8 天'!N64,0),IF(OR('第 8 天'!P$5="早餐",'第 8 天'!P$5="午餐",'第 8 天'!P$5="晚餐"),'第 8 天'!P64,0))</f>
        <v>0</v>
      </c>
      <c r="D224" s="14" t="n">
        <f aca="false">SUM(IF(OR('第 8 天'!D$5="油錢"),'第 8 天'!D64,0),IF(OR('第 8 天'!F$5="油錢"),'第 8 天'!F64,0),IF(OR('第 8 天'!H$5="油錢"),'第 8 天'!H64,0),IF(OR('第 8 天'!J$5="油錢"),'第 8 天'!J64,0),IF(OR('第 8 天'!L$5="油錢"),'第 8 天'!L64,0),IF(OR('第 8 天'!N$5="油錢"),'第 8 天'!N64,0),IF(OR('第 8 天'!P$5="油錢"),'第 8 天'!P64,0))</f>
        <v>0</v>
      </c>
      <c r="E224" s="14" t="n">
        <f aca="false">SUM(IF(OR('第 8 天'!D$5="租車費"),'第 8 天'!D64,0),IF(OR('第 8 天'!F$5="租車費"),'第 8 天'!F64,0),IF(OR('第 8 天'!H$5="租車費"),'第 8 天'!H64,0),IF(OR('第 8 天'!J$5="租車費"),'第 8 天'!J64,0),IF(OR('第 8 天'!L$5="租車費"),'第 8 天'!L64,0),IF(OR('第 8 天'!N$5="租車費"),'第 8 天'!N64,0),IF(OR('第 8 天'!P$5="租車費"),'第 8 天'!P64,0))</f>
        <v>0</v>
      </c>
      <c r="F224" s="14" t="n">
        <f aca="false">SUM(IF(OR('第 8 天'!D$5="停車費",'第 8 天'!D$5="其他"),'第 8 天'!D64,0),IF(OR('第 8 天'!F$5="停車費",'第 8 天'!F$5="其他"),'第 8 天'!F64,0),IF(OR('第 8 天'!H$5="停車費",'第 8 天'!H$5="其他"),'第 8 天'!H64,0),IF(OR('第 8 天'!J$5="停車費",'第 8 天'!J$5="其他"),'第 8 天'!J64,0),IF(OR('第 8 天'!L$5="停車費",'第 8 天'!L$5="其他"),'第 8 天'!L64,0),IF(OR('第 8 天'!N$5="停車費",'第 8 天'!N$5="其他"),'第 8 天'!N64,0),IF(OR('第 8 天'!P$5="停車費",'第 8 天'!P$5="其他"),'第 8 天'!P64,0))</f>
        <v>0</v>
      </c>
      <c r="G224" s="14" t="n">
        <f aca="false">SUM(C224:F224)</f>
        <v>0</v>
      </c>
      <c r="H224" s="14" t="n">
        <f aca="false">IF(LEN(TRIM(成員名單!$B17))=0,0,SUM(IF('第 8 天'!D$7=$B224,'第 8 天'!D46,0),IF('第 8 天'!F$7=$B224,'第 8 天'!F46,0),IF('第 8 天'!H$7=$B224,'第 8 天'!H46,0),IF('第 8 天'!J$7=$B224,'第 8 天'!J46,0),IF('第 8 天'!L$7=$B224,'第 8 天'!L46,0),IF('第 8 天'!N$7=$B224,'第 8 天'!N46,0),IF('第 8 天'!P$7=$B224,'第 8 天'!P46,0)))</f>
        <v>0</v>
      </c>
    </row>
    <row r="225" customFormat="false" ht="15" hidden="false" customHeight="false" outlineLevel="0" collapsed="false">
      <c r="A225" s="13" t="s">
        <v>143</v>
      </c>
      <c r="B225" s="13" t="s">
        <v>31</v>
      </c>
      <c r="C225" s="14" t="n">
        <f aca="false">SUM(IF(OR('第 8 天'!D$5="早餐",'第 8 天'!D$5="午餐",'第 8 天'!D$5="晚餐"),'第 8 天'!D65,0),IF(OR('第 8 天'!F$5="早餐",'第 8 天'!F$5="午餐",'第 8 天'!F$5="晚餐"),'第 8 天'!F65,0),IF(OR('第 8 天'!H$5="早餐",'第 8 天'!H$5="午餐",'第 8 天'!H$5="晚餐"),'第 8 天'!H65,0),IF(OR('第 8 天'!J$5="早餐",'第 8 天'!J$5="午餐",'第 8 天'!J$5="晚餐"),'第 8 天'!J65,0),IF(OR('第 8 天'!L$5="早餐",'第 8 天'!L$5="午餐",'第 8 天'!L$5="晚餐"),'第 8 天'!L65,0),IF(OR('第 8 天'!N$5="早餐",'第 8 天'!N$5="午餐",'第 8 天'!N$5="晚餐"),'第 8 天'!N65,0),IF(OR('第 8 天'!P$5="早餐",'第 8 天'!P$5="午餐",'第 8 天'!P$5="晚餐"),'第 8 天'!P65,0))</f>
        <v>0</v>
      </c>
      <c r="D225" s="14" t="n">
        <f aca="false">SUM(IF(OR('第 8 天'!D$5="油錢"),'第 8 天'!D65,0),IF(OR('第 8 天'!F$5="油錢"),'第 8 天'!F65,0),IF(OR('第 8 天'!H$5="油錢"),'第 8 天'!H65,0),IF(OR('第 8 天'!J$5="油錢"),'第 8 天'!J65,0),IF(OR('第 8 天'!L$5="油錢"),'第 8 天'!L65,0),IF(OR('第 8 天'!N$5="油錢"),'第 8 天'!N65,0),IF(OR('第 8 天'!P$5="油錢"),'第 8 天'!P65,0))</f>
        <v>0</v>
      </c>
      <c r="E225" s="14" t="n">
        <f aca="false">SUM(IF(OR('第 8 天'!D$5="租車費"),'第 8 天'!D65,0),IF(OR('第 8 天'!F$5="租車費"),'第 8 天'!F65,0),IF(OR('第 8 天'!H$5="租車費"),'第 8 天'!H65,0),IF(OR('第 8 天'!J$5="租車費"),'第 8 天'!J65,0),IF(OR('第 8 天'!L$5="租車費"),'第 8 天'!L65,0),IF(OR('第 8 天'!N$5="租車費"),'第 8 天'!N65,0),IF(OR('第 8 天'!P$5="租車費"),'第 8 天'!P65,0))</f>
        <v>0</v>
      </c>
      <c r="F225" s="14" t="n">
        <f aca="false">SUM(IF(OR('第 8 天'!D$5="停車費",'第 8 天'!D$5="其他"),'第 8 天'!D65,0),IF(OR('第 8 天'!F$5="停車費",'第 8 天'!F$5="其他"),'第 8 天'!F65,0),IF(OR('第 8 天'!H$5="停車費",'第 8 天'!H$5="其他"),'第 8 天'!H65,0),IF(OR('第 8 天'!J$5="停車費",'第 8 天'!J$5="其他"),'第 8 天'!J65,0),IF(OR('第 8 天'!L$5="停車費",'第 8 天'!L$5="其他"),'第 8 天'!L65,0),IF(OR('第 8 天'!N$5="停車費",'第 8 天'!N$5="其他"),'第 8 天'!N65,0),IF(OR('第 8 天'!P$5="停車費",'第 8 天'!P$5="其他"),'第 8 天'!P65,0))</f>
        <v>0</v>
      </c>
      <c r="G225" s="14" t="n">
        <f aca="false">SUM(C225:F225)</f>
        <v>0</v>
      </c>
      <c r="H225" s="14" t="n">
        <f aca="false">IF(LEN(TRIM(成員名單!$B18))=0,0,SUM(IF('第 8 天'!D$7=$B225,'第 8 天'!D46,0),IF('第 8 天'!F$7=$B225,'第 8 天'!F46,0),IF('第 8 天'!H$7=$B225,'第 8 天'!H46,0),IF('第 8 天'!J$7=$B225,'第 8 天'!J46,0),IF('第 8 天'!L$7=$B225,'第 8 天'!L46,0),IF('第 8 天'!N$7=$B225,'第 8 天'!N46,0),IF('第 8 天'!P$7=$B225,'第 8 天'!P46,0)))</f>
        <v>0</v>
      </c>
    </row>
    <row r="226" customFormat="false" ht="15" hidden="false" customHeight="false" outlineLevel="0" collapsed="false">
      <c r="A226" s="13" t="s">
        <v>143</v>
      </c>
      <c r="B226" s="13" t="s">
        <v>32</v>
      </c>
      <c r="C226" s="14" t="n">
        <f aca="false">SUM(IF(OR('第 8 天'!D$5="早餐",'第 8 天'!D$5="午餐",'第 8 天'!D$5="晚餐"),'第 8 天'!D66,0),IF(OR('第 8 天'!F$5="早餐",'第 8 天'!F$5="午餐",'第 8 天'!F$5="晚餐"),'第 8 天'!F66,0),IF(OR('第 8 天'!H$5="早餐",'第 8 天'!H$5="午餐",'第 8 天'!H$5="晚餐"),'第 8 天'!H66,0),IF(OR('第 8 天'!J$5="早餐",'第 8 天'!J$5="午餐",'第 8 天'!J$5="晚餐"),'第 8 天'!J66,0),IF(OR('第 8 天'!L$5="早餐",'第 8 天'!L$5="午餐",'第 8 天'!L$5="晚餐"),'第 8 天'!L66,0),IF(OR('第 8 天'!N$5="早餐",'第 8 天'!N$5="午餐",'第 8 天'!N$5="晚餐"),'第 8 天'!N66,0),IF(OR('第 8 天'!P$5="早餐",'第 8 天'!P$5="午餐",'第 8 天'!P$5="晚餐"),'第 8 天'!P66,0))</f>
        <v>0</v>
      </c>
      <c r="D226" s="14" t="n">
        <f aca="false">SUM(IF(OR('第 8 天'!D$5="油錢"),'第 8 天'!D66,0),IF(OR('第 8 天'!F$5="油錢"),'第 8 天'!F66,0),IF(OR('第 8 天'!H$5="油錢"),'第 8 天'!H66,0),IF(OR('第 8 天'!J$5="油錢"),'第 8 天'!J66,0),IF(OR('第 8 天'!L$5="油錢"),'第 8 天'!L66,0),IF(OR('第 8 天'!N$5="油錢"),'第 8 天'!N66,0),IF(OR('第 8 天'!P$5="油錢"),'第 8 天'!P66,0))</f>
        <v>0</v>
      </c>
      <c r="E226" s="14" t="n">
        <f aca="false">SUM(IF(OR('第 8 天'!D$5="租車費"),'第 8 天'!D66,0),IF(OR('第 8 天'!F$5="租車費"),'第 8 天'!F66,0),IF(OR('第 8 天'!H$5="租車費"),'第 8 天'!H66,0),IF(OR('第 8 天'!J$5="租車費"),'第 8 天'!J66,0),IF(OR('第 8 天'!L$5="租車費"),'第 8 天'!L66,0),IF(OR('第 8 天'!N$5="租車費"),'第 8 天'!N66,0),IF(OR('第 8 天'!P$5="租車費"),'第 8 天'!P66,0))</f>
        <v>0</v>
      </c>
      <c r="F226" s="14" t="n">
        <f aca="false">SUM(IF(OR('第 8 天'!D$5="停車費",'第 8 天'!D$5="其他"),'第 8 天'!D66,0),IF(OR('第 8 天'!F$5="停車費",'第 8 天'!F$5="其他"),'第 8 天'!F66,0),IF(OR('第 8 天'!H$5="停車費",'第 8 天'!H$5="其他"),'第 8 天'!H66,0),IF(OR('第 8 天'!J$5="停車費",'第 8 天'!J$5="其他"),'第 8 天'!J66,0),IF(OR('第 8 天'!L$5="停車費",'第 8 天'!L$5="其他"),'第 8 天'!L66,0),IF(OR('第 8 天'!N$5="停車費",'第 8 天'!N$5="其他"),'第 8 天'!N66,0),IF(OR('第 8 天'!P$5="停車費",'第 8 天'!P$5="其他"),'第 8 天'!P66,0))</f>
        <v>0</v>
      </c>
      <c r="G226" s="14" t="n">
        <f aca="false">SUM(C226:F226)</f>
        <v>0</v>
      </c>
      <c r="H226" s="14" t="n">
        <f aca="false">IF(LEN(TRIM(成員名單!$B19))=0,0,SUM(IF('第 8 天'!D$7=$B226,'第 8 天'!D46,0),IF('第 8 天'!F$7=$B226,'第 8 天'!F46,0),IF('第 8 天'!H$7=$B226,'第 8 天'!H46,0),IF('第 8 天'!J$7=$B226,'第 8 天'!J46,0),IF('第 8 天'!L$7=$B226,'第 8 天'!L46,0),IF('第 8 天'!N$7=$B226,'第 8 天'!N46,0),IF('第 8 天'!P$7=$B226,'第 8 天'!P46,0)))</f>
        <v>0</v>
      </c>
    </row>
    <row r="227" customFormat="false" ht="15" hidden="false" customHeight="false" outlineLevel="0" collapsed="false">
      <c r="A227" s="13" t="s">
        <v>143</v>
      </c>
      <c r="B227" s="13" t="s">
        <v>33</v>
      </c>
      <c r="C227" s="14" t="n">
        <f aca="false">SUM(IF(OR('第 8 天'!D$5="早餐",'第 8 天'!D$5="午餐",'第 8 天'!D$5="晚餐"),'第 8 天'!D67,0),IF(OR('第 8 天'!F$5="早餐",'第 8 天'!F$5="午餐",'第 8 天'!F$5="晚餐"),'第 8 天'!F67,0),IF(OR('第 8 天'!H$5="早餐",'第 8 天'!H$5="午餐",'第 8 天'!H$5="晚餐"),'第 8 天'!H67,0),IF(OR('第 8 天'!J$5="早餐",'第 8 天'!J$5="午餐",'第 8 天'!J$5="晚餐"),'第 8 天'!J67,0),IF(OR('第 8 天'!L$5="早餐",'第 8 天'!L$5="午餐",'第 8 天'!L$5="晚餐"),'第 8 天'!L67,0),IF(OR('第 8 天'!N$5="早餐",'第 8 天'!N$5="午餐",'第 8 天'!N$5="晚餐"),'第 8 天'!N67,0),IF(OR('第 8 天'!P$5="早餐",'第 8 天'!P$5="午餐",'第 8 天'!P$5="晚餐"),'第 8 天'!P67,0))</f>
        <v>0</v>
      </c>
      <c r="D227" s="14" t="n">
        <f aca="false">SUM(IF(OR('第 8 天'!D$5="油錢"),'第 8 天'!D67,0),IF(OR('第 8 天'!F$5="油錢"),'第 8 天'!F67,0),IF(OR('第 8 天'!H$5="油錢"),'第 8 天'!H67,0),IF(OR('第 8 天'!J$5="油錢"),'第 8 天'!J67,0),IF(OR('第 8 天'!L$5="油錢"),'第 8 天'!L67,0),IF(OR('第 8 天'!N$5="油錢"),'第 8 天'!N67,0),IF(OR('第 8 天'!P$5="油錢"),'第 8 天'!P67,0))</f>
        <v>0</v>
      </c>
      <c r="E227" s="14" t="n">
        <f aca="false">SUM(IF(OR('第 8 天'!D$5="租車費"),'第 8 天'!D67,0),IF(OR('第 8 天'!F$5="租車費"),'第 8 天'!F67,0),IF(OR('第 8 天'!H$5="租車費"),'第 8 天'!H67,0),IF(OR('第 8 天'!J$5="租車費"),'第 8 天'!J67,0),IF(OR('第 8 天'!L$5="租車費"),'第 8 天'!L67,0),IF(OR('第 8 天'!N$5="租車費"),'第 8 天'!N67,0),IF(OR('第 8 天'!P$5="租車費"),'第 8 天'!P67,0))</f>
        <v>0</v>
      </c>
      <c r="F227" s="14" t="n">
        <f aca="false">SUM(IF(OR('第 8 天'!D$5="停車費",'第 8 天'!D$5="其他"),'第 8 天'!D67,0),IF(OR('第 8 天'!F$5="停車費",'第 8 天'!F$5="其他"),'第 8 天'!F67,0),IF(OR('第 8 天'!H$5="停車費",'第 8 天'!H$5="其他"),'第 8 天'!H67,0),IF(OR('第 8 天'!J$5="停車費",'第 8 天'!J$5="其他"),'第 8 天'!J67,0),IF(OR('第 8 天'!L$5="停車費",'第 8 天'!L$5="其他"),'第 8 天'!L67,0),IF(OR('第 8 天'!N$5="停車費",'第 8 天'!N$5="其他"),'第 8 天'!N67,0),IF(OR('第 8 天'!P$5="停車費",'第 8 天'!P$5="其他"),'第 8 天'!P67,0))</f>
        <v>0</v>
      </c>
      <c r="G227" s="14" t="n">
        <f aca="false">SUM(C227:F227)</f>
        <v>0</v>
      </c>
      <c r="H227" s="14" t="n">
        <f aca="false">IF(LEN(TRIM(成員名單!$B20))=0,0,SUM(IF('第 8 天'!D$7=$B227,'第 8 天'!D46,0),IF('第 8 天'!F$7=$B227,'第 8 天'!F46,0),IF('第 8 天'!H$7=$B227,'第 8 天'!H46,0),IF('第 8 天'!J$7=$B227,'第 8 天'!J46,0),IF('第 8 天'!L$7=$B227,'第 8 天'!L46,0),IF('第 8 天'!N$7=$B227,'第 8 天'!N46,0),IF('第 8 天'!P$7=$B227,'第 8 天'!P46,0)))</f>
        <v>0</v>
      </c>
    </row>
    <row r="228" customFormat="false" ht="15" hidden="false" customHeight="false" outlineLevel="0" collapsed="false">
      <c r="A228" s="13" t="s">
        <v>143</v>
      </c>
      <c r="B228" s="13" t="s">
        <v>34</v>
      </c>
      <c r="C228" s="14" t="n">
        <f aca="false">SUM(IF(OR('第 8 天'!D$5="早餐",'第 8 天'!D$5="午餐",'第 8 天'!D$5="晚餐"),'第 8 天'!D68,0),IF(OR('第 8 天'!F$5="早餐",'第 8 天'!F$5="午餐",'第 8 天'!F$5="晚餐"),'第 8 天'!F68,0),IF(OR('第 8 天'!H$5="早餐",'第 8 天'!H$5="午餐",'第 8 天'!H$5="晚餐"),'第 8 天'!H68,0),IF(OR('第 8 天'!J$5="早餐",'第 8 天'!J$5="午餐",'第 8 天'!J$5="晚餐"),'第 8 天'!J68,0),IF(OR('第 8 天'!L$5="早餐",'第 8 天'!L$5="午餐",'第 8 天'!L$5="晚餐"),'第 8 天'!L68,0),IF(OR('第 8 天'!N$5="早餐",'第 8 天'!N$5="午餐",'第 8 天'!N$5="晚餐"),'第 8 天'!N68,0),IF(OR('第 8 天'!P$5="早餐",'第 8 天'!P$5="午餐",'第 8 天'!P$5="晚餐"),'第 8 天'!P68,0))</f>
        <v>0</v>
      </c>
      <c r="D228" s="14" t="n">
        <f aca="false">SUM(IF(OR('第 8 天'!D$5="油錢"),'第 8 天'!D68,0),IF(OR('第 8 天'!F$5="油錢"),'第 8 天'!F68,0),IF(OR('第 8 天'!H$5="油錢"),'第 8 天'!H68,0),IF(OR('第 8 天'!J$5="油錢"),'第 8 天'!J68,0),IF(OR('第 8 天'!L$5="油錢"),'第 8 天'!L68,0),IF(OR('第 8 天'!N$5="油錢"),'第 8 天'!N68,0),IF(OR('第 8 天'!P$5="油錢"),'第 8 天'!P68,0))</f>
        <v>0</v>
      </c>
      <c r="E228" s="14" t="n">
        <f aca="false">SUM(IF(OR('第 8 天'!D$5="租車費"),'第 8 天'!D68,0),IF(OR('第 8 天'!F$5="租車費"),'第 8 天'!F68,0),IF(OR('第 8 天'!H$5="租車費"),'第 8 天'!H68,0),IF(OR('第 8 天'!J$5="租車費"),'第 8 天'!J68,0),IF(OR('第 8 天'!L$5="租車費"),'第 8 天'!L68,0),IF(OR('第 8 天'!N$5="租車費"),'第 8 天'!N68,0),IF(OR('第 8 天'!P$5="租車費"),'第 8 天'!P68,0))</f>
        <v>0</v>
      </c>
      <c r="F228" s="14" t="n">
        <f aca="false">SUM(IF(OR('第 8 天'!D$5="停車費",'第 8 天'!D$5="其他"),'第 8 天'!D68,0),IF(OR('第 8 天'!F$5="停車費",'第 8 天'!F$5="其他"),'第 8 天'!F68,0),IF(OR('第 8 天'!H$5="停車費",'第 8 天'!H$5="其他"),'第 8 天'!H68,0),IF(OR('第 8 天'!J$5="停車費",'第 8 天'!J$5="其他"),'第 8 天'!J68,0),IF(OR('第 8 天'!L$5="停車費",'第 8 天'!L$5="其他"),'第 8 天'!L68,0),IF(OR('第 8 天'!N$5="停車費",'第 8 天'!N$5="其他"),'第 8 天'!N68,0),IF(OR('第 8 天'!P$5="停車費",'第 8 天'!P$5="其他"),'第 8 天'!P68,0))</f>
        <v>0</v>
      </c>
      <c r="G228" s="14" t="n">
        <f aca="false">SUM(C228:F228)</f>
        <v>0</v>
      </c>
      <c r="H228" s="14" t="n">
        <f aca="false">IF(LEN(TRIM(成員名單!$B21))=0,0,SUM(IF('第 8 天'!D$7=$B228,'第 8 天'!D46,0),IF('第 8 天'!F$7=$B228,'第 8 天'!F46,0),IF('第 8 天'!H$7=$B228,'第 8 天'!H46,0),IF('第 8 天'!J$7=$B228,'第 8 天'!J46,0),IF('第 8 天'!L$7=$B228,'第 8 天'!L46,0),IF('第 8 天'!N$7=$B228,'第 8 天'!N46,0),IF('第 8 天'!P$7=$B228,'第 8 天'!P46,0)))</f>
        <v>0</v>
      </c>
    </row>
    <row r="229" customFormat="false" ht="15" hidden="false" customHeight="false" outlineLevel="0" collapsed="false">
      <c r="A229" s="13" t="s">
        <v>143</v>
      </c>
      <c r="B229" s="13" t="s">
        <v>35</v>
      </c>
      <c r="C229" s="14" t="n">
        <f aca="false">SUM(IF(OR('第 8 天'!D$5="早餐",'第 8 天'!D$5="午餐",'第 8 天'!D$5="晚餐"),'第 8 天'!D69,0),IF(OR('第 8 天'!F$5="早餐",'第 8 天'!F$5="午餐",'第 8 天'!F$5="晚餐"),'第 8 天'!F69,0),IF(OR('第 8 天'!H$5="早餐",'第 8 天'!H$5="午餐",'第 8 天'!H$5="晚餐"),'第 8 天'!H69,0),IF(OR('第 8 天'!J$5="早餐",'第 8 天'!J$5="午餐",'第 8 天'!J$5="晚餐"),'第 8 天'!J69,0),IF(OR('第 8 天'!L$5="早餐",'第 8 天'!L$5="午餐",'第 8 天'!L$5="晚餐"),'第 8 天'!L69,0),IF(OR('第 8 天'!N$5="早餐",'第 8 天'!N$5="午餐",'第 8 天'!N$5="晚餐"),'第 8 天'!N69,0),IF(OR('第 8 天'!P$5="早餐",'第 8 天'!P$5="午餐",'第 8 天'!P$5="晚餐"),'第 8 天'!P69,0))</f>
        <v>0</v>
      </c>
      <c r="D229" s="14" t="n">
        <f aca="false">SUM(IF(OR('第 8 天'!D$5="油錢"),'第 8 天'!D69,0),IF(OR('第 8 天'!F$5="油錢"),'第 8 天'!F69,0),IF(OR('第 8 天'!H$5="油錢"),'第 8 天'!H69,0),IF(OR('第 8 天'!J$5="油錢"),'第 8 天'!J69,0),IF(OR('第 8 天'!L$5="油錢"),'第 8 天'!L69,0),IF(OR('第 8 天'!N$5="油錢"),'第 8 天'!N69,0),IF(OR('第 8 天'!P$5="油錢"),'第 8 天'!P69,0))</f>
        <v>0</v>
      </c>
      <c r="E229" s="14" t="n">
        <f aca="false">SUM(IF(OR('第 8 天'!D$5="租車費"),'第 8 天'!D69,0),IF(OR('第 8 天'!F$5="租車費"),'第 8 天'!F69,0),IF(OR('第 8 天'!H$5="租車費"),'第 8 天'!H69,0),IF(OR('第 8 天'!J$5="租車費"),'第 8 天'!J69,0),IF(OR('第 8 天'!L$5="租車費"),'第 8 天'!L69,0),IF(OR('第 8 天'!N$5="租車費"),'第 8 天'!N69,0),IF(OR('第 8 天'!P$5="租車費"),'第 8 天'!P69,0))</f>
        <v>0</v>
      </c>
      <c r="F229" s="14" t="n">
        <f aca="false">SUM(IF(OR('第 8 天'!D$5="停車費",'第 8 天'!D$5="其他"),'第 8 天'!D69,0),IF(OR('第 8 天'!F$5="停車費",'第 8 天'!F$5="其他"),'第 8 天'!F69,0),IF(OR('第 8 天'!H$5="停車費",'第 8 天'!H$5="其他"),'第 8 天'!H69,0),IF(OR('第 8 天'!J$5="停車費",'第 8 天'!J$5="其他"),'第 8 天'!J69,0),IF(OR('第 8 天'!L$5="停車費",'第 8 天'!L$5="其他"),'第 8 天'!L69,0),IF(OR('第 8 天'!N$5="停車費",'第 8 天'!N$5="其他"),'第 8 天'!N69,0),IF(OR('第 8 天'!P$5="停車費",'第 8 天'!P$5="其他"),'第 8 天'!P69,0))</f>
        <v>0</v>
      </c>
      <c r="G229" s="14" t="n">
        <f aca="false">SUM(C229:F229)</f>
        <v>0</v>
      </c>
      <c r="H229" s="14" t="n">
        <f aca="false">IF(LEN(TRIM(成員名單!$B22))=0,0,SUM(IF('第 8 天'!D$7=$B229,'第 8 天'!D46,0),IF('第 8 天'!F$7=$B229,'第 8 天'!F46,0),IF('第 8 天'!H$7=$B229,'第 8 天'!H46,0),IF('第 8 天'!J$7=$B229,'第 8 天'!J46,0),IF('第 8 天'!L$7=$B229,'第 8 天'!L46,0),IF('第 8 天'!N$7=$B229,'第 8 天'!N46,0),IF('第 8 天'!P$7=$B229,'第 8 天'!P46,0)))</f>
        <v>0</v>
      </c>
    </row>
    <row r="230" customFormat="false" ht="15" hidden="false" customHeight="false" outlineLevel="0" collapsed="false">
      <c r="A230" s="13" t="s">
        <v>143</v>
      </c>
      <c r="B230" s="13" t="s">
        <v>36</v>
      </c>
      <c r="C230" s="14" t="n">
        <f aca="false">SUM(IF(OR('第 8 天'!D$5="早餐",'第 8 天'!D$5="午餐",'第 8 天'!D$5="晚餐"),'第 8 天'!D70,0),IF(OR('第 8 天'!F$5="早餐",'第 8 天'!F$5="午餐",'第 8 天'!F$5="晚餐"),'第 8 天'!F70,0),IF(OR('第 8 天'!H$5="早餐",'第 8 天'!H$5="午餐",'第 8 天'!H$5="晚餐"),'第 8 天'!H70,0),IF(OR('第 8 天'!J$5="早餐",'第 8 天'!J$5="午餐",'第 8 天'!J$5="晚餐"),'第 8 天'!J70,0),IF(OR('第 8 天'!L$5="早餐",'第 8 天'!L$5="午餐",'第 8 天'!L$5="晚餐"),'第 8 天'!L70,0),IF(OR('第 8 天'!N$5="早餐",'第 8 天'!N$5="午餐",'第 8 天'!N$5="晚餐"),'第 8 天'!N70,0),IF(OR('第 8 天'!P$5="早餐",'第 8 天'!P$5="午餐",'第 8 天'!P$5="晚餐"),'第 8 天'!P70,0))</f>
        <v>0</v>
      </c>
      <c r="D230" s="14" t="n">
        <f aca="false">SUM(IF(OR('第 8 天'!D$5="油錢"),'第 8 天'!D70,0),IF(OR('第 8 天'!F$5="油錢"),'第 8 天'!F70,0),IF(OR('第 8 天'!H$5="油錢"),'第 8 天'!H70,0),IF(OR('第 8 天'!J$5="油錢"),'第 8 天'!J70,0),IF(OR('第 8 天'!L$5="油錢"),'第 8 天'!L70,0),IF(OR('第 8 天'!N$5="油錢"),'第 8 天'!N70,0),IF(OR('第 8 天'!P$5="油錢"),'第 8 天'!P70,0))</f>
        <v>0</v>
      </c>
      <c r="E230" s="14" t="n">
        <f aca="false">SUM(IF(OR('第 8 天'!D$5="租車費"),'第 8 天'!D70,0),IF(OR('第 8 天'!F$5="租車費"),'第 8 天'!F70,0),IF(OR('第 8 天'!H$5="租車費"),'第 8 天'!H70,0),IF(OR('第 8 天'!J$5="租車費"),'第 8 天'!J70,0),IF(OR('第 8 天'!L$5="租車費"),'第 8 天'!L70,0),IF(OR('第 8 天'!N$5="租車費"),'第 8 天'!N70,0),IF(OR('第 8 天'!P$5="租車費"),'第 8 天'!P70,0))</f>
        <v>0</v>
      </c>
      <c r="F230" s="14" t="n">
        <f aca="false">SUM(IF(OR('第 8 天'!D$5="停車費",'第 8 天'!D$5="其他"),'第 8 天'!D70,0),IF(OR('第 8 天'!F$5="停車費",'第 8 天'!F$5="其他"),'第 8 天'!F70,0),IF(OR('第 8 天'!H$5="停車費",'第 8 天'!H$5="其他"),'第 8 天'!H70,0),IF(OR('第 8 天'!J$5="停車費",'第 8 天'!J$5="其他"),'第 8 天'!J70,0),IF(OR('第 8 天'!L$5="停車費",'第 8 天'!L$5="其他"),'第 8 天'!L70,0),IF(OR('第 8 天'!N$5="停車費",'第 8 天'!N$5="其他"),'第 8 天'!N70,0),IF(OR('第 8 天'!P$5="停車費",'第 8 天'!P$5="其他"),'第 8 天'!P70,0))</f>
        <v>0</v>
      </c>
      <c r="G230" s="14" t="n">
        <f aca="false">SUM(C230:F230)</f>
        <v>0</v>
      </c>
      <c r="H230" s="14" t="n">
        <f aca="false">IF(LEN(TRIM(成員名單!$B23))=0,0,SUM(IF('第 8 天'!D$7=$B230,'第 8 天'!D46,0),IF('第 8 天'!F$7=$B230,'第 8 天'!F46,0),IF('第 8 天'!H$7=$B230,'第 8 天'!H46,0),IF('第 8 天'!J$7=$B230,'第 8 天'!J46,0),IF('第 8 天'!L$7=$B230,'第 8 天'!L46,0),IF('第 8 天'!N$7=$B230,'第 8 天'!N46,0),IF('第 8 天'!P$7=$B230,'第 8 天'!P46,0)))</f>
        <v>0</v>
      </c>
    </row>
    <row r="231" customFormat="false" ht="15" hidden="false" customHeight="false" outlineLevel="0" collapsed="false">
      <c r="A231" s="13" t="s">
        <v>143</v>
      </c>
      <c r="B231" s="13" t="s">
        <v>37</v>
      </c>
      <c r="C231" s="14" t="n">
        <f aca="false">SUM(IF(OR('第 8 天'!D$5="早餐",'第 8 天'!D$5="午餐",'第 8 天'!D$5="晚餐"),'第 8 天'!D71,0),IF(OR('第 8 天'!F$5="早餐",'第 8 天'!F$5="午餐",'第 8 天'!F$5="晚餐"),'第 8 天'!F71,0),IF(OR('第 8 天'!H$5="早餐",'第 8 天'!H$5="午餐",'第 8 天'!H$5="晚餐"),'第 8 天'!H71,0),IF(OR('第 8 天'!J$5="早餐",'第 8 天'!J$5="午餐",'第 8 天'!J$5="晚餐"),'第 8 天'!J71,0),IF(OR('第 8 天'!L$5="早餐",'第 8 天'!L$5="午餐",'第 8 天'!L$5="晚餐"),'第 8 天'!L71,0),IF(OR('第 8 天'!N$5="早餐",'第 8 天'!N$5="午餐",'第 8 天'!N$5="晚餐"),'第 8 天'!N71,0),IF(OR('第 8 天'!P$5="早餐",'第 8 天'!P$5="午餐",'第 8 天'!P$5="晚餐"),'第 8 天'!P71,0))</f>
        <v>0</v>
      </c>
      <c r="D231" s="14" t="n">
        <f aca="false">SUM(IF(OR('第 8 天'!D$5="油錢"),'第 8 天'!D71,0),IF(OR('第 8 天'!F$5="油錢"),'第 8 天'!F71,0),IF(OR('第 8 天'!H$5="油錢"),'第 8 天'!H71,0),IF(OR('第 8 天'!J$5="油錢"),'第 8 天'!J71,0),IF(OR('第 8 天'!L$5="油錢"),'第 8 天'!L71,0),IF(OR('第 8 天'!N$5="油錢"),'第 8 天'!N71,0),IF(OR('第 8 天'!P$5="油錢"),'第 8 天'!P71,0))</f>
        <v>0</v>
      </c>
      <c r="E231" s="14" t="n">
        <f aca="false">SUM(IF(OR('第 8 天'!D$5="租車費"),'第 8 天'!D71,0),IF(OR('第 8 天'!F$5="租車費"),'第 8 天'!F71,0),IF(OR('第 8 天'!H$5="租車費"),'第 8 天'!H71,0),IF(OR('第 8 天'!J$5="租車費"),'第 8 天'!J71,0),IF(OR('第 8 天'!L$5="租車費"),'第 8 天'!L71,0),IF(OR('第 8 天'!N$5="租車費"),'第 8 天'!N71,0),IF(OR('第 8 天'!P$5="租車費"),'第 8 天'!P71,0))</f>
        <v>0</v>
      </c>
      <c r="F231" s="14" t="n">
        <f aca="false">SUM(IF(OR('第 8 天'!D$5="停車費",'第 8 天'!D$5="其他"),'第 8 天'!D71,0),IF(OR('第 8 天'!F$5="停車費",'第 8 天'!F$5="其他"),'第 8 天'!F71,0),IF(OR('第 8 天'!H$5="停車費",'第 8 天'!H$5="其他"),'第 8 天'!H71,0),IF(OR('第 8 天'!J$5="停車費",'第 8 天'!J$5="其他"),'第 8 天'!J71,0),IF(OR('第 8 天'!L$5="停車費",'第 8 天'!L$5="其他"),'第 8 天'!L71,0),IF(OR('第 8 天'!N$5="停車費",'第 8 天'!N$5="其他"),'第 8 天'!N71,0),IF(OR('第 8 天'!P$5="停車費",'第 8 天'!P$5="其他"),'第 8 天'!P71,0))</f>
        <v>0</v>
      </c>
      <c r="G231" s="14" t="n">
        <f aca="false">SUM(C231:F231)</f>
        <v>0</v>
      </c>
      <c r="H231" s="14" t="n">
        <f aca="false">IF(LEN(TRIM(成員名單!$B24))=0,0,SUM(IF('第 8 天'!D$7=$B231,'第 8 天'!D46,0),IF('第 8 天'!F$7=$B231,'第 8 天'!F46,0),IF('第 8 天'!H$7=$B231,'第 8 天'!H46,0),IF('第 8 天'!J$7=$B231,'第 8 天'!J46,0),IF('第 8 天'!L$7=$B231,'第 8 天'!L46,0),IF('第 8 天'!N$7=$B231,'第 8 天'!N46,0),IF('第 8 天'!P$7=$B231,'第 8 天'!P46,0)))</f>
        <v>0</v>
      </c>
    </row>
    <row r="232" customFormat="false" ht="15" hidden="false" customHeight="false" outlineLevel="0" collapsed="false">
      <c r="A232" s="13" t="s">
        <v>143</v>
      </c>
      <c r="B232" s="13" t="s">
        <v>38</v>
      </c>
      <c r="C232" s="14" t="n">
        <f aca="false">SUM(IF(OR('第 8 天'!D$5="早餐",'第 8 天'!D$5="午餐",'第 8 天'!D$5="晚餐"),'第 8 天'!D72,0),IF(OR('第 8 天'!F$5="早餐",'第 8 天'!F$5="午餐",'第 8 天'!F$5="晚餐"),'第 8 天'!F72,0),IF(OR('第 8 天'!H$5="早餐",'第 8 天'!H$5="午餐",'第 8 天'!H$5="晚餐"),'第 8 天'!H72,0),IF(OR('第 8 天'!J$5="早餐",'第 8 天'!J$5="午餐",'第 8 天'!J$5="晚餐"),'第 8 天'!J72,0),IF(OR('第 8 天'!L$5="早餐",'第 8 天'!L$5="午餐",'第 8 天'!L$5="晚餐"),'第 8 天'!L72,0),IF(OR('第 8 天'!N$5="早餐",'第 8 天'!N$5="午餐",'第 8 天'!N$5="晚餐"),'第 8 天'!N72,0),IF(OR('第 8 天'!P$5="早餐",'第 8 天'!P$5="午餐",'第 8 天'!P$5="晚餐"),'第 8 天'!P72,0))</f>
        <v>0</v>
      </c>
      <c r="D232" s="14" t="n">
        <f aca="false">SUM(IF(OR('第 8 天'!D$5="油錢"),'第 8 天'!D72,0),IF(OR('第 8 天'!F$5="油錢"),'第 8 天'!F72,0),IF(OR('第 8 天'!H$5="油錢"),'第 8 天'!H72,0),IF(OR('第 8 天'!J$5="油錢"),'第 8 天'!J72,0),IF(OR('第 8 天'!L$5="油錢"),'第 8 天'!L72,0),IF(OR('第 8 天'!N$5="油錢"),'第 8 天'!N72,0),IF(OR('第 8 天'!P$5="油錢"),'第 8 天'!P72,0))</f>
        <v>0</v>
      </c>
      <c r="E232" s="14" t="n">
        <f aca="false">SUM(IF(OR('第 8 天'!D$5="租車費"),'第 8 天'!D72,0),IF(OR('第 8 天'!F$5="租車費"),'第 8 天'!F72,0),IF(OR('第 8 天'!H$5="租車費"),'第 8 天'!H72,0),IF(OR('第 8 天'!J$5="租車費"),'第 8 天'!J72,0),IF(OR('第 8 天'!L$5="租車費"),'第 8 天'!L72,0),IF(OR('第 8 天'!N$5="租車費"),'第 8 天'!N72,0),IF(OR('第 8 天'!P$5="租車費"),'第 8 天'!P72,0))</f>
        <v>0</v>
      </c>
      <c r="F232" s="14" t="n">
        <f aca="false">SUM(IF(OR('第 8 天'!D$5="停車費",'第 8 天'!D$5="其他"),'第 8 天'!D72,0),IF(OR('第 8 天'!F$5="停車費",'第 8 天'!F$5="其他"),'第 8 天'!F72,0),IF(OR('第 8 天'!H$5="停車費",'第 8 天'!H$5="其他"),'第 8 天'!H72,0),IF(OR('第 8 天'!J$5="停車費",'第 8 天'!J$5="其他"),'第 8 天'!J72,0),IF(OR('第 8 天'!L$5="停車費",'第 8 天'!L$5="其他"),'第 8 天'!L72,0),IF(OR('第 8 天'!N$5="停車費",'第 8 天'!N$5="其他"),'第 8 天'!N72,0),IF(OR('第 8 天'!P$5="停車費",'第 8 天'!P$5="其他"),'第 8 天'!P72,0))</f>
        <v>0</v>
      </c>
      <c r="G232" s="14" t="n">
        <f aca="false">SUM(C232:F232)</f>
        <v>0</v>
      </c>
      <c r="H232" s="14" t="n">
        <f aca="false">IF(LEN(TRIM(成員名單!$B25))=0,0,SUM(IF('第 8 天'!D$7=$B232,'第 8 天'!D46,0),IF('第 8 天'!F$7=$B232,'第 8 天'!F46,0),IF('第 8 天'!H$7=$B232,'第 8 天'!H46,0),IF('第 8 天'!J$7=$B232,'第 8 天'!J46,0),IF('第 8 天'!L$7=$B232,'第 8 天'!L46,0),IF('第 8 天'!N$7=$B232,'第 8 天'!N46,0),IF('第 8 天'!P$7=$B232,'第 8 天'!P46,0)))</f>
        <v>0</v>
      </c>
    </row>
    <row r="233" customFormat="false" ht="15" hidden="false" customHeight="false" outlineLevel="0" collapsed="false">
      <c r="A233" s="13" t="s">
        <v>143</v>
      </c>
      <c r="B233" s="13" t="s">
        <v>39</v>
      </c>
      <c r="C233" s="14" t="n">
        <f aca="false">SUM(IF(OR('第 8 天'!D$5="早餐",'第 8 天'!D$5="午餐",'第 8 天'!D$5="晚餐"),'第 8 天'!D73,0),IF(OR('第 8 天'!F$5="早餐",'第 8 天'!F$5="午餐",'第 8 天'!F$5="晚餐"),'第 8 天'!F73,0),IF(OR('第 8 天'!H$5="早餐",'第 8 天'!H$5="午餐",'第 8 天'!H$5="晚餐"),'第 8 天'!H73,0),IF(OR('第 8 天'!J$5="早餐",'第 8 天'!J$5="午餐",'第 8 天'!J$5="晚餐"),'第 8 天'!J73,0),IF(OR('第 8 天'!L$5="早餐",'第 8 天'!L$5="午餐",'第 8 天'!L$5="晚餐"),'第 8 天'!L73,0),IF(OR('第 8 天'!N$5="早餐",'第 8 天'!N$5="午餐",'第 8 天'!N$5="晚餐"),'第 8 天'!N73,0),IF(OR('第 8 天'!P$5="早餐",'第 8 天'!P$5="午餐",'第 8 天'!P$5="晚餐"),'第 8 天'!P73,0))</f>
        <v>0</v>
      </c>
      <c r="D233" s="14" t="n">
        <f aca="false">SUM(IF(OR('第 8 天'!D$5="油錢"),'第 8 天'!D73,0),IF(OR('第 8 天'!F$5="油錢"),'第 8 天'!F73,0),IF(OR('第 8 天'!H$5="油錢"),'第 8 天'!H73,0),IF(OR('第 8 天'!J$5="油錢"),'第 8 天'!J73,0),IF(OR('第 8 天'!L$5="油錢"),'第 8 天'!L73,0),IF(OR('第 8 天'!N$5="油錢"),'第 8 天'!N73,0),IF(OR('第 8 天'!P$5="油錢"),'第 8 天'!P73,0))</f>
        <v>0</v>
      </c>
      <c r="E233" s="14" t="n">
        <f aca="false">SUM(IF(OR('第 8 天'!D$5="租車費"),'第 8 天'!D73,0),IF(OR('第 8 天'!F$5="租車費"),'第 8 天'!F73,0),IF(OR('第 8 天'!H$5="租車費"),'第 8 天'!H73,0),IF(OR('第 8 天'!J$5="租車費"),'第 8 天'!J73,0),IF(OR('第 8 天'!L$5="租車費"),'第 8 天'!L73,0),IF(OR('第 8 天'!N$5="租車費"),'第 8 天'!N73,0),IF(OR('第 8 天'!P$5="租車費"),'第 8 天'!P73,0))</f>
        <v>0</v>
      </c>
      <c r="F233" s="14" t="n">
        <f aca="false">SUM(IF(OR('第 8 天'!D$5="停車費",'第 8 天'!D$5="其他"),'第 8 天'!D73,0),IF(OR('第 8 天'!F$5="停車費",'第 8 天'!F$5="其他"),'第 8 天'!F73,0),IF(OR('第 8 天'!H$5="停車費",'第 8 天'!H$5="其他"),'第 8 天'!H73,0),IF(OR('第 8 天'!J$5="停車費",'第 8 天'!J$5="其他"),'第 8 天'!J73,0),IF(OR('第 8 天'!L$5="停車費",'第 8 天'!L$5="其他"),'第 8 天'!L73,0),IF(OR('第 8 天'!N$5="停車費",'第 8 天'!N$5="其他"),'第 8 天'!N73,0),IF(OR('第 8 天'!P$5="停車費",'第 8 天'!P$5="其他"),'第 8 天'!P73,0))</f>
        <v>0</v>
      </c>
      <c r="G233" s="14" t="n">
        <f aca="false">SUM(C233:F233)</f>
        <v>0</v>
      </c>
      <c r="H233" s="14" t="n">
        <f aca="false">IF(LEN(TRIM(成員名單!$B26))=0,0,SUM(IF('第 8 天'!D$7=$B233,'第 8 天'!D46,0),IF('第 8 天'!F$7=$B233,'第 8 天'!F46,0),IF('第 8 天'!H$7=$B233,'第 8 天'!H46,0),IF('第 8 天'!J$7=$B233,'第 8 天'!J46,0),IF('第 8 天'!L$7=$B233,'第 8 天'!L46,0),IF('第 8 天'!N$7=$B233,'第 8 天'!N46,0),IF('第 8 天'!P$7=$B233,'第 8 天'!P46,0)))</f>
        <v>0</v>
      </c>
    </row>
    <row r="234" customFormat="false" ht="15" hidden="false" customHeight="false" outlineLevel="0" collapsed="false">
      <c r="A234" s="13" t="s">
        <v>143</v>
      </c>
      <c r="B234" s="13" t="s">
        <v>40</v>
      </c>
      <c r="C234" s="14" t="n">
        <f aca="false">SUM(IF(OR('第 8 天'!D$5="早餐",'第 8 天'!D$5="午餐",'第 8 天'!D$5="晚餐"),'第 8 天'!D74,0),IF(OR('第 8 天'!F$5="早餐",'第 8 天'!F$5="午餐",'第 8 天'!F$5="晚餐"),'第 8 天'!F74,0),IF(OR('第 8 天'!H$5="早餐",'第 8 天'!H$5="午餐",'第 8 天'!H$5="晚餐"),'第 8 天'!H74,0),IF(OR('第 8 天'!J$5="早餐",'第 8 天'!J$5="午餐",'第 8 天'!J$5="晚餐"),'第 8 天'!J74,0),IF(OR('第 8 天'!L$5="早餐",'第 8 天'!L$5="午餐",'第 8 天'!L$5="晚餐"),'第 8 天'!L74,0),IF(OR('第 8 天'!N$5="早餐",'第 8 天'!N$5="午餐",'第 8 天'!N$5="晚餐"),'第 8 天'!N74,0),IF(OR('第 8 天'!P$5="早餐",'第 8 天'!P$5="午餐",'第 8 天'!P$5="晚餐"),'第 8 天'!P74,0))</f>
        <v>0</v>
      </c>
      <c r="D234" s="14" t="n">
        <f aca="false">SUM(IF(OR('第 8 天'!D$5="油錢"),'第 8 天'!D74,0),IF(OR('第 8 天'!F$5="油錢"),'第 8 天'!F74,0),IF(OR('第 8 天'!H$5="油錢"),'第 8 天'!H74,0),IF(OR('第 8 天'!J$5="油錢"),'第 8 天'!J74,0),IF(OR('第 8 天'!L$5="油錢"),'第 8 天'!L74,0),IF(OR('第 8 天'!N$5="油錢"),'第 8 天'!N74,0),IF(OR('第 8 天'!P$5="油錢"),'第 8 天'!P74,0))</f>
        <v>0</v>
      </c>
      <c r="E234" s="14" t="n">
        <f aca="false">SUM(IF(OR('第 8 天'!D$5="租車費"),'第 8 天'!D74,0),IF(OR('第 8 天'!F$5="租車費"),'第 8 天'!F74,0),IF(OR('第 8 天'!H$5="租車費"),'第 8 天'!H74,0),IF(OR('第 8 天'!J$5="租車費"),'第 8 天'!J74,0),IF(OR('第 8 天'!L$5="租車費"),'第 8 天'!L74,0),IF(OR('第 8 天'!N$5="租車費"),'第 8 天'!N74,0),IF(OR('第 8 天'!P$5="租車費"),'第 8 天'!P74,0))</f>
        <v>0</v>
      </c>
      <c r="F234" s="14" t="n">
        <f aca="false">SUM(IF(OR('第 8 天'!D$5="停車費",'第 8 天'!D$5="其他"),'第 8 天'!D74,0),IF(OR('第 8 天'!F$5="停車費",'第 8 天'!F$5="其他"),'第 8 天'!F74,0),IF(OR('第 8 天'!H$5="停車費",'第 8 天'!H$5="其他"),'第 8 天'!H74,0),IF(OR('第 8 天'!J$5="停車費",'第 8 天'!J$5="其他"),'第 8 天'!J74,0),IF(OR('第 8 天'!L$5="停車費",'第 8 天'!L$5="其他"),'第 8 天'!L74,0),IF(OR('第 8 天'!N$5="停車費",'第 8 天'!N$5="其他"),'第 8 天'!N74,0),IF(OR('第 8 天'!P$5="停車費",'第 8 天'!P$5="其他"),'第 8 天'!P74,0))</f>
        <v>0</v>
      </c>
      <c r="G234" s="14" t="n">
        <f aca="false">SUM(C234:F234)</f>
        <v>0</v>
      </c>
      <c r="H234" s="14" t="n">
        <f aca="false">IF(LEN(TRIM(成員名單!$B27))=0,0,SUM(IF('第 8 天'!D$7=$B234,'第 8 天'!D46,0),IF('第 8 天'!F$7=$B234,'第 8 天'!F46,0),IF('第 8 天'!H$7=$B234,'第 8 天'!H46,0),IF('第 8 天'!J$7=$B234,'第 8 天'!J46,0),IF('第 8 天'!L$7=$B234,'第 8 天'!L46,0),IF('第 8 天'!N$7=$B234,'第 8 天'!N46,0),IF('第 8 天'!P$7=$B234,'第 8 天'!P46,0)))</f>
        <v>0</v>
      </c>
    </row>
    <row r="235" customFormat="false" ht="15" hidden="false" customHeight="false" outlineLevel="0" collapsed="false">
      <c r="A235" s="13" t="s">
        <v>143</v>
      </c>
      <c r="B235" s="13" t="s">
        <v>41</v>
      </c>
      <c r="C235" s="14" t="n">
        <f aca="false">SUM(IF(OR('第 8 天'!D$5="早餐",'第 8 天'!D$5="午餐",'第 8 天'!D$5="晚餐"),'第 8 天'!D75,0),IF(OR('第 8 天'!F$5="早餐",'第 8 天'!F$5="午餐",'第 8 天'!F$5="晚餐"),'第 8 天'!F75,0),IF(OR('第 8 天'!H$5="早餐",'第 8 天'!H$5="午餐",'第 8 天'!H$5="晚餐"),'第 8 天'!H75,0),IF(OR('第 8 天'!J$5="早餐",'第 8 天'!J$5="午餐",'第 8 天'!J$5="晚餐"),'第 8 天'!J75,0),IF(OR('第 8 天'!L$5="早餐",'第 8 天'!L$5="午餐",'第 8 天'!L$5="晚餐"),'第 8 天'!L75,0),IF(OR('第 8 天'!N$5="早餐",'第 8 天'!N$5="午餐",'第 8 天'!N$5="晚餐"),'第 8 天'!N75,0),IF(OR('第 8 天'!P$5="早餐",'第 8 天'!P$5="午餐",'第 8 天'!P$5="晚餐"),'第 8 天'!P75,0))</f>
        <v>0</v>
      </c>
      <c r="D235" s="14" t="n">
        <f aca="false">SUM(IF(OR('第 8 天'!D$5="油錢"),'第 8 天'!D75,0),IF(OR('第 8 天'!F$5="油錢"),'第 8 天'!F75,0),IF(OR('第 8 天'!H$5="油錢"),'第 8 天'!H75,0),IF(OR('第 8 天'!J$5="油錢"),'第 8 天'!J75,0),IF(OR('第 8 天'!L$5="油錢"),'第 8 天'!L75,0),IF(OR('第 8 天'!N$5="油錢"),'第 8 天'!N75,0),IF(OR('第 8 天'!P$5="油錢"),'第 8 天'!P75,0))</f>
        <v>0</v>
      </c>
      <c r="E235" s="14" t="n">
        <f aca="false">SUM(IF(OR('第 8 天'!D$5="租車費"),'第 8 天'!D75,0),IF(OR('第 8 天'!F$5="租車費"),'第 8 天'!F75,0),IF(OR('第 8 天'!H$5="租車費"),'第 8 天'!H75,0),IF(OR('第 8 天'!J$5="租車費"),'第 8 天'!J75,0),IF(OR('第 8 天'!L$5="租車費"),'第 8 天'!L75,0),IF(OR('第 8 天'!N$5="租車費"),'第 8 天'!N75,0),IF(OR('第 8 天'!P$5="租車費"),'第 8 天'!P75,0))</f>
        <v>0</v>
      </c>
      <c r="F235" s="14" t="n">
        <f aca="false">SUM(IF(OR('第 8 天'!D$5="停車費",'第 8 天'!D$5="其他"),'第 8 天'!D75,0),IF(OR('第 8 天'!F$5="停車費",'第 8 天'!F$5="其他"),'第 8 天'!F75,0),IF(OR('第 8 天'!H$5="停車費",'第 8 天'!H$5="其他"),'第 8 天'!H75,0),IF(OR('第 8 天'!J$5="停車費",'第 8 天'!J$5="其他"),'第 8 天'!J75,0),IF(OR('第 8 天'!L$5="停車費",'第 8 天'!L$5="其他"),'第 8 天'!L75,0),IF(OR('第 8 天'!N$5="停車費",'第 8 天'!N$5="其他"),'第 8 天'!N75,0),IF(OR('第 8 天'!P$5="停車費",'第 8 天'!P$5="其他"),'第 8 天'!P75,0))</f>
        <v>0</v>
      </c>
      <c r="G235" s="14" t="n">
        <f aca="false">SUM(C235:F235)</f>
        <v>0</v>
      </c>
      <c r="H235" s="14" t="n">
        <f aca="false">IF(LEN(TRIM(成員名單!$B28))=0,0,SUM(IF('第 8 天'!D$7=$B235,'第 8 天'!D46,0),IF('第 8 天'!F$7=$B235,'第 8 天'!F46,0),IF('第 8 天'!H$7=$B235,'第 8 天'!H46,0),IF('第 8 天'!J$7=$B235,'第 8 天'!J46,0),IF('第 8 天'!L$7=$B235,'第 8 天'!L46,0),IF('第 8 天'!N$7=$B235,'第 8 天'!N46,0),IF('第 8 天'!P$7=$B235,'第 8 天'!P46,0)))</f>
        <v>0</v>
      </c>
    </row>
    <row r="236" customFormat="false" ht="15" hidden="false" customHeight="false" outlineLevel="0" collapsed="false">
      <c r="A236" s="13" t="s">
        <v>143</v>
      </c>
      <c r="B236" s="13" t="s">
        <v>42</v>
      </c>
      <c r="C236" s="14" t="n">
        <f aca="false">SUM(IF(OR('第 8 天'!D$5="早餐",'第 8 天'!D$5="午餐",'第 8 天'!D$5="晚餐"),'第 8 天'!D76,0),IF(OR('第 8 天'!F$5="早餐",'第 8 天'!F$5="午餐",'第 8 天'!F$5="晚餐"),'第 8 天'!F76,0),IF(OR('第 8 天'!H$5="早餐",'第 8 天'!H$5="午餐",'第 8 天'!H$5="晚餐"),'第 8 天'!H76,0),IF(OR('第 8 天'!J$5="早餐",'第 8 天'!J$5="午餐",'第 8 天'!J$5="晚餐"),'第 8 天'!J76,0),IF(OR('第 8 天'!L$5="早餐",'第 8 天'!L$5="午餐",'第 8 天'!L$5="晚餐"),'第 8 天'!L76,0),IF(OR('第 8 天'!N$5="早餐",'第 8 天'!N$5="午餐",'第 8 天'!N$5="晚餐"),'第 8 天'!N76,0),IF(OR('第 8 天'!P$5="早餐",'第 8 天'!P$5="午餐",'第 8 天'!P$5="晚餐"),'第 8 天'!P76,0))</f>
        <v>0</v>
      </c>
      <c r="D236" s="14" t="n">
        <f aca="false">SUM(IF(OR('第 8 天'!D$5="油錢"),'第 8 天'!D76,0),IF(OR('第 8 天'!F$5="油錢"),'第 8 天'!F76,0),IF(OR('第 8 天'!H$5="油錢"),'第 8 天'!H76,0),IF(OR('第 8 天'!J$5="油錢"),'第 8 天'!J76,0),IF(OR('第 8 天'!L$5="油錢"),'第 8 天'!L76,0),IF(OR('第 8 天'!N$5="油錢"),'第 8 天'!N76,0),IF(OR('第 8 天'!P$5="油錢"),'第 8 天'!P76,0))</f>
        <v>0</v>
      </c>
      <c r="E236" s="14" t="n">
        <f aca="false">SUM(IF(OR('第 8 天'!D$5="租車費"),'第 8 天'!D76,0),IF(OR('第 8 天'!F$5="租車費"),'第 8 天'!F76,0),IF(OR('第 8 天'!H$5="租車費"),'第 8 天'!H76,0),IF(OR('第 8 天'!J$5="租車費"),'第 8 天'!J76,0),IF(OR('第 8 天'!L$5="租車費"),'第 8 天'!L76,0),IF(OR('第 8 天'!N$5="租車費"),'第 8 天'!N76,0),IF(OR('第 8 天'!P$5="租車費"),'第 8 天'!P76,0))</f>
        <v>0</v>
      </c>
      <c r="F236" s="14" t="n">
        <f aca="false">SUM(IF(OR('第 8 天'!D$5="停車費",'第 8 天'!D$5="其他"),'第 8 天'!D76,0),IF(OR('第 8 天'!F$5="停車費",'第 8 天'!F$5="其他"),'第 8 天'!F76,0),IF(OR('第 8 天'!H$5="停車費",'第 8 天'!H$5="其他"),'第 8 天'!H76,0),IF(OR('第 8 天'!J$5="停車費",'第 8 天'!J$5="其他"),'第 8 天'!J76,0),IF(OR('第 8 天'!L$5="停車費",'第 8 天'!L$5="其他"),'第 8 天'!L76,0),IF(OR('第 8 天'!N$5="停車費",'第 8 天'!N$5="其他"),'第 8 天'!N76,0),IF(OR('第 8 天'!P$5="停車費",'第 8 天'!P$5="其他"),'第 8 天'!P76,0))</f>
        <v>0</v>
      </c>
      <c r="G236" s="14" t="n">
        <f aca="false">SUM(C236:F236)</f>
        <v>0</v>
      </c>
      <c r="H236" s="14" t="n">
        <f aca="false">IF(LEN(TRIM(成員名單!$B29))=0,0,SUM(IF('第 8 天'!D$7=$B236,'第 8 天'!D46,0),IF('第 8 天'!F$7=$B236,'第 8 天'!F46,0),IF('第 8 天'!H$7=$B236,'第 8 天'!H46,0),IF('第 8 天'!J$7=$B236,'第 8 天'!J46,0),IF('第 8 天'!L$7=$B236,'第 8 天'!L46,0),IF('第 8 天'!N$7=$B236,'第 8 天'!N46,0),IF('第 8 天'!P$7=$B236,'第 8 天'!P46,0)))</f>
        <v>0</v>
      </c>
    </row>
    <row r="237" customFormat="false" ht="15" hidden="false" customHeight="false" outlineLevel="0" collapsed="false">
      <c r="A237" s="13" t="s">
        <v>143</v>
      </c>
      <c r="B237" s="13" t="s">
        <v>43</v>
      </c>
      <c r="C237" s="14" t="n">
        <f aca="false">SUM(IF(OR('第 8 天'!D$5="早餐",'第 8 天'!D$5="午餐",'第 8 天'!D$5="晚餐"),'第 8 天'!D77,0),IF(OR('第 8 天'!F$5="早餐",'第 8 天'!F$5="午餐",'第 8 天'!F$5="晚餐"),'第 8 天'!F77,0),IF(OR('第 8 天'!H$5="早餐",'第 8 天'!H$5="午餐",'第 8 天'!H$5="晚餐"),'第 8 天'!H77,0),IF(OR('第 8 天'!J$5="早餐",'第 8 天'!J$5="午餐",'第 8 天'!J$5="晚餐"),'第 8 天'!J77,0),IF(OR('第 8 天'!L$5="早餐",'第 8 天'!L$5="午餐",'第 8 天'!L$5="晚餐"),'第 8 天'!L77,0),IF(OR('第 8 天'!N$5="早餐",'第 8 天'!N$5="午餐",'第 8 天'!N$5="晚餐"),'第 8 天'!N77,0),IF(OR('第 8 天'!P$5="早餐",'第 8 天'!P$5="午餐",'第 8 天'!P$5="晚餐"),'第 8 天'!P77,0))</f>
        <v>0</v>
      </c>
      <c r="D237" s="14" t="n">
        <f aca="false">SUM(IF(OR('第 8 天'!D$5="油錢"),'第 8 天'!D77,0),IF(OR('第 8 天'!F$5="油錢"),'第 8 天'!F77,0),IF(OR('第 8 天'!H$5="油錢"),'第 8 天'!H77,0),IF(OR('第 8 天'!J$5="油錢"),'第 8 天'!J77,0),IF(OR('第 8 天'!L$5="油錢"),'第 8 天'!L77,0),IF(OR('第 8 天'!N$5="油錢"),'第 8 天'!N77,0),IF(OR('第 8 天'!P$5="油錢"),'第 8 天'!P77,0))</f>
        <v>0</v>
      </c>
      <c r="E237" s="14" t="n">
        <f aca="false">SUM(IF(OR('第 8 天'!D$5="租車費"),'第 8 天'!D77,0),IF(OR('第 8 天'!F$5="租車費"),'第 8 天'!F77,0),IF(OR('第 8 天'!H$5="租車費"),'第 8 天'!H77,0),IF(OR('第 8 天'!J$5="租車費"),'第 8 天'!J77,0),IF(OR('第 8 天'!L$5="租車費"),'第 8 天'!L77,0),IF(OR('第 8 天'!N$5="租車費"),'第 8 天'!N77,0),IF(OR('第 8 天'!P$5="租車費"),'第 8 天'!P77,0))</f>
        <v>0</v>
      </c>
      <c r="F237" s="14" t="n">
        <f aca="false">SUM(IF(OR('第 8 天'!D$5="停車費",'第 8 天'!D$5="其他"),'第 8 天'!D77,0),IF(OR('第 8 天'!F$5="停車費",'第 8 天'!F$5="其他"),'第 8 天'!F77,0),IF(OR('第 8 天'!H$5="停車費",'第 8 天'!H$5="其他"),'第 8 天'!H77,0),IF(OR('第 8 天'!J$5="停車費",'第 8 天'!J$5="其他"),'第 8 天'!J77,0),IF(OR('第 8 天'!L$5="停車費",'第 8 天'!L$5="其他"),'第 8 天'!L77,0),IF(OR('第 8 天'!N$5="停車費",'第 8 天'!N$5="其他"),'第 8 天'!N77,0),IF(OR('第 8 天'!P$5="停車費",'第 8 天'!P$5="其他"),'第 8 天'!P77,0))</f>
        <v>0</v>
      </c>
      <c r="G237" s="14" t="n">
        <f aca="false">SUM(C237:F237)</f>
        <v>0</v>
      </c>
      <c r="H237" s="14" t="n">
        <f aca="false">IF(LEN(TRIM(成員名單!$B30))=0,0,SUM(IF('第 8 天'!D$7=$B237,'第 8 天'!D46,0),IF('第 8 天'!F$7=$B237,'第 8 天'!F46,0),IF('第 8 天'!H$7=$B237,'第 8 天'!H46,0),IF('第 8 天'!J$7=$B237,'第 8 天'!J46,0),IF('第 8 天'!L$7=$B237,'第 8 天'!L46,0),IF('第 8 天'!N$7=$B237,'第 8 天'!N46,0),IF('第 8 天'!P$7=$B237,'第 8 天'!P46,0)))</f>
        <v>0</v>
      </c>
    </row>
    <row r="238" customFormat="false" ht="15" hidden="false" customHeight="false" outlineLevel="0" collapsed="false">
      <c r="A238" s="13" t="s">
        <v>143</v>
      </c>
      <c r="B238" s="13" t="s">
        <v>44</v>
      </c>
      <c r="C238" s="14" t="n">
        <f aca="false">SUM(IF(OR('第 8 天'!D$5="早餐",'第 8 天'!D$5="午餐",'第 8 天'!D$5="晚餐"),'第 8 天'!D78,0),IF(OR('第 8 天'!F$5="早餐",'第 8 天'!F$5="午餐",'第 8 天'!F$5="晚餐"),'第 8 天'!F78,0),IF(OR('第 8 天'!H$5="早餐",'第 8 天'!H$5="午餐",'第 8 天'!H$5="晚餐"),'第 8 天'!H78,0),IF(OR('第 8 天'!J$5="早餐",'第 8 天'!J$5="午餐",'第 8 天'!J$5="晚餐"),'第 8 天'!J78,0),IF(OR('第 8 天'!L$5="早餐",'第 8 天'!L$5="午餐",'第 8 天'!L$5="晚餐"),'第 8 天'!L78,0),IF(OR('第 8 天'!N$5="早餐",'第 8 天'!N$5="午餐",'第 8 天'!N$5="晚餐"),'第 8 天'!N78,0),IF(OR('第 8 天'!P$5="早餐",'第 8 天'!P$5="午餐",'第 8 天'!P$5="晚餐"),'第 8 天'!P78,0))</f>
        <v>0</v>
      </c>
      <c r="D238" s="14" t="n">
        <f aca="false">SUM(IF(OR('第 8 天'!D$5="油錢"),'第 8 天'!D78,0),IF(OR('第 8 天'!F$5="油錢"),'第 8 天'!F78,0),IF(OR('第 8 天'!H$5="油錢"),'第 8 天'!H78,0),IF(OR('第 8 天'!J$5="油錢"),'第 8 天'!J78,0),IF(OR('第 8 天'!L$5="油錢"),'第 8 天'!L78,0),IF(OR('第 8 天'!N$5="油錢"),'第 8 天'!N78,0),IF(OR('第 8 天'!P$5="油錢"),'第 8 天'!P78,0))</f>
        <v>0</v>
      </c>
      <c r="E238" s="14" t="n">
        <f aca="false">SUM(IF(OR('第 8 天'!D$5="租車費"),'第 8 天'!D78,0),IF(OR('第 8 天'!F$5="租車費"),'第 8 天'!F78,0),IF(OR('第 8 天'!H$5="租車費"),'第 8 天'!H78,0),IF(OR('第 8 天'!J$5="租車費"),'第 8 天'!J78,0),IF(OR('第 8 天'!L$5="租車費"),'第 8 天'!L78,0),IF(OR('第 8 天'!N$5="租車費"),'第 8 天'!N78,0),IF(OR('第 8 天'!P$5="租車費"),'第 8 天'!P78,0))</f>
        <v>0</v>
      </c>
      <c r="F238" s="14" t="n">
        <f aca="false">SUM(IF(OR('第 8 天'!D$5="停車費",'第 8 天'!D$5="其他"),'第 8 天'!D78,0),IF(OR('第 8 天'!F$5="停車費",'第 8 天'!F$5="其他"),'第 8 天'!F78,0),IF(OR('第 8 天'!H$5="停車費",'第 8 天'!H$5="其他"),'第 8 天'!H78,0),IF(OR('第 8 天'!J$5="停車費",'第 8 天'!J$5="其他"),'第 8 天'!J78,0),IF(OR('第 8 天'!L$5="停車費",'第 8 天'!L$5="其他"),'第 8 天'!L78,0),IF(OR('第 8 天'!N$5="停車費",'第 8 天'!N$5="其他"),'第 8 天'!N78,0),IF(OR('第 8 天'!P$5="停車費",'第 8 天'!P$5="其他"),'第 8 天'!P78,0))</f>
        <v>0</v>
      </c>
      <c r="G238" s="14" t="n">
        <f aca="false">SUM(C238:F238)</f>
        <v>0</v>
      </c>
      <c r="H238" s="14" t="n">
        <f aca="false">IF(LEN(TRIM(成員名單!$B31))=0,0,SUM(IF('第 8 天'!D$7=$B238,'第 8 天'!D46,0),IF('第 8 天'!F$7=$B238,'第 8 天'!F46,0),IF('第 8 天'!H$7=$B238,'第 8 天'!H46,0),IF('第 8 天'!J$7=$B238,'第 8 天'!J46,0),IF('第 8 天'!L$7=$B238,'第 8 天'!L46,0),IF('第 8 天'!N$7=$B238,'第 8 天'!N46,0),IF('第 8 天'!P$7=$B238,'第 8 天'!P46,0)))</f>
        <v>0</v>
      </c>
    </row>
    <row r="239" customFormat="false" ht="15" hidden="false" customHeight="false" outlineLevel="0" collapsed="false">
      <c r="A239" s="13" t="s">
        <v>143</v>
      </c>
      <c r="B239" s="13" t="s">
        <v>45</v>
      </c>
      <c r="C239" s="14" t="n">
        <f aca="false">SUM(IF(OR('第 8 天'!D$5="早餐",'第 8 天'!D$5="午餐",'第 8 天'!D$5="晚餐"),'第 8 天'!D79,0),IF(OR('第 8 天'!F$5="早餐",'第 8 天'!F$5="午餐",'第 8 天'!F$5="晚餐"),'第 8 天'!F79,0),IF(OR('第 8 天'!H$5="早餐",'第 8 天'!H$5="午餐",'第 8 天'!H$5="晚餐"),'第 8 天'!H79,0),IF(OR('第 8 天'!J$5="早餐",'第 8 天'!J$5="午餐",'第 8 天'!J$5="晚餐"),'第 8 天'!J79,0),IF(OR('第 8 天'!L$5="早餐",'第 8 天'!L$5="午餐",'第 8 天'!L$5="晚餐"),'第 8 天'!L79,0),IF(OR('第 8 天'!N$5="早餐",'第 8 天'!N$5="午餐",'第 8 天'!N$5="晚餐"),'第 8 天'!N79,0),IF(OR('第 8 天'!P$5="早餐",'第 8 天'!P$5="午餐",'第 8 天'!P$5="晚餐"),'第 8 天'!P79,0))</f>
        <v>0</v>
      </c>
      <c r="D239" s="14" t="n">
        <f aca="false">SUM(IF(OR('第 8 天'!D$5="油錢"),'第 8 天'!D79,0),IF(OR('第 8 天'!F$5="油錢"),'第 8 天'!F79,0),IF(OR('第 8 天'!H$5="油錢"),'第 8 天'!H79,0),IF(OR('第 8 天'!J$5="油錢"),'第 8 天'!J79,0),IF(OR('第 8 天'!L$5="油錢"),'第 8 天'!L79,0),IF(OR('第 8 天'!N$5="油錢"),'第 8 天'!N79,0),IF(OR('第 8 天'!P$5="油錢"),'第 8 天'!P79,0))</f>
        <v>0</v>
      </c>
      <c r="E239" s="14" t="n">
        <f aca="false">SUM(IF(OR('第 8 天'!D$5="租車費"),'第 8 天'!D79,0),IF(OR('第 8 天'!F$5="租車費"),'第 8 天'!F79,0),IF(OR('第 8 天'!H$5="租車費"),'第 8 天'!H79,0),IF(OR('第 8 天'!J$5="租車費"),'第 8 天'!J79,0),IF(OR('第 8 天'!L$5="租車費"),'第 8 天'!L79,0),IF(OR('第 8 天'!N$5="租車費"),'第 8 天'!N79,0),IF(OR('第 8 天'!P$5="租車費"),'第 8 天'!P79,0))</f>
        <v>0</v>
      </c>
      <c r="F239" s="14" t="n">
        <f aca="false">SUM(IF(OR('第 8 天'!D$5="停車費",'第 8 天'!D$5="其他"),'第 8 天'!D79,0),IF(OR('第 8 天'!F$5="停車費",'第 8 天'!F$5="其他"),'第 8 天'!F79,0),IF(OR('第 8 天'!H$5="停車費",'第 8 天'!H$5="其他"),'第 8 天'!H79,0),IF(OR('第 8 天'!J$5="停車費",'第 8 天'!J$5="其他"),'第 8 天'!J79,0),IF(OR('第 8 天'!L$5="停車費",'第 8 天'!L$5="其他"),'第 8 天'!L79,0),IF(OR('第 8 天'!N$5="停車費",'第 8 天'!N$5="其他"),'第 8 天'!N79,0),IF(OR('第 8 天'!P$5="停車費",'第 8 天'!P$5="其他"),'第 8 天'!P79,0))</f>
        <v>0</v>
      </c>
      <c r="G239" s="14" t="n">
        <f aca="false">SUM(C239:F239)</f>
        <v>0</v>
      </c>
      <c r="H239" s="14" t="n">
        <f aca="false">IF(LEN(TRIM(成員名單!$B32))=0,0,SUM(IF('第 8 天'!D$7=$B239,'第 8 天'!D46,0),IF('第 8 天'!F$7=$B239,'第 8 天'!F46,0),IF('第 8 天'!H$7=$B239,'第 8 天'!H46,0),IF('第 8 天'!J$7=$B239,'第 8 天'!J46,0),IF('第 8 天'!L$7=$B239,'第 8 天'!L46,0),IF('第 8 天'!N$7=$B239,'第 8 天'!N46,0),IF('第 8 天'!P$7=$B239,'第 8 天'!P46,0)))</f>
        <v>0</v>
      </c>
    </row>
    <row r="240" customFormat="false" ht="15" hidden="false" customHeight="false" outlineLevel="0" collapsed="false">
      <c r="A240" s="13" t="s">
        <v>143</v>
      </c>
      <c r="B240" s="13" t="s">
        <v>46</v>
      </c>
      <c r="C240" s="14" t="n">
        <f aca="false">SUM(IF(OR('第 8 天'!D$5="早餐",'第 8 天'!D$5="午餐",'第 8 天'!D$5="晚餐"),'第 8 天'!D80,0),IF(OR('第 8 天'!F$5="早餐",'第 8 天'!F$5="午餐",'第 8 天'!F$5="晚餐"),'第 8 天'!F80,0),IF(OR('第 8 天'!H$5="早餐",'第 8 天'!H$5="午餐",'第 8 天'!H$5="晚餐"),'第 8 天'!H80,0),IF(OR('第 8 天'!J$5="早餐",'第 8 天'!J$5="午餐",'第 8 天'!J$5="晚餐"),'第 8 天'!J80,0),IF(OR('第 8 天'!L$5="早餐",'第 8 天'!L$5="午餐",'第 8 天'!L$5="晚餐"),'第 8 天'!L80,0),IF(OR('第 8 天'!N$5="早餐",'第 8 天'!N$5="午餐",'第 8 天'!N$5="晚餐"),'第 8 天'!N80,0),IF(OR('第 8 天'!P$5="早餐",'第 8 天'!P$5="午餐",'第 8 天'!P$5="晚餐"),'第 8 天'!P80,0))</f>
        <v>0</v>
      </c>
      <c r="D240" s="14" t="n">
        <f aca="false">SUM(IF(OR('第 8 天'!D$5="油錢"),'第 8 天'!D80,0),IF(OR('第 8 天'!F$5="油錢"),'第 8 天'!F80,0),IF(OR('第 8 天'!H$5="油錢"),'第 8 天'!H80,0),IF(OR('第 8 天'!J$5="油錢"),'第 8 天'!J80,0),IF(OR('第 8 天'!L$5="油錢"),'第 8 天'!L80,0),IF(OR('第 8 天'!N$5="油錢"),'第 8 天'!N80,0),IF(OR('第 8 天'!P$5="油錢"),'第 8 天'!P80,0))</f>
        <v>0</v>
      </c>
      <c r="E240" s="14" t="n">
        <f aca="false">SUM(IF(OR('第 8 天'!D$5="租車費"),'第 8 天'!D80,0),IF(OR('第 8 天'!F$5="租車費"),'第 8 天'!F80,0),IF(OR('第 8 天'!H$5="租車費"),'第 8 天'!H80,0),IF(OR('第 8 天'!J$5="租車費"),'第 8 天'!J80,0),IF(OR('第 8 天'!L$5="租車費"),'第 8 天'!L80,0),IF(OR('第 8 天'!N$5="租車費"),'第 8 天'!N80,0),IF(OR('第 8 天'!P$5="租車費"),'第 8 天'!P80,0))</f>
        <v>0</v>
      </c>
      <c r="F240" s="14" t="n">
        <f aca="false">SUM(IF(OR('第 8 天'!D$5="停車費",'第 8 天'!D$5="其他"),'第 8 天'!D80,0),IF(OR('第 8 天'!F$5="停車費",'第 8 天'!F$5="其他"),'第 8 天'!F80,0),IF(OR('第 8 天'!H$5="停車費",'第 8 天'!H$5="其他"),'第 8 天'!H80,0),IF(OR('第 8 天'!J$5="停車費",'第 8 天'!J$5="其他"),'第 8 天'!J80,0),IF(OR('第 8 天'!L$5="停車費",'第 8 天'!L$5="其他"),'第 8 天'!L80,0),IF(OR('第 8 天'!N$5="停車費",'第 8 天'!N$5="其他"),'第 8 天'!N80,0),IF(OR('第 8 天'!P$5="停車費",'第 8 天'!P$5="其他"),'第 8 天'!P80,0))</f>
        <v>0</v>
      </c>
      <c r="G240" s="14" t="n">
        <f aca="false">SUM(C240:F240)</f>
        <v>0</v>
      </c>
      <c r="H240" s="14" t="n">
        <f aca="false">IF(LEN(TRIM(成員名單!$B33))=0,0,SUM(IF('第 8 天'!D$7=$B240,'第 8 天'!D46,0),IF('第 8 天'!F$7=$B240,'第 8 天'!F46,0),IF('第 8 天'!H$7=$B240,'第 8 天'!H46,0),IF('第 8 天'!J$7=$B240,'第 8 天'!J46,0),IF('第 8 天'!L$7=$B240,'第 8 天'!L46,0),IF('第 8 天'!N$7=$B240,'第 8 天'!N46,0),IF('第 8 天'!P$7=$B240,'第 8 天'!P46,0)))</f>
        <v>0</v>
      </c>
    </row>
    <row r="241" customFormat="false" ht="15" hidden="false" customHeight="false" outlineLevel="0" collapsed="false">
      <c r="A241" s="13" t="s">
        <v>143</v>
      </c>
      <c r="B241" s="13" t="s">
        <v>47</v>
      </c>
      <c r="C241" s="14" t="n">
        <f aca="false">SUM(IF(OR('第 8 天'!D$5="早餐",'第 8 天'!D$5="午餐",'第 8 天'!D$5="晚餐"),'第 8 天'!D81,0),IF(OR('第 8 天'!F$5="早餐",'第 8 天'!F$5="午餐",'第 8 天'!F$5="晚餐"),'第 8 天'!F81,0),IF(OR('第 8 天'!H$5="早餐",'第 8 天'!H$5="午餐",'第 8 天'!H$5="晚餐"),'第 8 天'!H81,0),IF(OR('第 8 天'!J$5="早餐",'第 8 天'!J$5="午餐",'第 8 天'!J$5="晚餐"),'第 8 天'!J81,0),IF(OR('第 8 天'!L$5="早餐",'第 8 天'!L$5="午餐",'第 8 天'!L$5="晚餐"),'第 8 天'!L81,0),IF(OR('第 8 天'!N$5="早餐",'第 8 天'!N$5="午餐",'第 8 天'!N$5="晚餐"),'第 8 天'!N81,0),IF(OR('第 8 天'!P$5="早餐",'第 8 天'!P$5="午餐",'第 8 天'!P$5="晚餐"),'第 8 天'!P81,0))</f>
        <v>0</v>
      </c>
      <c r="D241" s="14" t="n">
        <f aca="false">SUM(IF(OR('第 8 天'!D$5="油錢"),'第 8 天'!D81,0),IF(OR('第 8 天'!F$5="油錢"),'第 8 天'!F81,0),IF(OR('第 8 天'!H$5="油錢"),'第 8 天'!H81,0),IF(OR('第 8 天'!J$5="油錢"),'第 8 天'!J81,0),IF(OR('第 8 天'!L$5="油錢"),'第 8 天'!L81,0),IF(OR('第 8 天'!N$5="油錢"),'第 8 天'!N81,0),IF(OR('第 8 天'!P$5="油錢"),'第 8 天'!P81,0))</f>
        <v>0</v>
      </c>
      <c r="E241" s="14" t="n">
        <f aca="false">SUM(IF(OR('第 8 天'!D$5="租車費"),'第 8 天'!D81,0),IF(OR('第 8 天'!F$5="租車費"),'第 8 天'!F81,0),IF(OR('第 8 天'!H$5="租車費"),'第 8 天'!H81,0),IF(OR('第 8 天'!J$5="租車費"),'第 8 天'!J81,0),IF(OR('第 8 天'!L$5="租車費"),'第 8 天'!L81,0),IF(OR('第 8 天'!N$5="租車費"),'第 8 天'!N81,0),IF(OR('第 8 天'!P$5="租車費"),'第 8 天'!P81,0))</f>
        <v>0</v>
      </c>
      <c r="F241" s="14" t="n">
        <f aca="false">SUM(IF(OR('第 8 天'!D$5="停車費",'第 8 天'!D$5="其他"),'第 8 天'!D81,0),IF(OR('第 8 天'!F$5="停車費",'第 8 天'!F$5="其他"),'第 8 天'!F81,0),IF(OR('第 8 天'!H$5="停車費",'第 8 天'!H$5="其他"),'第 8 天'!H81,0),IF(OR('第 8 天'!J$5="停車費",'第 8 天'!J$5="其他"),'第 8 天'!J81,0),IF(OR('第 8 天'!L$5="停車費",'第 8 天'!L$5="其他"),'第 8 天'!L81,0),IF(OR('第 8 天'!N$5="停車費",'第 8 天'!N$5="其他"),'第 8 天'!N81,0),IF(OR('第 8 天'!P$5="停車費",'第 8 天'!P$5="其他"),'第 8 天'!P81,0))</f>
        <v>0</v>
      </c>
      <c r="G241" s="14" t="n">
        <f aca="false">SUM(C241:F241)</f>
        <v>0</v>
      </c>
      <c r="H241" s="14" t="n">
        <f aca="false">IF(LEN(TRIM(成員名單!$B34))=0,0,SUM(IF('第 8 天'!D$7=$B241,'第 8 天'!D46,0),IF('第 8 天'!F$7=$B241,'第 8 天'!F46,0),IF('第 8 天'!H$7=$B241,'第 8 天'!H46,0),IF('第 8 天'!J$7=$B241,'第 8 天'!J46,0),IF('第 8 天'!L$7=$B241,'第 8 天'!L46,0),IF('第 8 天'!N$7=$B241,'第 8 天'!N46,0),IF('第 8 天'!P$7=$B241,'第 8 天'!P46,0)))</f>
        <v>0</v>
      </c>
    </row>
    <row r="242" customFormat="false" ht="15" hidden="false" customHeight="false" outlineLevel="0" collapsed="false">
      <c r="A242" s="13" t="s">
        <v>152</v>
      </c>
      <c r="B242" s="13" t="s">
        <v>18</v>
      </c>
      <c r="C242" s="14" t="n">
        <f aca="false">SUM(IF(OR('第 9 天'!D$5="早餐",'第 9 天'!D$5="午餐",'第 9 天'!D$5="晚餐"),'第 9 天'!D52,0),IF(OR('第 9 天'!F$5="早餐",'第 9 天'!F$5="午餐",'第 9 天'!F$5="晚餐"),'第 9 天'!F52,0),IF(OR('第 9 天'!H$5="早餐",'第 9 天'!H$5="午餐",'第 9 天'!H$5="晚餐"),'第 9 天'!H52,0),IF(OR('第 9 天'!J$5="早餐",'第 9 天'!J$5="午餐",'第 9 天'!J$5="晚餐"),'第 9 天'!J52,0),IF(OR('第 9 天'!L$5="早餐",'第 9 天'!L$5="午餐",'第 9 天'!L$5="晚餐"),'第 9 天'!L52,0),IF(OR('第 9 天'!N$5="早餐",'第 9 天'!N$5="午餐",'第 9 天'!N$5="晚餐"),'第 9 天'!N52,0),IF(OR('第 9 天'!P$5="早餐",'第 9 天'!P$5="午餐",'第 9 天'!P$5="晚餐"),'第 9 天'!P52,0))</f>
        <v>0</v>
      </c>
      <c r="D242" s="14" t="n">
        <f aca="false">SUM(IF(OR('第 9 天'!D$5="油錢"),'第 9 天'!D52,0),IF(OR('第 9 天'!F$5="油錢"),'第 9 天'!F52,0),IF(OR('第 9 天'!H$5="油錢"),'第 9 天'!H52,0),IF(OR('第 9 天'!J$5="油錢"),'第 9 天'!J52,0),IF(OR('第 9 天'!L$5="油錢"),'第 9 天'!L52,0),IF(OR('第 9 天'!N$5="油錢"),'第 9 天'!N52,0),IF(OR('第 9 天'!P$5="油錢"),'第 9 天'!P52,0))</f>
        <v>0</v>
      </c>
      <c r="E242" s="14" t="n">
        <f aca="false">SUM(IF(OR('第 9 天'!D$5="租車費"),'第 9 天'!D52,0),IF(OR('第 9 天'!F$5="租車費"),'第 9 天'!F52,0),IF(OR('第 9 天'!H$5="租車費"),'第 9 天'!H52,0),IF(OR('第 9 天'!J$5="租車費"),'第 9 天'!J52,0),IF(OR('第 9 天'!L$5="租車費"),'第 9 天'!L52,0),IF(OR('第 9 天'!N$5="租車費"),'第 9 天'!N52,0),IF(OR('第 9 天'!P$5="租車費"),'第 9 天'!P52,0))</f>
        <v>0</v>
      </c>
      <c r="F242" s="14" t="n">
        <f aca="false">SUM(IF(OR('第 9 天'!D$5="停車費",'第 9 天'!D$5="其他"),'第 9 天'!D52,0),IF(OR('第 9 天'!F$5="停車費",'第 9 天'!F$5="其他"),'第 9 天'!F52,0),IF(OR('第 9 天'!H$5="停車費",'第 9 天'!H$5="其他"),'第 9 天'!H52,0),IF(OR('第 9 天'!J$5="停車費",'第 9 天'!J$5="其他"),'第 9 天'!J52,0),IF(OR('第 9 天'!L$5="停車費",'第 9 天'!L$5="其他"),'第 9 天'!L52,0),IF(OR('第 9 天'!N$5="停車費",'第 9 天'!N$5="其他"),'第 9 天'!N52,0),IF(OR('第 9 天'!P$5="停車費",'第 9 天'!P$5="其他"),'第 9 天'!P52,0))</f>
        <v>0</v>
      </c>
      <c r="G242" s="14" t="n">
        <f aca="false">SUM(C242:F242)</f>
        <v>0</v>
      </c>
      <c r="H242" s="14" t="n">
        <f aca="false">IF(LEN(TRIM(成員名單!$B5))=0,0,SUM(IF('第 9 天'!D$7=$B242,'第 9 天'!D46,0),IF('第 9 天'!F$7=$B242,'第 9 天'!F46,0),IF('第 9 天'!H$7=$B242,'第 9 天'!H46,0),IF('第 9 天'!J$7=$B242,'第 9 天'!J46,0),IF('第 9 天'!L$7=$B242,'第 9 天'!L46,0),IF('第 9 天'!N$7=$B242,'第 9 天'!N46,0),IF('第 9 天'!P$7=$B242,'第 9 天'!P46,0)))</f>
        <v>0</v>
      </c>
    </row>
    <row r="243" customFormat="false" ht="15" hidden="false" customHeight="false" outlineLevel="0" collapsed="false">
      <c r="A243" s="13" t="s">
        <v>152</v>
      </c>
      <c r="B243" s="13" t="s">
        <v>19</v>
      </c>
      <c r="C243" s="14" t="n">
        <f aca="false">SUM(IF(OR('第 9 天'!D$5="早餐",'第 9 天'!D$5="午餐",'第 9 天'!D$5="晚餐"),'第 9 天'!D53,0),IF(OR('第 9 天'!F$5="早餐",'第 9 天'!F$5="午餐",'第 9 天'!F$5="晚餐"),'第 9 天'!F53,0),IF(OR('第 9 天'!H$5="早餐",'第 9 天'!H$5="午餐",'第 9 天'!H$5="晚餐"),'第 9 天'!H53,0),IF(OR('第 9 天'!J$5="早餐",'第 9 天'!J$5="午餐",'第 9 天'!J$5="晚餐"),'第 9 天'!J53,0),IF(OR('第 9 天'!L$5="早餐",'第 9 天'!L$5="午餐",'第 9 天'!L$5="晚餐"),'第 9 天'!L53,0),IF(OR('第 9 天'!N$5="早餐",'第 9 天'!N$5="午餐",'第 9 天'!N$5="晚餐"),'第 9 天'!N53,0),IF(OR('第 9 天'!P$5="早餐",'第 9 天'!P$5="午餐",'第 9 天'!P$5="晚餐"),'第 9 天'!P53,0))</f>
        <v>0</v>
      </c>
      <c r="D243" s="14" t="n">
        <f aca="false">SUM(IF(OR('第 9 天'!D$5="油錢"),'第 9 天'!D53,0),IF(OR('第 9 天'!F$5="油錢"),'第 9 天'!F53,0),IF(OR('第 9 天'!H$5="油錢"),'第 9 天'!H53,0),IF(OR('第 9 天'!J$5="油錢"),'第 9 天'!J53,0),IF(OR('第 9 天'!L$5="油錢"),'第 9 天'!L53,0),IF(OR('第 9 天'!N$5="油錢"),'第 9 天'!N53,0),IF(OR('第 9 天'!P$5="油錢"),'第 9 天'!P53,0))</f>
        <v>0</v>
      </c>
      <c r="E243" s="14" t="n">
        <f aca="false">SUM(IF(OR('第 9 天'!D$5="租車費"),'第 9 天'!D53,0),IF(OR('第 9 天'!F$5="租車費"),'第 9 天'!F53,0),IF(OR('第 9 天'!H$5="租車費"),'第 9 天'!H53,0),IF(OR('第 9 天'!J$5="租車費"),'第 9 天'!J53,0),IF(OR('第 9 天'!L$5="租車費"),'第 9 天'!L53,0),IF(OR('第 9 天'!N$5="租車費"),'第 9 天'!N53,0),IF(OR('第 9 天'!P$5="租車費"),'第 9 天'!P53,0))</f>
        <v>0</v>
      </c>
      <c r="F243" s="14" t="n">
        <f aca="false">SUM(IF(OR('第 9 天'!D$5="停車費",'第 9 天'!D$5="其他"),'第 9 天'!D53,0),IF(OR('第 9 天'!F$5="停車費",'第 9 天'!F$5="其他"),'第 9 天'!F53,0),IF(OR('第 9 天'!H$5="停車費",'第 9 天'!H$5="其他"),'第 9 天'!H53,0),IF(OR('第 9 天'!J$5="停車費",'第 9 天'!J$5="其他"),'第 9 天'!J53,0),IF(OR('第 9 天'!L$5="停車費",'第 9 天'!L$5="其他"),'第 9 天'!L53,0),IF(OR('第 9 天'!N$5="停車費",'第 9 天'!N$5="其他"),'第 9 天'!N53,0),IF(OR('第 9 天'!P$5="停車費",'第 9 天'!P$5="其他"),'第 9 天'!P53,0))</f>
        <v>0</v>
      </c>
      <c r="G243" s="14" t="n">
        <f aca="false">SUM(C243:F243)</f>
        <v>0</v>
      </c>
      <c r="H243" s="14" t="n">
        <f aca="false">IF(LEN(TRIM(成員名單!$B6))=0,0,SUM(IF('第 9 天'!D$7=$B243,'第 9 天'!D46,0),IF('第 9 天'!F$7=$B243,'第 9 天'!F46,0),IF('第 9 天'!H$7=$B243,'第 9 天'!H46,0),IF('第 9 天'!J$7=$B243,'第 9 天'!J46,0),IF('第 9 天'!L$7=$B243,'第 9 天'!L46,0),IF('第 9 天'!N$7=$B243,'第 9 天'!N46,0),IF('第 9 天'!P$7=$B243,'第 9 天'!P46,0)))</f>
        <v>0</v>
      </c>
    </row>
    <row r="244" customFormat="false" ht="15" hidden="false" customHeight="false" outlineLevel="0" collapsed="false">
      <c r="A244" s="13" t="s">
        <v>152</v>
      </c>
      <c r="B244" s="13" t="s">
        <v>20</v>
      </c>
      <c r="C244" s="14" t="n">
        <f aca="false">SUM(IF(OR('第 9 天'!D$5="早餐",'第 9 天'!D$5="午餐",'第 9 天'!D$5="晚餐"),'第 9 天'!D54,0),IF(OR('第 9 天'!F$5="早餐",'第 9 天'!F$5="午餐",'第 9 天'!F$5="晚餐"),'第 9 天'!F54,0),IF(OR('第 9 天'!H$5="早餐",'第 9 天'!H$5="午餐",'第 9 天'!H$5="晚餐"),'第 9 天'!H54,0),IF(OR('第 9 天'!J$5="早餐",'第 9 天'!J$5="午餐",'第 9 天'!J$5="晚餐"),'第 9 天'!J54,0),IF(OR('第 9 天'!L$5="早餐",'第 9 天'!L$5="午餐",'第 9 天'!L$5="晚餐"),'第 9 天'!L54,0),IF(OR('第 9 天'!N$5="早餐",'第 9 天'!N$5="午餐",'第 9 天'!N$5="晚餐"),'第 9 天'!N54,0),IF(OR('第 9 天'!P$5="早餐",'第 9 天'!P$5="午餐",'第 9 天'!P$5="晚餐"),'第 9 天'!P54,0))</f>
        <v>0</v>
      </c>
      <c r="D244" s="14" t="n">
        <f aca="false">SUM(IF(OR('第 9 天'!D$5="油錢"),'第 9 天'!D54,0),IF(OR('第 9 天'!F$5="油錢"),'第 9 天'!F54,0),IF(OR('第 9 天'!H$5="油錢"),'第 9 天'!H54,0),IF(OR('第 9 天'!J$5="油錢"),'第 9 天'!J54,0),IF(OR('第 9 天'!L$5="油錢"),'第 9 天'!L54,0),IF(OR('第 9 天'!N$5="油錢"),'第 9 天'!N54,0),IF(OR('第 9 天'!P$5="油錢"),'第 9 天'!P54,0))</f>
        <v>0</v>
      </c>
      <c r="E244" s="14" t="n">
        <f aca="false">SUM(IF(OR('第 9 天'!D$5="租車費"),'第 9 天'!D54,0),IF(OR('第 9 天'!F$5="租車費"),'第 9 天'!F54,0),IF(OR('第 9 天'!H$5="租車費"),'第 9 天'!H54,0),IF(OR('第 9 天'!J$5="租車費"),'第 9 天'!J54,0),IF(OR('第 9 天'!L$5="租車費"),'第 9 天'!L54,0),IF(OR('第 9 天'!N$5="租車費"),'第 9 天'!N54,0),IF(OR('第 9 天'!P$5="租車費"),'第 9 天'!P54,0))</f>
        <v>0</v>
      </c>
      <c r="F244" s="14" t="n">
        <f aca="false">SUM(IF(OR('第 9 天'!D$5="停車費",'第 9 天'!D$5="其他"),'第 9 天'!D54,0),IF(OR('第 9 天'!F$5="停車費",'第 9 天'!F$5="其他"),'第 9 天'!F54,0),IF(OR('第 9 天'!H$5="停車費",'第 9 天'!H$5="其他"),'第 9 天'!H54,0),IF(OR('第 9 天'!J$5="停車費",'第 9 天'!J$5="其他"),'第 9 天'!J54,0),IF(OR('第 9 天'!L$5="停車費",'第 9 天'!L$5="其他"),'第 9 天'!L54,0),IF(OR('第 9 天'!N$5="停車費",'第 9 天'!N$5="其他"),'第 9 天'!N54,0),IF(OR('第 9 天'!P$5="停車費",'第 9 天'!P$5="其他"),'第 9 天'!P54,0))</f>
        <v>0</v>
      </c>
      <c r="G244" s="14" t="n">
        <f aca="false">SUM(C244:F244)</f>
        <v>0</v>
      </c>
      <c r="H244" s="14" t="n">
        <f aca="false">IF(LEN(TRIM(成員名單!$B7))=0,0,SUM(IF('第 9 天'!D$7=$B244,'第 9 天'!D46,0),IF('第 9 天'!F$7=$B244,'第 9 天'!F46,0),IF('第 9 天'!H$7=$B244,'第 9 天'!H46,0),IF('第 9 天'!J$7=$B244,'第 9 天'!J46,0),IF('第 9 天'!L$7=$B244,'第 9 天'!L46,0),IF('第 9 天'!N$7=$B244,'第 9 天'!N46,0),IF('第 9 天'!P$7=$B244,'第 9 天'!P46,0)))</f>
        <v>0</v>
      </c>
    </row>
    <row r="245" customFormat="false" ht="15" hidden="false" customHeight="false" outlineLevel="0" collapsed="false">
      <c r="A245" s="13" t="s">
        <v>152</v>
      </c>
      <c r="B245" s="13" t="s">
        <v>21</v>
      </c>
      <c r="C245" s="14" t="n">
        <f aca="false">SUM(IF(OR('第 9 天'!D$5="早餐",'第 9 天'!D$5="午餐",'第 9 天'!D$5="晚餐"),'第 9 天'!D55,0),IF(OR('第 9 天'!F$5="早餐",'第 9 天'!F$5="午餐",'第 9 天'!F$5="晚餐"),'第 9 天'!F55,0),IF(OR('第 9 天'!H$5="早餐",'第 9 天'!H$5="午餐",'第 9 天'!H$5="晚餐"),'第 9 天'!H55,0),IF(OR('第 9 天'!J$5="早餐",'第 9 天'!J$5="午餐",'第 9 天'!J$5="晚餐"),'第 9 天'!J55,0),IF(OR('第 9 天'!L$5="早餐",'第 9 天'!L$5="午餐",'第 9 天'!L$5="晚餐"),'第 9 天'!L55,0),IF(OR('第 9 天'!N$5="早餐",'第 9 天'!N$5="午餐",'第 9 天'!N$5="晚餐"),'第 9 天'!N55,0),IF(OR('第 9 天'!P$5="早餐",'第 9 天'!P$5="午餐",'第 9 天'!P$5="晚餐"),'第 9 天'!P55,0))</f>
        <v>0</v>
      </c>
      <c r="D245" s="14" t="n">
        <f aca="false">SUM(IF(OR('第 9 天'!D$5="油錢"),'第 9 天'!D55,0),IF(OR('第 9 天'!F$5="油錢"),'第 9 天'!F55,0),IF(OR('第 9 天'!H$5="油錢"),'第 9 天'!H55,0),IF(OR('第 9 天'!J$5="油錢"),'第 9 天'!J55,0),IF(OR('第 9 天'!L$5="油錢"),'第 9 天'!L55,0),IF(OR('第 9 天'!N$5="油錢"),'第 9 天'!N55,0),IF(OR('第 9 天'!P$5="油錢"),'第 9 天'!P55,0))</f>
        <v>0</v>
      </c>
      <c r="E245" s="14" t="n">
        <f aca="false">SUM(IF(OR('第 9 天'!D$5="租車費"),'第 9 天'!D55,0),IF(OR('第 9 天'!F$5="租車費"),'第 9 天'!F55,0),IF(OR('第 9 天'!H$5="租車費"),'第 9 天'!H55,0),IF(OR('第 9 天'!J$5="租車費"),'第 9 天'!J55,0),IF(OR('第 9 天'!L$5="租車費"),'第 9 天'!L55,0),IF(OR('第 9 天'!N$5="租車費"),'第 9 天'!N55,0),IF(OR('第 9 天'!P$5="租車費"),'第 9 天'!P55,0))</f>
        <v>0</v>
      </c>
      <c r="F245" s="14" t="n">
        <f aca="false">SUM(IF(OR('第 9 天'!D$5="停車費",'第 9 天'!D$5="其他"),'第 9 天'!D55,0),IF(OR('第 9 天'!F$5="停車費",'第 9 天'!F$5="其他"),'第 9 天'!F55,0),IF(OR('第 9 天'!H$5="停車費",'第 9 天'!H$5="其他"),'第 9 天'!H55,0),IF(OR('第 9 天'!J$5="停車費",'第 9 天'!J$5="其他"),'第 9 天'!J55,0),IF(OR('第 9 天'!L$5="停車費",'第 9 天'!L$5="其他"),'第 9 天'!L55,0),IF(OR('第 9 天'!N$5="停車費",'第 9 天'!N$5="其他"),'第 9 天'!N55,0),IF(OR('第 9 天'!P$5="停車費",'第 9 天'!P$5="其他"),'第 9 天'!P55,0))</f>
        <v>0</v>
      </c>
      <c r="G245" s="14" t="n">
        <f aca="false">SUM(C245:F245)</f>
        <v>0</v>
      </c>
      <c r="H245" s="14" t="n">
        <f aca="false">IF(LEN(TRIM(成員名單!$B8))=0,0,SUM(IF('第 9 天'!D$7=$B245,'第 9 天'!D46,0),IF('第 9 天'!F$7=$B245,'第 9 天'!F46,0),IF('第 9 天'!H$7=$B245,'第 9 天'!H46,0),IF('第 9 天'!J$7=$B245,'第 9 天'!J46,0),IF('第 9 天'!L$7=$B245,'第 9 天'!L46,0),IF('第 9 天'!N$7=$B245,'第 9 天'!N46,0),IF('第 9 天'!P$7=$B245,'第 9 天'!P46,0)))</f>
        <v>0</v>
      </c>
    </row>
    <row r="246" customFormat="false" ht="15" hidden="false" customHeight="false" outlineLevel="0" collapsed="false">
      <c r="A246" s="13" t="s">
        <v>152</v>
      </c>
      <c r="B246" s="13" t="s">
        <v>22</v>
      </c>
      <c r="C246" s="14" t="n">
        <f aca="false">SUM(IF(OR('第 9 天'!D$5="早餐",'第 9 天'!D$5="午餐",'第 9 天'!D$5="晚餐"),'第 9 天'!D56,0),IF(OR('第 9 天'!F$5="早餐",'第 9 天'!F$5="午餐",'第 9 天'!F$5="晚餐"),'第 9 天'!F56,0),IF(OR('第 9 天'!H$5="早餐",'第 9 天'!H$5="午餐",'第 9 天'!H$5="晚餐"),'第 9 天'!H56,0),IF(OR('第 9 天'!J$5="早餐",'第 9 天'!J$5="午餐",'第 9 天'!J$5="晚餐"),'第 9 天'!J56,0),IF(OR('第 9 天'!L$5="早餐",'第 9 天'!L$5="午餐",'第 9 天'!L$5="晚餐"),'第 9 天'!L56,0),IF(OR('第 9 天'!N$5="早餐",'第 9 天'!N$5="午餐",'第 9 天'!N$5="晚餐"),'第 9 天'!N56,0),IF(OR('第 9 天'!P$5="早餐",'第 9 天'!P$5="午餐",'第 9 天'!P$5="晚餐"),'第 9 天'!P56,0))</f>
        <v>0</v>
      </c>
      <c r="D246" s="14" t="n">
        <f aca="false">SUM(IF(OR('第 9 天'!D$5="油錢"),'第 9 天'!D56,0),IF(OR('第 9 天'!F$5="油錢"),'第 9 天'!F56,0),IF(OR('第 9 天'!H$5="油錢"),'第 9 天'!H56,0),IF(OR('第 9 天'!J$5="油錢"),'第 9 天'!J56,0),IF(OR('第 9 天'!L$5="油錢"),'第 9 天'!L56,0),IF(OR('第 9 天'!N$5="油錢"),'第 9 天'!N56,0),IF(OR('第 9 天'!P$5="油錢"),'第 9 天'!P56,0))</f>
        <v>0</v>
      </c>
      <c r="E246" s="14" t="n">
        <f aca="false">SUM(IF(OR('第 9 天'!D$5="租車費"),'第 9 天'!D56,0),IF(OR('第 9 天'!F$5="租車費"),'第 9 天'!F56,0),IF(OR('第 9 天'!H$5="租車費"),'第 9 天'!H56,0),IF(OR('第 9 天'!J$5="租車費"),'第 9 天'!J56,0),IF(OR('第 9 天'!L$5="租車費"),'第 9 天'!L56,0),IF(OR('第 9 天'!N$5="租車費"),'第 9 天'!N56,0),IF(OR('第 9 天'!P$5="租車費"),'第 9 天'!P56,0))</f>
        <v>0</v>
      </c>
      <c r="F246" s="14" t="n">
        <f aca="false">SUM(IF(OR('第 9 天'!D$5="停車費",'第 9 天'!D$5="其他"),'第 9 天'!D56,0),IF(OR('第 9 天'!F$5="停車費",'第 9 天'!F$5="其他"),'第 9 天'!F56,0),IF(OR('第 9 天'!H$5="停車費",'第 9 天'!H$5="其他"),'第 9 天'!H56,0),IF(OR('第 9 天'!J$5="停車費",'第 9 天'!J$5="其他"),'第 9 天'!J56,0),IF(OR('第 9 天'!L$5="停車費",'第 9 天'!L$5="其他"),'第 9 天'!L56,0),IF(OR('第 9 天'!N$5="停車費",'第 9 天'!N$5="其他"),'第 9 天'!N56,0),IF(OR('第 9 天'!P$5="停車費",'第 9 天'!P$5="其他"),'第 9 天'!P56,0))</f>
        <v>0</v>
      </c>
      <c r="G246" s="14" t="n">
        <f aca="false">SUM(C246:F246)</f>
        <v>0</v>
      </c>
      <c r="H246" s="14" t="n">
        <f aca="false">IF(LEN(TRIM(成員名單!$B9))=0,0,SUM(IF('第 9 天'!D$7=$B246,'第 9 天'!D46,0),IF('第 9 天'!F$7=$B246,'第 9 天'!F46,0),IF('第 9 天'!H$7=$B246,'第 9 天'!H46,0),IF('第 9 天'!J$7=$B246,'第 9 天'!J46,0),IF('第 9 天'!L$7=$B246,'第 9 天'!L46,0),IF('第 9 天'!N$7=$B246,'第 9 天'!N46,0),IF('第 9 天'!P$7=$B246,'第 9 天'!P46,0)))</f>
        <v>0</v>
      </c>
    </row>
    <row r="247" customFormat="false" ht="15" hidden="false" customHeight="false" outlineLevel="0" collapsed="false">
      <c r="A247" s="13" t="s">
        <v>152</v>
      </c>
      <c r="B247" s="13" t="s">
        <v>23</v>
      </c>
      <c r="C247" s="14" t="n">
        <f aca="false">SUM(IF(OR('第 9 天'!D$5="早餐",'第 9 天'!D$5="午餐",'第 9 天'!D$5="晚餐"),'第 9 天'!D57,0),IF(OR('第 9 天'!F$5="早餐",'第 9 天'!F$5="午餐",'第 9 天'!F$5="晚餐"),'第 9 天'!F57,0),IF(OR('第 9 天'!H$5="早餐",'第 9 天'!H$5="午餐",'第 9 天'!H$5="晚餐"),'第 9 天'!H57,0),IF(OR('第 9 天'!J$5="早餐",'第 9 天'!J$5="午餐",'第 9 天'!J$5="晚餐"),'第 9 天'!J57,0),IF(OR('第 9 天'!L$5="早餐",'第 9 天'!L$5="午餐",'第 9 天'!L$5="晚餐"),'第 9 天'!L57,0),IF(OR('第 9 天'!N$5="早餐",'第 9 天'!N$5="午餐",'第 9 天'!N$5="晚餐"),'第 9 天'!N57,0),IF(OR('第 9 天'!P$5="早餐",'第 9 天'!P$5="午餐",'第 9 天'!P$5="晚餐"),'第 9 天'!P57,0))</f>
        <v>0</v>
      </c>
      <c r="D247" s="14" t="n">
        <f aca="false">SUM(IF(OR('第 9 天'!D$5="油錢"),'第 9 天'!D57,0),IF(OR('第 9 天'!F$5="油錢"),'第 9 天'!F57,0),IF(OR('第 9 天'!H$5="油錢"),'第 9 天'!H57,0),IF(OR('第 9 天'!J$5="油錢"),'第 9 天'!J57,0),IF(OR('第 9 天'!L$5="油錢"),'第 9 天'!L57,0),IF(OR('第 9 天'!N$5="油錢"),'第 9 天'!N57,0),IF(OR('第 9 天'!P$5="油錢"),'第 9 天'!P57,0))</f>
        <v>0</v>
      </c>
      <c r="E247" s="14" t="n">
        <f aca="false">SUM(IF(OR('第 9 天'!D$5="租車費"),'第 9 天'!D57,0),IF(OR('第 9 天'!F$5="租車費"),'第 9 天'!F57,0),IF(OR('第 9 天'!H$5="租車費"),'第 9 天'!H57,0),IF(OR('第 9 天'!J$5="租車費"),'第 9 天'!J57,0),IF(OR('第 9 天'!L$5="租車費"),'第 9 天'!L57,0),IF(OR('第 9 天'!N$5="租車費"),'第 9 天'!N57,0),IF(OR('第 9 天'!P$5="租車費"),'第 9 天'!P57,0))</f>
        <v>0</v>
      </c>
      <c r="F247" s="14" t="n">
        <f aca="false">SUM(IF(OR('第 9 天'!D$5="停車費",'第 9 天'!D$5="其他"),'第 9 天'!D57,0),IF(OR('第 9 天'!F$5="停車費",'第 9 天'!F$5="其他"),'第 9 天'!F57,0),IF(OR('第 9 天'!H$5="停車費",'第 9 天'!H$5="其他"),'第 9 天'!H57,0),IF(OR('第 9 天'!J$5="停車費",'第 9 天'!J$5="其他"),'第 9 天'!J57,0),IF(OR('第 9 天'!L$5="停車費",'第 9 天'!L$5="其他"),'第 9 天'!L57,0),IF(OR('第 9 天'!N$5="停車費",'第 9 天'!N$5="其他"),'第 9 天'!N57,0),IF(OR('第 9 天'!P$5="停車費",'第 9 天'!P$5="其他"),'第 9 天'!P57,0))</f>
        <v>0</v>
      </c>
      <c r="G247" s="14" t="n">
        <f aca="false">SUM(C247:F247)</f>
        <v>0</v>
      </c>
      <c r="H247" s="14" t="n">
        <f aca="false">IF(LEN(TRIM(成員名單!$B10))=0,0,SUM(IF('第 9 天'!D$7=$B247,'第 9 天'!D46,0),IF('第 9 天'!F$7=$B247,'第 9 天'!F46,0),IF('第 9 天'!H$7=$B247,'第 9 天'!H46,0),IF('第 9 天'!J$7=$B247,'第 9 天'!J46,0),IF('第 9 天'!L$7=$B247,'第 9 天'!L46,0),IF('第 9 天'!N$7=$B247,'第 9 天'!N46,0),IF('第 9 天'!P$7=$B247,'第 9 天'!P46,0)))</f>
        <v>0</v>
      </c>
    </row>
    <row r="248" customFormat="false" ht="15" hidden="false" customHeight="false" outlineLevel="0" collapsed="false">
      <c r="A248" s="13" t="s">
        <v>152</v>
      </c>
      <c r="B248" s="13" t="s">
        <v>24</v>
      </c>
      <c r="C248" s="14" t="n">
        <f aca="false">SUM(IF(OR('第 9 天'!D$5="早餐",'第 9 天'!D$5="午餐",'第 9 天'!D$5="晚餐"),'第 9 天'!D58,0),IF(OR('第 9 天'!F$5="早餐",'第 9 天'!F$5="午餐",'第 9 天'!F$5="晚餐"),'第 9 天'!F58,0),IF(OR('第 9 天'!H$5="早餐",'第 9 天'!H$5="午餐",'第 9 天'!H$5="晚餐"),'第 9 天'!H58,0),IF(OR('第 9 天'!J$5="早餐",'第 9 天'!J$5="午餐",'第 9 天'!J$5="晚餐"),'第 9 天'!J58,0),IF(OR('第 9 天'!L$5="早餐",'第 9 天'!L$5="午餐",'第 9 天'!L$5="晚餐"),'第 9 天'!L58,0),IF(OR('第 9 天'!N$5="早餐",'第 9 天'!N$5="午餐",'第 9 天'!N$5="晚餐"),'第 9 天'!N58,0),IF(OR('第 9 天'!P$5="早餐",'第 9 天'!P$5="午餐",'第 9 天'!P$5="晚餐"),'第 9 天'!P58,0))</f>
        <v>0</v>
      </c>
      <c r="D248" s="14" t="n">
        <f aca="false">SUM(IF(OR('第 9 天'!D$5="油錢"),'第 9 天'!D58,0),IF(OR('第 9 天'!F$5="油錢"),'第 9 天'!F58,0),IF(OR('第 9 天'!H$5="油錢"),'第 9 天'!H58,0),IF(OR('第 9 天'!J$5="油錢"),'第 9 天'!J58,0),IF(OR('第 9 天'!L$5="油錢"),'第 9 天'!L58,0),IF(OR('第 9 天'!N$5="油錢"),'第 9 天'!N58,0),IF(OR('第 9 天'!P$5="油錢"),'第 9 天'!P58,0))</f>
        <v>0</v>
      </c>
      <c r="E248" s="14" t="n">
        <f aca="false">SUM(IF(OR('第 9 天'!D$5="租車費"),'第 9 天'!D58,0),IF(OR('第 9 天'!F$5="租車費"),'第 9 天'!F58,0),IF(OR('第 9 天'!H$5="租車費"),'第 9 天'!H58,0),IF(OR('第 9 天'!J$5="租車費"),'第 9 天'!J58,0),IF(OR('第 9 天'!L$5="租車費"),'第 9 天'!L58,0),IF(OR('第 9 天'!N$5="租車費"),'第 9 天'!N58,0),IF(OR('第 9 天'!P$5="租車費"),'第 9 天'!P58,0))</f>
        <v>0</v>
      </c>
      <c r="F248" s="14" t="n">
        <f aca="false">SUM(IF(OR('第 9 天'!D$5="停車費",'第 9 天'!D$5="其他"),'第 9 天'!D58,0),IF(OR('第 9 天'!F$5="停車費",'第 9 天'!F$5="其他"),'第 9 天'!F58,0),IF(OR('第 9 天'!H$5="停車費",'第 9 天'!H$5="其他"),'第 9 天'!H58,0),IF(OR('第 9 天'!J$5="停車費",'第 9 天'!J$5="其他"),'第 9 天'!J58,0),IF(OR('第 9 天'!L$5="停車費",'第 9 天'!L$5="其他"),'第 9 天'!L58,0),IF(OR('第 9 天'!N$5="停車費",'第 9 天'!N$5="其他"),'第 9 天'!N58,0),IF(OR('第 9 天'!P$5="停車費",'第 9 天'!P$5="其他"),'第 9 天'!P58,0))</f>
        <v>0</v>
      </c>
      <c r="G248" s="14" t="n">
        <f aca="false">SUM(C248:F248)</f>
        <v>0</v>
      </c>
      <c r="H248" s="14" t="n">
        <f aca="false">IF(LEN(TRIM(成員名單!$B11))=0,0,SUM(IF('第 9 天'!D$7=$B248,'第 9 天'!D46,0),IF('第 9 天'!F$7=$B248,'第 9 天'!F46,0),IF('第 9 天'!H$7=$B248,'第 9 天'!H46,0),IF('第 9 天'!J$7=$B248,'第 9 天'!J46,0),IF('第 9 天'!L$7=$B248,'第 9 天'!L46,0),IF('第 9 天'!N$7=$B248,'第 9 天'!N46,0),IF('第 9 天'!P$7=$B248,'第 9 天'!P46,0)))</f>
        <v>0</v>
      </c>
    </row>
    <row r="249" customFormat="false" ht="15" hidden="false" customHeight="false" outlineLevel="0" collapsed="false">
      <c r="A249" s="13" t="s">
        <v>152</v>
      </c>
      <c r="B249" s="13" t="s">
        <v>25</v>
      </c>
      <c r="C249" s="14" t="n">
        <f aca="false">SUM(IF(OR('第 9 天'!D$5="早餐",'第 9 天'!D$5="午餐",'第 9 天'!D$5="晚餐"),'第 9 天'!D59,0),IF(OR('第 9 天'!F$5="早餐",'第 9 天'!F$5="午餐",'第 9 天'!F$5="晚餐"),'第 9 天'!F59,0),IF(OR('第 9 天'!H$5="早餐",'第 9 天'!H$5="午餐",'第 9 天'!H$5="晚餐"),'第 9 天'!H59,0),IF(OR('第 9 天'!J$5="早餐",'第 9 天'!J$5="午餐",'第 9 天'!J$5="晚餐"),'第 9 天'!J59,0),IF(OR('第 9 天'!L$5="早餐",'第 9 天'!L$5="午餐",'第 9 天'!L$5="晚餐"),'第 9 天'!L59,0),IF(OR('第 9 天'!N$5="早餐",'第 9 天'!N$5="午餐",'第 9 天'!N$5="晚餐"),'第 9 天'!N59,0),IF(OR('第 9 天'!P$5="早餐",'第 9 天'!P$5="午餐",'第 9 天'!P$5="晚餐"),'第 9 天'!P59,0))</f>
        <v>0</v>
      </c>
      <c r="D249" s="14" t="n">
        <f aca="false">SUM(IF(OR('第 9 天'!D$5="油錢"),'第 9 天'!D59,0),IF(OR('第 9 天'!F$5="油錢"),'第 9 天'!F59,0),IF(OR('第 9 天'!H$5="油錢"),'第 9 天'!H59,0),IF(OR('第 9 天'!J$5="油錢"),'第 9 天'!J59,0),IF(OR('第 9 天'!L$5="油錢"),'第 9 天'!L59,0),IF(OR('第 9 天'!N$5="油錢"),'第 9 天'!N59,0),IF(OR('第 9 天'!P$5="油錢"),'第 9 天'!P59,0))</f>
        <v>0</v>
      </c>
      <c r="E249" s="14" t="n">
        <f aca="false">SUM(IF(OR('第 9 天'!D$5="租車費"),'第 9 天'!D59,0),IF(OR('第 9 天'!F$5="租車費"),'第 9 天'!F59,0),IF(OR('第 9 天'!H$5="租車費"),'第 9 天'!H59,0),IF(OR('第 9 天'!J$5="租車費"),'第 9 天'!J59,0),IF(OR('第 9 天'!L$5="租車費"),'第 9 天'!L59,0),IF(OR('第 9 天'!N$5="租車費"),'第 9 天'!N59,0),IF(OR('第 9 天'!P$5="租車費"),'第 9 天'!P59,0))</f>
        <v>0</v>
      </c>
      <c r="F249" s="14" t="n">
        <f aca="false">SUM(IF(OR('第 9 天'!D$5="停車費",'第 9 天'!D$5="其他"),'第 9 天'!D59,0),IF(OR('第 9 天'!F$5="停車費",'第 9 天'!F$5="其他"),'第 9 天'!F59,0),IF(OR('第 9 天'!H$5="停車費",'第 9 天'!H$5="其他"),'第 9 天'!H59,0),IF(OR('第 9 天'!J$5="停車費",'第 9 天'!J$5="其他"),'第 9 天'!J59,0),IF(OR('第 9 天'!L$5="停車費",'第 9 天'!L$5="其他"),'第 9 天'!L59,0),IF(OR('第 9 天'!N$5="停車費",'第 9 天'!N$5="其他"),'第 9 天'!N59,0),IF(OR('第 9 天'!P$5="停車費",'第 9 天'!P$5="其他"),'第 9 天'!P59,0))</f>
        <v>0</v>
      </c>
      <c r="G249" s="14" t="n">
        <f aca="false">SUM(C249:F249)</f>
        <v>0</v>
      </c>
      <c r="H249" s="14" t="n">
        <f aca="false">IF(LEN(TRIM(成員名單!$B12))=0,0,SUM(IF('第 9 天'!D$7=$B249,'第 9 天'!D46,0),IF('第 9 天'!F$7=$B249,'第 9 天'!F46,0),IF('第 9 天'!H$7=$B249,'第 9 天'!H46,0),IF('第 9 天'!J$7=$B249,'第 9 天'!J46,0),IF('第 9 天'!L$7=$B249,'第 9 天'!L46,0),IF('第 9 天'!N$7=$B249,'第 9 天'!N46,0),IF('第 9 天'!P$7=$B249,'第 9 天'!P46,0)))</f>
        <v>0</v>
      </c>
    </row>
    <row r="250" customFormat="false" ht="15" hidden="false" customHeight="false" outlineLevel="0" collapsed="false">
      <c r="A250" s="13" t="s">
        <v>152</v>
      </c>
      <c r="B250" s="13" t="s">
        <v>26</v>
      </c>
      <c r="C250" s="14" t="n">
        <f aca="false">SUM(IF(OR('第 9 天'!D$5="早餐",'第 9 天'!D$5="午餐",'第 9 天'!D$5="晚餐"),'第 9 天'!D60,0),IF(OR('第 9 天'!F$5="早餐",'第 9 天'!F$5="午餐",'第 9 天'!F$5="晚餐"),'第 9 天'!F60,0),IF(OR('第 9 天'!H$5="早餐",'第 9 天'!H$5="午餐",'第 9 天'!H$5="晚餐"),'第 9 天'!H60,0),IF(OR('第 9 天'!J$5="早餐",'第 9 天'!J$5="午餐",'第 9 天'!J$5="晚餐"),'第 9 天'!J60,0),IF(OR('第 9 天'!L$5="早餐",'第 9 天'!L$5="午餐",'第 9 天'!L$5="晚餐"),'第 9 天'!L60,0),IF(OR('第 9 天'!N$5="早餐",'第 9 天'!N$5="午餐",'第 9 天'!N$5="晚餐"),'第 9 天'!N60,0),IF(OR('第 9 天'!P$5="早餐",'第 9 天'!P$5="午餐",'第 9 天'!P$5="晚餐"),'第 9 天'!P60,0))</f>
        <v>0</v>
      </c>
      <c r="D250" s="14" t="n">
        <f aca="false">SUM(IF(OR('第 9 天'!D$5="油錢"),'第 9 天'!D60,0),IF(OR('第 9 天'!F$5="油錢"),'第 9 天'!F60,0),IF(OR('第 9 天'!H$5="油錢"),'第 9 天'!H60,0),IF(OR('第 9 天'!J$5="油錢"),'第 9 天'!J60,0),IF(OR('第 9 天'!L$5="油錢"),'第 9 天'!L60,0),IF(OR('第 9 天'!N$5="油錢"),'第 9 天'!N60,0),IF(OR('第 9 天'!P$5="油錢"),'第 9 天'!P60,0))</f>
        <v>0</v>
      </c>
      <c r="E250" s="14" t="n">
        <f aca="false">SUM(IF(OR('第 9 天'!D$5="租車費"),'第 9 天'!D60,0),IF(OR('第 9 天'!F$5="租車費"),'第 9 天'!F60,0),IF(OR('第 9 天'!H$5="租車費"),'第 9 天'!H60,0),IF(OR('第 9 天'!J$5="租車費"),'第 9 天'!J60,0),IF(OR('第 9 天'!L$5="租車費"),'第 9 天'!L60,0),IF(OR('第 9 天'!N$5="租車費"),'第 9 天'!N60,0),IF(OR('第 9 天'!P$5="租車費"),'第 9 天'!P60,0))</f>
        <v>0</v>
      </c>
      <c r="F250" s="14" t="n">
        <f aca="false">SUM(IF(OR('第 9 天'!D$5="停車費",'第 9 天'!D$5="其他"),'第 9 天'!D60,0),IF(OR('第 9 天'!F$5="停車費",'第 9 天'!F$5="其他"),'第 9 天'!F60,0),IF(OR('第 9 天'!H$5="停車費",'第 9 天'!H$5="其他"),'第 9 天'!H60,0),IF(OR('第 9 天'!J$5="停車費",'第 9 天'!J$5="其他"),'第 9 天'!J60,0),IF(OR('第 9 天'!L$5="停車費",'第 9 天'!L$5="其他"),'第 9 天'!L60,0),IF(OR('第 9 天'!N$5="停車費",'第 9 天'!N$5="其他"),'第 9 天'!N60,0),IF(OR('第 9 天'!P$5="停車費",'第 9 天'!P$5="其他"),'第 9 天'!P60,0))</f>
        <v>0</v>
      </c>
      <c r="G250" s="14" t="n">
        <f aca="false">SUM(C250:F250)</f>
        <v>0</v>
      </c>
      <c r="H250" s="14" t="n">
        <f aca="false">IF(LEN(TRIM(成員名單!$B13))=0,0,SUM(IF('第 9 天'!D$7=$B250,'第 9 天'!D46,0),IF('第 9 天'!F$7=$B250,'第 9 天'!F46,0),IF('第 9 天'!H$7=$B250,'第 9 天'!H46,0),IF('第 9 天'!J$7=$B250,'第 9 天'!J46,0),IF('第 9 天'!L$7=$B250,'第 9 天'!L46,0),IF('第 9 天'!N$7=$B250,'第 9 天'!N46,0),IF('第 9 天'!P$7=$B250,'第 9 天'!P46,0)))</f>
        <v>0</v>
      </c>
    </row>
    <row r="251" customFormat="false" ht="15" hidden="false" customHeight="false" outlineLevel="0" collapsed="false">
      <c r="A251" s="13" t="s">
        <v>152</v>
      </c>
      <c r="B251" s="13" t="s">
        <v>27</v>
      </c>
      <c r="C251" s="14" t="n">
        <f aca="false">SUM(IF(OR('第 9 天'!D$5="早餐",'第 9 天'!D$5="午餐",'第 9 天'!D$5="晚餐"),'第 9 天'!D61,0),IF(OR('第 9 天'!F$5="早餐",'第 9 天'!F$5="午餐",'第 9 天'!F$5="晚餐"),'第 9 天'!F61,0),IF(OR('第 9 天'!H$5="早餐",'第 9 天'!H$5="午餐",'第 9 天'!H$5="晚餐"),'第 9 天'!H61,0),IF(OR('第 9 天'!J$5="早餐",'第 9 天'!J$5="午餐",'第 9 天'!J$5="晚餐"),'第 9 天'!J61,0),IF(OR('第 9 天'!L$5="早餐",'第 9 天'!L$5="午餐",'第 9 天'!L$5="晚餐"),'第 9 天'!L61,0),IF(OR('第 9 天'!N$5="早餐",'第 9 天'!N$5="午餐",'第 9 天'!N$5="晚餐"),'第 9 天'!N61,0),IF(OR('第 9 天'!P$5="早餐",'第 9 天'!P$5="午餐",'第 9 天'!P$5="晚餐"),'第 9 天'!P61,0))</f>
        <v>0</v>
      </c>
      <c r="D251" s="14" t="n">
        <f aca="false">SUM(IF(OR('第 9 天'!D$5="油錢"),'第 9 天'!D61,0),IF(OR('第 9 天'!F$5="油錢"),'第 9 天'!F61,0),IF(OR('第 9 天'!H$5="油錢"),'第 9 天'!H61,0),IF(OR('第 9 天'!J$5="油錢"),'第 9 天'!J61,0),IF(OR('第 9 天'!L$5="油錢"),'第 9 天'!L61,0),IF(OR('第 9 天'!N$5="油錢"),'第 9 天'!N61,0),IF(OR('第 9 天'!P$5="油錢"),'第 9 天'!P61,0))</f>
        <v>0</v>
      </c>
      <c r="E251" s="14" t="n">
        <f aca="false">SUM(IF(OR('第 9 天'!D$5="租車費"),'第 9 天'!D61,0),IF(OR('第 9 天'!F$5="租車費"),'第 9 天'!F61,0),IF(OR('第 9 天'!H$5="租車費"),'第 9 天'!H61,0),IF(OR('第 9 天'!J$5="租車費"),'第 9 天'!J61,0),IF(OR('第 9 天'!L$5="租車費"),'第 9 天'!L61,0),IF(OR('第 9 天'!N$5="租車費"),'第 9 天'!N61,0),IF(OR('第 9 天'!P$5="租車費"),'第 9 天'!P61,0))</f>
        <v>0</v>
      </c>
      <c r="F251" s="14" t="n">
        <f aca="false">SUM(IF(OR('第 9 天'!D$5="停車費",'第 9 天'!D$5="其他"),'第 9 天'!D61,0),IF(OR('第 9 天'!F$5="停車費",'第 9 天'!F$5="其他"),'第 9 天'!F61,0),IF(OR('第 9 天'!H$5="停車費",'第 9 天'!H$5="其他"),'第 9 天'!H61,0),IF(OR('第 9 天'!J$5="停車費",'第 9 天'!J$5="其他"),'第 9 天'!J61,0),IF(OR('第 9 天'!L$5="停車費",'第 9 天'!L$5="其他"),'第 9 天'!L61,0),IF(OR('第 9 天'!N$5="停車費",'第 9 天'!N$5="其他"),'第 9 天'!N61,0),IF(OR('第 9 天'!P$5="停車費",'第 9 天'!P$5="其他"),'第 9 天'!P61,0))</f>
        <v>0</v>
      </c>
      <c r="G251" s="14" t="n">
        <f aca="false">SUM(C251:F251)</f>
        <v>0</v>
      </c>
      <c r="H251" s="14" t="n">
        <f aca="false">IF(LEN(TRIM(成員名單!$B14))=0,0,SUM(IF('第 9 天'!D$7=$B251,'第 9 天'!D46,0),IF('第 9 天'!F$7=$B251,'第 9 天'!F46,0),IF('第 9 天'!H$7=$B251,'第 9 天'!H46,0),IF('第 9 天'!J$7=$B251,'第 9 天'!J46,0),IF('第 9 天'!L$7=$B251,'第 9 天'!L46,0),IF('第 9 天'!N$7=$B251,'第 9 天'!N46,0),IF('第 9 天'!P$7=$B251,'第 9 天'!P46,0)))</f>
        <v>0</v>
      </c>
    </row>
    <row r="252" customFormat="false" ht="15" hidden="false" customHeight="false" outlineLevel="0" collapsed="false">
      <c r="A252" s="13" t="s">
        <v>152</v>
      </c>
      <c r="B252" s="13" t="s">
        <v>28</v>
      </c>
      <c r="C252" s="14" t="n">
        <f aca="false">SUM(IF(OR('第 9 天'!D$5="早餐",'第 9 天'!D$5="午餐",'第 9 天'!D$5="晚餐"),'第 9 天'!D62,0),IF(OR('第 9 天'!F$5="早餐",'第 9 天'!F$5="午餐",'第 9 天'!F$5="晚餐"),'第 9 天'!F62,0),IF(OR('第 9 天'!H$5="早餐",'第 9 天'!H$5="午餐",'第 9 天'!H$5="晚餐"),'第 9 天'!H62,0),IF(OR('第 9 天'!J$5="早餐",'第 9 天'!J$5="午餐",'第 9 天'!J$5="晚餐"),'第 9 天'!J62,0),IF(OR('第 9 天'!L$5="早餐",'第 9 天'!L$5="午餐",'第 9 天'!L$5="晚餐"),'第 9 天'!L62,0),IF(OR('第 9 天'!N$5="早餐",'第 9 天'!N$5="午餐",'第 9 天'!N$5="晚餐"),'第 9 天'!N62,0),IF(OR('第 9 天'!P$5="早餐",'第 9 天'!P$5="午餐",'第 9 天'!P$5="晚餐"),'第 9 天'!P62,0))</f>
        <v>0</v>
      </c>
      <c r="D252" s="14" t="n">
        <f aca="false">SUM(IF(OR('第 9 天'!D$5="油錢"),'第 9 天'!D62,0),IF(OR('第 9 天'!F$5="油錢"),'第 9 天'!F62,0),IF(OR('第 9 天'!H$5="油錢"),'第 9 天'!H62,0),IF(OR('第 9 天'!J$5="油錢"),'第 9 天'!J62,0),IF(OR('第 9 天'!L$5="油錢"),'第 9 天'!L62,0),IF(OR('第 9 天'!N$5="油錢"),'第 9 天'!N62,0),IF(OR('第 9 天'!P$5="油錢"),'第 9 天'!P62,0))</f>
        <v>0</v>
      </c>
      <c r="E252" s="14" t="n">
        <f aca="false">SUM(IF(OR('第 9 天'!D$5="租車費"),'第 9 天'!D62,0),IF(OR('第 9 天'!F$5="租車費"),'第 9 天'!F62,0),IF(OR('第 9 天'!H$5="租車費"),'第 9 天'!H62,0),IF(OR('第 9 天'!J$5="租車費"),'第 9 天'!J62,0),IF(OR('第 9 天'!L$5="租車費"),'第 9 天'!L62,0),IF(OR('第 9 天'!N$5="租車費"),'第 9 天'!N62,0),IF(OR('第 9 天'!P$5="租車費"),'第 9 天'!P62,0))</f>
        <v>0</v>
      </c>
      <c r="F252" s="14" t="n">
        <f aca="false">SUM(IF(OR('第 9 天'!D$5="停車費",'第 9 天'!D$5="其他"),'第 9 天'!D62,0),IF(OR('第 9 天'!F$5="停車費",'第 9 天'!F$5="其他"),'第 9 天'!F62,0),IF(OR('第 9 天'!H$5="停車費",'第 9 天'!H$5="其他"),'第 9 天'!H62,0),IF(OR('第 9 天'!J$5="停車費",'第 9 天'!J$5="其他"),'第 9 天'!J62,0),IF(OR('第 9 天'!L$5="停車費",'第 9 天'!L$5="其他"),'第 9 天'!L62,0),IF(OR('第 9 天'!N$5="停車費",'第 9 天'!N$5="其他"),'第 9 天'!N62,0),IF(OR('第 9 天'!P$5="停車費",'第 9 天'!P$5="其他"),'第 9 天'!P62,0))</f>
        <v>0</v>
      </c>
      <c r="G252" s="14" t="n">
        <f aca="false">SUM(C252:F252)</f>
        <v>0</v>
      </c>
      <c r="H252" s="14" t="n">
        <f aca="false">IF(LEN(TRIM(成員名單!$B15))=0,0,SUM(IF('第 9 天'!D$7=$B252,'第 9 天'!D46,0),IF('第 9 天'!F$7=$B252,'第 9 天'!F46,0),IF('第 9 天'!H$7=$B252,'第 9 天'!H46,0),IF('第 9 天'!J$7=$B252,'第 9 天'!J46,0),IF('第 9 天'!L$7=$B252,'第 9 天'!L46,0),IF('第 9 天'!N$7=$B252,'第 9 天'!N46,0),IF('第 9 天'!P$7=$B252,'第 9 天'!P46,0)))</f>
        <v>0</v>
      </c>
    </row>
    <row r="253" customFormat="false" ht="15" hidden="false" customHeight="false" outlineLevel="0" collapsed="false">
      <c r="A253" s="13" t="s">
        <v>152</v>
      </c>
      <c r="B253" s="13" t="s">
        <v>29</v>
      </c>
      <c r="C253" s="14" t="n">
        <f aca="false">SUM(IF(OR('第 9 天'!D$5="早餐",'第 9 天'!D$5="午餐",'第 9 天'!D$5="晚餐"),'第 9 天'!D63,0),IF(OR('第 9 天'!F$5="早餐",'第 9 天'!F$5="午餐",'第 9 天'!F$5="晚餐"),'第 9 天'!F63,0),IF(OR('第 9 天'!H$5="早餐",'第 9 天'!H$5="午餐",'第 9 天'!H$5="晚餐"),'第 9 天'!H63,0),IF(OR('第 9 天'!J$5="早餐",'第 9 天'!J$5="午餐",'第 9 天'!J$5="晚餐"),'第 9 天'!J63,0),IF(OR('第 9 天'!L$5="早餐",'第 9 天'!L$5="午餐",'第 9 天'!L$5="晚餐"),'第 9 天'!L63,0),IF(OR('第 9 天'!N$5="早餐",'第 9 天'!N$5="午餐",'第 9 天'!N$5="晚餐"),'第 9 天'!N63,0),IF(OR('第 9 天'!P$5="早餐",'第 9 天'!P$5="午餐",'第 9 天'!P$5="晚餐"),'第 9 天'!P63,0))</f>
        <v>0</v>
      </c>
      <c r="D253" s="14" t="n">
        <f aca="false">SUM(IF(OR('第 9 天'!D$5="油錢"),'第 9 天'!D63,0),IF(OR('第 9 天'!F$5="油錢"),'第 9 天'!F63,0),IF(OR('第 9 天'!H$5="油錢"),'第 9 天'!H63,0),IF(OR('第 9 天'!J$5="油錢"),'第 9 天'!J63,0),IF(OR('第 9 天'!L$5="油錢"),'第 9 天'!L63,0),IF(OR('第 9 天'!N$5="油錢"),'第 9 天'!N63,0),IF(OR('第 9 天'!P$5="油錢"),'第 9 天'!P63,0))</f>
        <v>0</v>
      </c>
      <c r="E253" s="14" t="n">
        <f aca="false">SUM(IF(OR('第 9 天'!D$5="租車費"),'第 9 天'!D63,0),IF(OR('第 9 天'!F$5="租車費"),'第 9 天'!F63,0),IF(OR('第 9 天'!H$5="租車費"),'第 9 天'!H63,0),IF(OR('第 9 天'!J$5="租車費"),'第 9 天'!J63,0),IF(OR('第 9 天'!L$5="租車費"),'第 9 天'!L63,0),IF(OR('第 9 天'!N$5="租車費"),'第 9 天'!N63,0),IF(OR('第 9 天'!P$5="租車費"),'第 9 天'!P63,0))</f>
        <v>0</v>
      </c>
      <c r="F253" s="14" t="n">
        <f aca="false">SUM(IF(OR('第 9 天'!D$5="停車費",'第 9 天'!D$5="其他"),'第 9 天'!D63,0),IF(OR('第 9 天'!F$5="停車費",'第 9 天'!F$5="其他"),'第 9 天'!F63,0),IF(OR('第 9 天'!H$5="停車費",'第 9 天'!H$5="其他"),'第 9 天'!H63,0),IF(OR('第 9 天'!J$5="停車費",'第 9 天'!J$5="其他"),'第 9 天'!J63,0),IF(OR('第 9 天'!L$5="停車費",'第 9 天'!L$5="其他"),'第 9 天'!L63,0),IF(OR('第 9 天'!N$5="停車費",'第 9 天'!N$5="其他"),'第 9 天'!N63,0),IF(OR('第 9 天'!P$5="停車費",'第 9 天'!P$5="其他"),'第 9 天'!P63,0))</f>
        <v>0</v>
      </c>
      <c r="G253" s="14" t="n">
        <f aca="false">SUM(C253:F253)</f>
        <v>0</v>
      </c>
      <c r="H253" s="14" t="n">
        <f aca="false">IF(LEN(TRIM(成員名單!$B16))=0,0,SUM(IF('第 9 天'!D$7=$B253,'第 9 天'!D46,0),IF('第 9 天'!F$7=$B253,'第 9 天'!F46,0),IF('第 9 天'!H$7=$B253,'第 9 天'!H46,0),IF('第 9 天'!J$7=$B253,'第 9 天'!J46,0),IF('第 9 天'!L$7=$B253,'第 9 天'!L46,0),IF('第 9 天'!N$7=$B253,'第 9 天'!N46,0),IF('第 9 天'!P$7=$B253,'第 9 天'!P46,0)))</f>
        <v>0</v>
      </c>
    </row>
    <row r="254" customFormat="false" ht="15" hidden="false" customHeight="false" outlineLevel="0" collapsed="false">
      <c r="A254" s="13" t="s">
        <v>152</v>
      </c>
      <c r="B254" s="13" t="s">
        <v>30</v>
      </c>
      <c r="C254" s="14" t="n">
        <f aca="false">SUM(IF(OR('第 9 天'!D$5="早餐",'第 9 天'!D$5="午餐",'第 9 天'!D$5="晚餐"),'第 9 天'!D64,0),IF(OR('第 9 天'!F$5="早餐",'第 9 天'!F$5="午餐",'第 9 天'!F$5="晚餐"),'第 9 天'!F64,0),IF(OR('第 9 天'!H$5="早餐",'第 9 天'!H$5="午餐",'第 9 天'!H$5="晚餐"),'第 9 天'!H64,0),IF(OR('第 9 天'!J$5="早餐",'第 9 天'!J$5="午餐",'第 9 天'!J$5="晚餐"),'第 9 天'!J64,0),IF(OR('第 9 天'!L$5="早餐",'第 9 天'!L$5="午餐",'第 9 天'!L$5="晚餐"),'第 9 天'!L64,0),IF(OR('第 9 天'!N$5="早餐",'第 9 天'!N$5="午餐",'第 9 天'!N$5="晚餐"),'第 9 天'!N64,0),IF(OR('第 9 天'!P$5="早餐",'第 9 天'!P$5="午餐",'第 9 天'!P$5="晚餐"),'第 9 天'!P64,0))</f>
        <v>0</v>
      </c>
      <c r="D254" s="14" t="n">
        <f aca="false">SUM(IF(OR('第 9 天'!D$5="油錢"),'第 9 天'!D64,0),IF(OR('第 9 天'!F$5="油錢"),'第 9 天'!F64,0),IF(OR('第 9 天'!H$5="油錢"),'第 9 天'!H64,0),IF(OR('第 9 天'!J$5="油錢"),'第 9 天'!J64,0),IF(OR('第 9 天'!L$5="油錢"),'第 9 天'!L64,0),IF(OR('第 9 天'!N$5="油錢"),'第 9 天'!N64,0),IF(OR('第 9 天'!P$5="油錢"),'第 9 天'!P64,0))</f>
        <v>0</v>
      </c>
      <c r="E254" s="14" t="n">
        <f aca="false">SUM(IF(OR('第 9 天'!D$5="租車費"),'第 9 天'!D64,0),IF(OR('第 9 天'!F$5="租車費"),'第 9 天'!F64,0),IF(OR('第 9 天'!H$5="租車費"),'第 9 天'!H64,0),IF(OR('第 9 天'!J$5="租車費"),'第 9 天'!J64,0),IF(OR('第 9 天'!L$5="租車費"),'第 9 天'!L64,0),IF(OR('第 9 天'!N$5="租車費"),'第 9 天'!N64,0),IF(OR('第 9 天'!P$5="租車費"),'第 9 天'!P64,0))</f>
        <v>0</v>
      </c>
      <c r="F254" s="14" t="n">
        <f aca="false">SUM(IF(OR('第 9 天'!D$5="停車費",'第 9 天'!D$5="其他"),'第 9 天'!D64,0),IF(OR('第 9 天'!F$5="停車費",'第 9 天'!F$5="其他"),'第 9 天'!F64,0),IF(OR('第 9 天'!H$5="停車費",'第 9 天'!H$5="其他"),'第 9 天'!H64,0),IF(OR('第 9 天'!J$5="停車費",'第 9 天'!J$5="其他"),'第 9 天'!J64,0),IF(OR('第 9 天'!L$5="停車費",'第 9 天'!L$5="其他"),'第 9 天'!L64,0),IF(OR('第 9 天'!N$5="停車費",'第 9 天'!N$5="其他"),'第 9 天'!N64,0),IF(OR('第 9 天'!P$5="停車費",'第 9 天'!P$5="其他"),'第 9 天'!P64,0))</f>
        <v>0</v>
      </c>
      <c r="G254" s="14" t="n">
        <f aca="false">SUM(C254:F254)</f>
        <v>0</v>
      </c>
      <c r="H254" s="14" t="n">
        <f aca="false">IF(LEN(TRIM(成員名單!$B17))=0,0,SUM(IF('第 9 天'!D$7=$B254,'第 9 天'!D46,0),IF('第 9 天'!F$7=$B254,'第 9 天'!F46,0),IF('第 9 天'!H$7=$B254,'第 9 天'!H46,0),IF('第 9 天'!J$7=$B254,'第 9 天'!J46,0),IF('第 9 天'!L$7=$B254,'第 9 天'!L46,0),IF('第 9 天'!N$7=$B254,'第 9 天'!N46,0),IF('第 9 天'!P$7=$B254,'第 9 天'!P46,0)))</f>
        <v>0</v>
      </c>
    </row>
    <row r="255" customFormat="false" ht="15" hidden="false" customHeight="false" outlineLevel="0" collapsed="false">
      <c r="A255" s="13" t="s">
        <v>152</v>
      </c>
      <c r="B255" s="13" t="s">
        <v>31</v>
      </c>
      <c r="C255" s="14" t="n">
        <f aca="false">SUM(IF(OR('第 9 天'!D$5="早餐",'第 9 天'!D$5="午餐",'第 9 天'!D$5="晚餐"),'第 9 天'!D65,0),IF(OR('第 9 天'!F$5="早餐",'第 9 天'!F$5="午餐",'第 9 天'!F$5="晚餐"),'第 9 天'!F65,0),IF(OR('第 9 天'!H$5="早餐",'第 9 天'!H$5="午餐",'第 9 天'!H$5="晚餐"),'第 9 天'!H65,0),IF(OR('第 9 天'!J$5="早餐",'第 9 天'!J$5="午餐",'第 9 天'!J$5="晚餐"),'第 9 天'!J65,0),IF(OR('第 9 天'!L$5="早餐",'第 9 天'!L$5="午餐",'第 9 天'!L$5="晚餐"),'第 9 天'!L65,0),IF(OR('第 9 天'!N$5="早餐",'第 9 天'!N$5="午餐",'第 9 天'!N$5="晚餐"),'第 9 天'!N65,0),IF(OR('第 9 天'!P$5="早餐",'第 9 天'!P$5="午餐",'第 9 天'!P$5="晚餐"),'第 9 天'!P65,0))</f>
        <v>0</v>
      </c>
      <c r="D255" s="14" t="n">
        <f aca="false">SUM(IF(OR('第 9 天'!D$5="油錢"),'第 9 天'!D65,0),IF(OR('第 9 天'!F$5="油錢"),'第 9 天'!F65,0),IF(OR('第 9 天'!H$5="油錢"),'第 9 天'!H65,0),IF(OR('第 9 天'!J$5="油錢"),'第 9 天'!J65,0),IF(OR('第 9 天'!L$5="油錢"),'第 9 天'!L65,0),IF(OR('第 9 天'!N$5="油錢"),'第 9 天'!N65,0),IF(OR('第 9 天'!P$5="油錢"),'第 9 天'!P65,0))</f>
        <v>0</v>
      </c>
      <c r="E255" s="14" t="n">
        <f aca="false">SUM(IF(OR('第 9 天'!D$5="租車費"),'第 9 天'!D65,0),IF(OR('第 9 天'!F$5="租車費"),'第 9 天'!F65,0),IF(OR('第 9 天'!H$5="租車費"),'第 9 天'!H65,0),IF(OR('第 9 天'!J$5="租車費"),'第 9 天'!J65,0),IF(OR('第 9 天'!L$5="租車費"),'第 9 天'!L65,0),IF(OR('第 9 天'!N$5="租車費"),'第 9 天'!N65,0),IF(OR('第 9 天'!P$5="租車費"),'第 9 天'!P65,0))</f>
        <v>0</v>
      </c>
      <c r="F255" s="14" t="n">
        <f aca="false">SUM(IF(OR('第 9 天'!D$5="停車費",'第 9 天'!D$5="其他"),'第 9 天'!D65,0),IF(OR('第 9 天'!F$5="停車費",'第 9 天'!F$5="其他"),'第 9 天'!F65,0),IF(OR('第 9 天'!H$5="停車費",'第 9 天'!H$5="其他"),'第 9 天'!H65,0),IF(OR('第 9 天'!J$5="停車費",'第 9 天'!J$5="其他"),'第 9 天'!J65,0),IF(OR('第 9 天'!L$5="停車費",'第 9 天'!L$5="其他"),'第 9 天'!L65,0),IF(OR('第 9 天'!N$5="停車費",'第 9 天'!N$5="其他"),'第 9 天'!N65,0),IF(OR('第 9 天'!P$5="停車費",'第 9 天'!P$5="其他"),'第 9 天'!P65,0))</f>
        <v>0</v>
      </c>
      <c r="G255" s="14" t="n">
        <f aca="false">SUM(C255:F255)</f>
        <v>0</v>
      </c>
      <c r="H255" s="14" t="n">
        <f aca="false">IF(LEN(TRIM(成員名單!$B18))=0,0,SUM(IF('第 9 天'!D$7=$B255,'第 9 天'!D46,0),IF('第 9 天'!F$7=$B255,'第 9 天'!F46,0),IF('第 9 天'!H$7=$B255,'第 9 天'!H46,0),IF('第 9 天'!J$7=$B255,'第 9 天'!J46,0),IF('第 9 天'!L$7=$B255,'第 9 天'!L46,0),IF('第 9 天'!N$7=$B255,'第 9 天'!N46,0),IF('第 9 天'!P$7=$B255,'第 9 天'!P46,0)))</f>
        <v>0</v>
      </c>
    </row>
    <row r="256" customFormat="false" ht="15" hidden="false" customHeight="false" outlineLevel="0" collapsed="false">
      <c r="A256" s="13" t="s">
        <v>152</v>
      </c>
      <c r="B256" s="13" t="s">
        <v>32</v>
      </c>
      <c r="C256" s="14" t="n">
        <f aca="false">SUM(IF(OR('第 9 天'!D$5="早餐",'第 9 天'!D$5="午餐",'第 9 天'!D$5="晚餐"),'第 9 天'!D66,0),IF(OR('第 9 天'!F$5="早餐",'第 9 天'!F$5="午餐",'第 9 天'!F$5="晚餐"),'第 9 天'!F66,0),IF(OR('第 9 天'!H$5="早餐",'第 9 天'!H$5="午餐",'第 9 天'!H$5="晚餐"),'第 9 天'!H66,0),IF(OR('第 9 天'!J$5="早餐",'第 9 天'!J$5="午餐",'第 9 天'!J$5="晚餐"),'第 9 天'!J66,0),IF(OR('第 9 天'!L$5="早餐",'第 9 天'!L$5="午餐",'第 9 天'!L$5="晚餐"),'第 9 天'!L66,0),IF(OR('第 9 天'!N$5="早餐",'第 9 天'!N$5="午餐",'第 9 天'!N$5="晚餐"),'第 9 天'!N66,0),IF(OR('第 9 天'!P$5="早餐",'第 9 天'!P$5="午餐",'第 9 天'!P$5="晚餐"),'第 9 天'!P66,0))</f>
        <v>0</v>
      </c>
      <c r="D256" s="14" t="n">
        <f aca="false">SUM(IF(OR('第 9 天'!D$5="油錢"),'第 9 天'!D66,0),IF(OR('第 9 天'!F$5="油錢"),'第 9 天'!F66,0),IF(OR('第 9 天'!H$5="油錢"),'第 9 天'!H66,0),IF(OR('第 9 天'!J$5="油錢"),'第 9 天'!J66,0),IF(OR('第 9 天'!L$5="油錢"),'第 9 天'!L66,0),IF(OR('第 9 天'!N$5="油錢"),'第 9 天'!N66,0),IF(OR('第 9 天'!P$5="油錢"),'第 9 天'!P66,0))</f>
        <v>0</v>
      </c>
      <c r="E256" s="14" t="n">
        <f aca="false">SUM(IF(OR('第 9 天'!D$5="租車費"),'第 9 天'!D66,0),IF(OR('第 9 天'!F$5="租車費"),'第 9 天'!F66,0),IF(OR('第 9 天'!H$5="租車費"),'第 9 天'!H66,0),IF(OR('第 9 天'!J$5="租車費"),'第 9 天'!J66,0),IF(OR('第 9 天'!L$5="租車費"),'第 9 天'!L66,0),IF(OR('第 9 天'!N$5="租車費"),'第 9 天'!N66,0),IF(OR('第 9 天'!P$5="租車費"),'第 9 天'!P66,0))</f>
        <v>0</v>
      </c>
      <c r="F256" s="14" t="n">
        <f aca="false">SUM(IF(OR('第 9 天'!D$5="停車費",'第 9 天'!D$5="其他"),'第 9 天'!D66,0),IF(OR('第 9 天'!F$5="停車費",'第 9 天'!F$5="其他"),'第 9 天'!F66,0),IF(OR('第 9 天'!H$5="停車費",'第 9 天'!H$5="其他"),'第 9 天'!H66,0),IF(OR('第 9 天'!J$5="停車費",'第 9 天'!J$5="其他"),'第 9 天'!J66,0),IF(OR('第 9 天'!L$5="停車費",'第 9 天'!L$5="其他"),'第 9 天'!L66,0),IF(OR('第 9 天'!N$5="停車費",'第 9 天'!N$5="其他"),'第 9 天'!N66,0),IF(OR('第 9 天'!P$5="停車費",'第 9 天'!P$5="其他"),'第 9 天'!P66,0))</f>
        <v>0</v>
      </c>
      <c r="G256" s="14" t="n">
        <f aca="false">SUM(C256:F256)</f>
        <v>0</v>
      </c>
      <c r="H256" s="14" t="n">
        <f aca="false">IF(LEN(TRIM(成員名單!$B19))=0,0,SUM(IF('第 9 天'!D$7=$B256,'第 9 天'!D46,0),IF('第 9 天'!F$7=$B256,'第 9 天'!F46,0),IF('第 9 天'!H$7=$B256,'第 9 天'!H46,0),IF('第 9 天'!J$7=$B256,'第 9 天'!J46,0),IF('第 9 天'!L$7=$B256,'第 9 天'!L46,0),IF('第 9 天'!N$7=$B256,'第 9 天'!N46,0),IF('第 9 天'!P$7=$B256,'第 9 天'!P46,0)))</f>
        <v>0</v>
      </c>
    </row>
    <row r="257" customFormat="false" ht="15" hidden="false" customHeight="false" outlineLevel="0" collapsed="false">
      <c r="A257" s="13" t="s">
        <v>152</v>
      </c>
      <c r="B257" s="13" t="s">
        <v>33</v>
      </c>
      <c r="C257" s="14" t="n">
        <f aca="false">SUM(IF(OR('第 9 天'!D$5="早餐",'第 9 天'!D$5="午餐",'第 9 天'!D$5="晚餐"),'第 9 天'!D67,0),IF(OR('第 9 天'!F$5="早餐",'第 9 天'!F$5="午餐",'第 9 天'!F$5="晚餐"),'第 9 天'!F67,0),IF(OR('第 9 天'!H$5="早餐",'第 9 天'!H$5="午餐",'第 9 天'!H$5="晚餐"),'第 9 天'!H67,0),IF(OR('第 9 天'!J$5="早餐",'第 9 天'!J$5="午餐",'第 9 天'!J$5="晚餐"),'第 9 天'!J67,0),IF(OR('第 9 天'!L$5="早餐",'第 9 天'!L$5="午餐",'第 9 天'!L$5="晚餐"),'第 9 天'!L67,0),IF(OR('第 9 天'!N$5="早餐",'第 9 天'!N$5="午餐",'第 9 天'!N$5="晚餐"),'第 9 天'!N67,0),IF(OR('第 9 天'!P$5="早餐",'第 9 天'!P$5="午餐",'第 9 天'!P$5="晚餐"),'第 9 天'!P67,0))</f>
        <v>0</v>
      </c>
      <c r="D257" s="14" t="n">
        <f aca="false">SUM(IF(OR('第 9 天'!D$5="油錢"),'第 9 天'!D67,0),IF(OR('第 9 天'!F$5="油錢"),'第 9 天'!F67,0),IF(OR('第 9 天'!H$5="油錢"),'第 9 天'!H67,0),IF(OR('第 9 天'!J$5="油錢"),'第 9 天'!J67,0),IF(OR('第 9 天'!L$5="油錢"),'第 9 天'!L67,0),IF(OR('第 9 天'!N$5="油錢"),'第 9 天'!N67,0),IF(OR('第 9 天'!P$5="油錢"),'第 9 天'!P67,0))</f>
        <v>0</v>
      </c>
      <c r="E257" s="14" t="n">
        <f aca="false">SUM(IF(OR('第 9 天'!D$5="租車費"),'第 9 天'!D67,0),IF(OR('第 9 天'!F$5="租車費"),'第 9 天'!F67,0),IF(OR('第 9 天'!H$5="租車費"),'第 9 天'!H67,0),IF(OR('第 9 天'!J$5="租車費"),'第 9 天'!J67,0),IF(OR('第 9 天'!L$5="租車費"),'第 9 天'!L67,0),IF(OR('第 9 天'!N$5="租車費"),'第 9 天'!N67,0),IF(OR('第 9 天'!P$5="租車費"),'第 9 天'!P67,0))</f>
        <v>0</v>
      </c>
      <c r="F257" s="14" t="n">
        <f aca="false">SUM(IF(OR('第 9 天'!D$5="停車費",'第 9 天'!D$5="其他"),'第 9 天'!D67,0),IF(OR('第 9 天'!F$5="停車費",'第 9 天'!F$5="其他"),'第 9 天'!F67,0),IF(OR('第 9 天'!H$5="停車費",'第 9 天'!H$5="其他"),'第 9 天'!H67,0),IF(OR('第 9 天'!J$5="停車費",'第 9 天'!J$5="其他"),'第 9 天'!J67,0),IF(OR('第 9 天'!L$5="停車費",'第 9 天'!L$5="其他"),'第 9 天'!L67,0),IF(OR('第 9 天'!N$5="停車費",'第 9 天'!N$5="其他"),'第 9 天'!N67,0),IF(OR('第 9 天'!P$5="停車費",'第 9 天'!P$5="其他"),'第 9 天'!P67,0))</f>
        <v>0</v>
      </c>
      <c r="G257" s="14" t="n">
        <f aca="false">SUM(C257:F257)</f>
        <v>0</v>
      </c>
      <c r="H257" s="14" t="n">
        <f aca="false">IF(LEN(TRIM(成員名單!$B20))=0,0,SUM(IF('第 9 天'!D$7=$B257,'第 9 天'!D46,0),IF('第 9 天'!F$7=$B257,'第 9 天'!F46,0),IF('第 9 天'!H$7=$B257,'第 9 天'!H46,0),IF('第 9 天'!J$7=$B257,'第 9 天'!J46,0),IF('第 9 天'!L$7=$B257,'第 9 天'!L46,0),IF('第 9 天'!N$7=$B257,'第 9 天'!N46,0),IF('第 9 天'!P$7=$B257,'第 9 天'!P46,0)))</f>
        <v>0</v>
      </c>
    </row>
    <row r="258" customFormat="false" ht="15" hidden="false" customHeight="false" outlineLevel="0" collapsed="false">
      <c r="A258" s="13" t="s">
        <v>152</v>
      </c>
      <c r="B258" s="13" t="s">
        <v>34</v>
      </c>
      <c r="C258" s="14" t="n">
        <f aca="false">SUM(IF(OR('第 9 天'!D$5="早餐",'第 9 天'!D$5="午餐",'第 9 天'!D$5="晚餐"),'第 9 天'!D68,0),IF(OR('第 9 天'!F$5="早餐",'第 9 天'!F$5="午餐",'第 9 天'!F$5="晚餐"),'第 9 天'!F68,0),IF(OR('第 9 天'!H$5="早餐",'第 9 天'!H$5="午餐",'第 9 天'!H$5="晚餐"),'第 9 天'!H68,0),IF(OR('第 9 天'!J$5="早餐",'第 9 天'!J$5="午餐",'第 9 天'!J$5="晚餐"),'第 9 天'!J68,0),IF(OR('第 9 天'!L$5="早餐",'第 9 天'!L$5="午餐",'第 9 天'!L$5="晚餐"),'第 9 天'!L68,0),IF(OR('第 9 天'!N$5="早餐",'第 9 天'!N$5="午餐",'第 9 天'!N$5="晚餐"),'第 9 天'!N68,0),IF(OR('第 9 天'!P$5="早餐",'第 9 天'!P$5="午餐",'第 9 天'!P$5="晚餐"),'第 9 天'!P68,0))</f>
        <v>0</v>
      </c>
      <c r="D258" s="14" t="n">
        <f aca="false">SUM(IF(OR('第 9 天'!D$5="油錢"),'第 9 天'!D68,0),IF(OR('第 9 天'!F$5="油錢"),'第 9 天'!F68,0),IF(OR('第 9 天'!H$5="油錢"),'第 9 天'!H68,0),IF(OR('第 9 天'!J$5="油錢"),'第 9 天'!J68,0),IF(OR('第 9 天'!L$5="油錢"),'第 9 天'!L68,0),IF(OR('第 9 天'!N$5="油錢"),'第 9 天'!N68,0),IF(OR('第 9 天'!P$5="油錢"),'第 9 天'!P68,0))</f>
        <v>0</v>
      </c>
      <c r="E258" s="14" t="n">
        <f aca="false">SUM(IF(OR('第 9 天'!D$5="租車費"),'第 9 天'!D68,0),IF(OR('第 9 天'!F$5="租車費"),'第 9 天'!F68,0),IF(OR('第 9 天'!H$5="租車費"),'第 9 天'!H68,0),IF(OR('第 9 天'!J$5="租車費"),'第 9 天'!J68,0),IF(OR('第 9 天'!L$5="租車費"),'第 9 天'!L68,0),IF(OR('第 9 天'!N$5="租車費"),'第 9 天'!N68,0),IF(OR('第 9 天'!P$5="租車費"),'第 9 天'!P68,0))</f>
        <v>0</v>
      </c>
      <c r="F258" s="14" t="n">
        <f aca="false">SUM(IF(OR('第 9 天'!D$5="停車費",'第 9 天'!D$5="其他"),'第 9 天'!D68,0),IF(OR('第 9 天'!F$5="停車費",'第 9 天'!F$5="其他"),'第 9 天'!F68,0),IF(OR('第 9 天'!H$5="停車費",'第 9 天'!H$5="其他"),'第 9 天'!H68,0),IF(OR('第 9 天'!J$5="停車費",'第 9 天'!J$5="其他"),'第 9 天'!J68,0),IF(OR('第 9 天'!L$5="停車費",'第 9 天'!L$5="其他"),'第 9 天'!L68,0),IF(OR('第 9 天'!N$5="停車費",'第 9 天'!N$5="其他"),'第 9 天'!N68,0),IF(OR('第 9 天'!P$5="停車費",'第 9 天'!P$5="其他"),'第 9 天'!P68,0))</f>
        <v>0</v>
      </c>
      <c r="G258" s="14" t="n">
        <f aca="false">SUM(C258:F258)</f>
        <v>0</v>
      </c>
      <c r="H258" s="14" t="n">
        <f aca="false">IF(LEN(TRIM(成員名單!$B21))=0,0,SUM(IF('第 9 天'!D$7=$B258,'第 9 天'!D46,0),IF('第 9 天'!F$7=$B258,'第 9 天'!F46,0),IF('第 9 天'!H$7=$B258,'第 9 天'!H46,0),IF('第 9 天'!J$7=$B258,'第 9 天'!J46,0),IF('第 9 天'!L$7=$B258,'第 9 天'!L46,0),IF('第 9 天'!N$7=$B258,'第 9 天'!N46,0),IF('第 9 天'!P$7=$B258,'第 9 天'!P46,0)))</f>
        <v>0</v>
      </c>
    </row>
    <row r="259" customFormat="false" ht="15" hidden="false" customHeight="false" outlineLevel="0" collapsed="false">
      <c r="A259" s="13" t="s">
        <v>152</v>
      </c>
      <c r="B259" s="13" t="s">
        <v>35</v>
      </c>
      <c r="C259" s="14" t="n">
        <f aca="false">SUM(IF(OR('第 9 天'!D$5="早餐",'第 9 天'!D$5="午餐",'第 9 天'!D$5="晚餐"),'第 9 天'!D69,0),IF(OR('第 9 天'!F$5="早餐",'第 9 天'!F$5="午餐",'第 9 天'!F$5="晚餐"),'第 9 天'!F69,0),IF(OR('第 9 天'!H$5="早餐",'第 9 天'!H$5="午餐",'第 9 天'!H$5="晚餐"),'第 9 天'!H69,0),IF(OR('第 9 天'!J$5="早餐",'第 9 天'!J$5="午餐",'第 9 天'!J$5="晚餐"),'第 9 天'!J69,0),IF(OR('第 9 天'!L$5="早餐",'第 9 天'!L$5="午餐",'第 9 天'!L$5="晚餐"),'第 9 天'!L69,0),IF(OR('第 9 天'!N$5="早餐",'第 9 天'!N$5="午餐",'第 9 天'!N$5="晚餐"),'第 9 天'!N69,0),IF(OR('第 9 天'!P$5="早餐",'第 9 天'!P$5="午餐",'第 9 天'!P$5="晚餐"),'第 9 天'!P69,0))</f>
        <v>0</v>
      </c>
      <c r="D259" s="14" t="n">
        <f aca="false">SUM(IF(OR('第 9 天'!D$5="油錢"),'第 9 天'!D69,0),IF(OR('第 9 天'!F$5="油錢"),'第 9 天'!F69,0),IF(OR('第 9 天'!H$5="油錢"),'第 9 天'!H69,0),IF(OR('第 9 天'!J$5="油錢"),'第 9 天'!J69,0),IF(OR('第 9 天'!L$5="油錢"),'第 9 天'!L69,0),IF(OR('第 9 天'!N$5="油錢"),'第 9 天'!N69,0),IF(OR('第 9 天'!P$5="油錢"),'第 9 天'!P69,0))</f>
        <v>0</v>
      </c>
      <c r="E259" s="14" t="n">
        <f aca="false">SUM(IF(OR('第 9 天'!D$5="租車費"),'第 9 天'!D69,0),IF(OR('第 9 天'!F$5="租車費"),'第 9 天'!F69,0),IF(OR('第 9 天'!H$5="租車費"),'第 9 天'!H69,0),IF(OR('第 9 天'!J$5="租車費"),'第 9 天'!J69,0),IF(OR('第 9 天'!L$5="租車費"),'第 9 天'!L69,0),IF(OR('第 9 天'!N$5="租車費"),'第 9 天'!N69,0),IF(OR('第 9 天'!P$5="租車費"),'第 9 天'!P69,0))</f>
        <v>0</v>
      </c>
      <c r="F259" s="14" t="n">
        <f aca="false">SUM(IF(OR('第 9 天'!D$5="停車費",'第 9 天'!D$5="其他"),'第 9 天'!D69,0),IF(OR('第 9 天'!F$5="停車費",'第 9 天'!F$5="其他"),'第 9 天'!F69,0),IF(OR('第 9 天'!H$5="停車費",'第 9 天'!H$5="其他"),'第 9 天'!H69,0),IF(OR('第 9 天'!J$5="停車費",'第 9 天'!J$5="其他"),'第 9 天'!J69,0),IF(OR('第 9 天'!L$5="停車費",'第 9 天'!L$5="其他"),'第 9 天'!L69,0),IF(OR('第 9 天'!N$5="停車費",'第 9 天'!N$5="其他"),'第 9 天'!N69,0),IF(OR('第 9 天'!P$5="停車費",'第 9 天'!P$5="其他"),'第 9 天'!P69,0))</f>
        <v>0</v>
      </c>
      <c r="G259" s="14" t="n">
        <f aca="false">SUM(C259:F259)</f>
        <v>0</v>
      </c>
      <c r="H259" s="14" t="n">
        <f aca="false">IF(LEN(TRIM(成員名單!$B22))=0,0,SUM(IF('第 9 天'!D$7=$B259,'第 9 天'!D46,0),IF('第 9 天'!F$7=$B259,'第 9 天'!F46,0),IF('第 9 天'!H$7=$B259,'第 9 天'!H46,0),IF('第 9 天'!J$7=$B259,'第 9 天'!J46,0),IF('第 9 天'!L$7=$B259,'第 9 天'!L46,0),IF('第 9 天'!N$7=$B259,'第 9 天'!N46,0),IF('第 9 天'!P$7=$B259,'第 9 天'!P46,0)))</f>
        <v>0</v>
      </c>
    </row>
    <row r="260" customFormat="false" ht="15" hidden="false" customHeight="false" outlineLevel="0" collapsed="false">
      <c r="A260" s="13" t="s">
        <v>152</v>
      </c>
      <c r="B260" s="13" t="s">
        <v>36</v>
      </c>
      <c r="C260" s="14" t="n">
        <f aca="false">SUM(IF(OR('第 9 天'!D$5="早餐",'第 9 天'!D$5="午餐",'第 9 天'!D$5="晚餐"),'第 9 天'!D70,0),IF(OR('第 9 天'!F$5="早餐",'第 9 天'!F$5="午餐",'第 9 天'!F$5="晚餐"),'第 9 天'!F70,0),IF(OR('第 9 天'!H$5="早餐",'第 9 天'!H$5="午餐",'第 9 天'!H$5="晚餐"),'第 9 天'!H70,0),IF(OR('第 9 天'!J$5="早餐",'第 9 天'!J$5="午餐",'第 9 天'!J$5="晚餐"),'第 9 天'!J70,0),IF(OR('第 9 天'!L$5="早餐",'第 9 天'!L$5="午餐",'第 9 天'!L$5="晚餐"),'第 9 天'!L70,0),IF(OR('第 9 天'!N$5="早餐",'第 9 天'!N$5="午餐",'第 9 天'!N$5="晚餐"),'第 9 天'!N70,0),IF(OR('第 9 天'!P$5="早餐",'第 9 天'!P$5="午餐",'第 9 天'!P$5="晚餐"),'第 9 天'!P70,0))</f>
        <v>0</v>
      </c>
      <c r="D260" s="14" t="n">
        <f aca="false">SUM(IF(OR('第 9 天'!D$5="油錢"),'第 9 天'!D70,0),IF(OR('第 9 天'!F$5="油錢"),'第 9 天'!F70,0),IF(OR('第 9 天'!H$5="油錢"),'第 9 天'!H70,0),IF(OR('第 9 天'!J$5="油錢"),'第 9 天'!J70,0),IF(OR('第 9 天'!L$5="油錢"),'第 9 天'!L70,0),IF(OR('第 9 天'!N$5="油錢"),'第 9 天'!N70,0),IF(OR('第 9 天'!P$5="油錢"),'第 9 天'!P70,0))</f>
        <v>0</v>
      </c>
      <c r="E260" s="14" t="n">
        <f aca="false">SUM(IF(OR('第 9 天'!D$5="租車費"),'第 9 天'!D70,0),IF(OR('第 9 天'!F$5="租車費"),'第 9 天'!F70,0),IF(OR('第 9 天'!H$5="租車費"),'第 9 天'!H70,0),IF(OR('第 9 天'!J$5="租車費"),'第 9 天'!J70,0),IF(OR('第 9 天'!L$5="租車費"),'第 9 天'!L70,0),IF(OR('第 9 天'!N$5="租車費"),'第 9 天'!N70,0),IF(OR('第 9 天'!P$5="租車費"),'第 9 天'!P70,0))</f>
        <v>0</v>
      </c>
      <c r="F260" s="14" t="n">
        <f aca="false">SUM(IF(OR('第 9 天'!D$5="停車費",'第 9 天'!D$5="其他"),'第 9 天'!D70,0),IF(OR('第 9 天'!F$5="停車費",'第 9 天'!F$5="其他"),'第 9 天'!F70,0),IF(OR('第 9 天'!H$5="停車費",'第 9 天'!H$5="其他"),'第 9 天'!H70,0),IF(OR('第 9 天'!J$5="停車費",'第 9 天'!J$5="其他"),'第 9 天'!J70,0),IF(OR('第 9 天'!L$5="停車費",'第 9 天'!L$5="其他"),'第 9 天'!L70,0),IF(OR('第 9 天'!N$5="停車費",'第 9 天'!N$5="其他"),'第 9 天'!N70,0),IF(OR('第 9 天'!P$5="停車費",'第 9 天'!P$5="其他"),'第 9 天'!P70,0))</f>
        <v>0</v>
      </c>
      <c r="G260" s="14" t="n">
        <f aca="false">SUM(C260:F260)</f>
        <v>0</v>
      </c>
      <c r="H260" s="14" t="n">
        <f aca="false">IF(LEN(TRIM(成員名單!$B23))=0,0,SUM(IF('第 9 天'!D$7=$B260,'第 9 天'!D46,0),IF('第 9 天'!F$7=$B260,'第 9 天'!F46,0),IF('第 9 天'!H$7=$B260,'第 9 天'!H46,0),IF('第 9 天'!J$7=$B260,'第 9 天'!J46,0),IF('第 9 天'!L$7=$B260,'第 9 天'!L46,0),IF('第 9 天'!N$7=$B260,'第 9 天'!N46,0),IF('第 9 天'!P$7=$B260,'第 9 天'!P46,0)))</f>
        <v>0</v>
      </c>
    </row>
    <row r="261" customFormat="false" ht="15" hidden="false" customHeight="false" outlineLevel="0" collapsed="false">
      <c r="A261" s="13" t="s">
        <v>152</v>
      </c>
      <c r="B261" s="13" t="s">
        <v>37</v>
      </c>
      <c r="C261" s="14" t="n">
        <f aca="false">SUM(IF(OR('第 9 天'!D$5="早餐",'第 9 天'!D$5="午餐",'第 9 天'!D$5="晚餐"),'第 9 天'!D71,0),IF(OR('第 9 天'!F$5="早餐",'第 9 天'!F$5="午餐",'第 9 天'!F$5="晚餐"),'第 9 天'!F71,0),IF(OR('第 9 天'!H$5="早餐",'第 9 天'!H$5="午餐",'第 9 天'!H$5="晚餐"),'第 9 天'!H71,0),IF(OR('第 9 天'!J$5="早餐",'第 9 天'!J$5="午餐",'第 9 天'!J$5="晚餐"),'第 9 天'!J71,0),IF(OR('第 9 天'!L$5="早餐",'第 9 天'!L$5="午餐",'第 9 天'!L$5="晚餐"),'第 9 天'!L71,0),IF(OR('第 9 天'!N$5="早餐",'第 9 天'!N$5="午餐",'第 9 天'!N$5="晚餐"),'第 9 天'!N71,0),IF(OR('第 9 天'!P$5="早餐",'第 9 天'!P$5="午餐",'第 9 天'!P$5="晚餐"),'第 9 天'!P71,0))</f>
        <v>0</v>
      </c>
      <c r="D261" s="14" t="n">
        <f aca="false">SUM(IF(OR('第 9 天'!D$5="油錢"),'第 9 天'!D71,0),IF(OR('第 9 天'!F$5="油錢"),'第 9 天'!F71,0),IF(OR('第 9 天'!H$5="油錢"),'第 9 天'!H71,0),IF(OR('第 9 天'!J$5="油錢"),'第 9 天'!J71,0),IF(OR('第 9 天'!L$5="油錢"),'第 9 天'!L71,0),IF(OR('第 9 天'!N$5="油錢"),'第 9 天'!N71,0),IF(OR('第 9 天'!P$5="油錢"),'第 9 天'!P71,0))</f>
        <v>0</v>
      </c>
      <c r="E261" s="14" t="n">
        <f aca="false">SUM(IF(OR('第 9 天'!D$5="租車費"),'第 9 天'!D71,0),IF(OR('第 9 天'!F$5="租車費"),'第 9 天'!F71,0),IF(OR('第 9 天'!H$5="租車費"),'第 9 天'!H71,0),IF(OR('第 9 天'!J$5="租車費"),'第 9 天'!J71,0),IF(OR('第 9 天'!L$5="租車費"),'第 9 天'!L71,0),IF(OR('第 9 天'!N$5="租車費"),'第 9 天'!N71,0),IF(OR('第 9 天'!P$5="租車費"),'第 9 天'!P71,0))</f>
        <v>0</v>
      </c>
      <c r="F261" s="14" t="n">
        <f aca="false">SUM(IF(OR('第 9 天'!D$5="停車費",'第 9 天'!D$5="其他"),'第 9 天'!D71,0),IF(OR('第 9 天'!F$5="停車費",'第 9 天'!F$5="其他"),'第 9 天'!F71,0),IF(OR('第 9 天'!H$5="停車費",'第 9 天'!H$5="其他"),'第 9 天'!H71,0),IF(OR('第 9 天'!J$5="停車費",'第 9 天'!J$5="其他"),'第 9 天'!J71,0),IF(OR('第 9 天'!L$5="停車費",'第 9 天'!L$5="其他"),'第 9 天'!L71,0),IF(OR('第 9 天'!N$5="停車費",'第 9 天'!N$5="其他"),'第 9 天'!N71,0),IF(OR('第 9 天'!P$5="停車費",'第 9 天'!P$5="其他"),'第 9 天'!P71,0))</f>
        <v>0</v>
      </c>
      <c r="G261" s="14" t="n">
        <f aca="false">SUM(C261:F261)</f>
        <v>0</v>
      </c>
      <c r="H261" s="14" t="n">
        <f aca="false">IF(LEN(TRIM(成員名單!$B24))=0,0,SUM(IF('第 9 天'!D$7=$B261,'第 9 天'!D46,0),IF('第 9 天'!F$7=$B261,'第 9 天'!F46,0),IF('第 9 天'!H$7=$B261,'第 9 天'!H46,0),IF('第 9 天'!J$7=$B261,'第 9 天'!J46,0),IF('第 9 天'!L$7=$B261,'第 9 天'!L46,0),IF('第 9 天'!N$7=$B261,'第 9 天'!N46,0),IF('第 9 天'!P$7=$B261,'第 9 天'!P46,0)))</f>
        <v>0</v>
      </c>
    </row>
    <row r="262" customFormat="false" ht="15" hidden="false" customHeight="false" outlineLevel="0" collapsed="false">
      <c r="A262" s="13" t="s">
        <v>152</v>
      </c>
      <c r="B262" s="13" t="s">
        <v>38</v>
      </c>
      <c r="C262" s="14" t="n">
        <f aca="false">SUM(IF(OR('第 9 天'!D$5="早餐",'第 9 天'!D$5="午餐",'第 9 天'!D$5="晚餐"),'第 9 天'!D72,0),IF(OR('第 9 天'!F$5="早餐",'第 9 天'!F$5="午餐",'第 9 天'!F$5="晚餐"),'第 9 天'!F72,0),IF(OR('第 9 天'!H$5="早餐",'第 9 天'!H$5="午餐",'第 9 天'!H$5="晚餐"),'第 9 天'!H72,0),IF(OR('第 9 天'!J$5="早餐",'第 9 天'!J$5="午餐",'第 9 天'!J$5="晚餐"),'第 9 天'!J72,0),IF(OR('第 9 天'!L$5="早餐",'第 9 天'!L$5="午餐",'第 9 天'!L$5="晚餐"),'第 9 天'!L72,0),IF(OR('第 9 天'!N$5="早餐",'第 9 天'!N$5="午餐",'第 9 天'!N$5="晚餐"),'第 9 天'!N72,0),IF(OR('第 9 天'!P$5="早餐",'第 9 天'!P$5="午餐",'第 9 天'!P$5="晚餐"),'第 9 天'!P72,0))</f>
        <v>0</v>
      </c>
      <c r="D262" s="14" t="n">
        <f aca="false">SUM(IF(OR('第 9 天'!D$5="油錢"),'第 9 天'!D72,0),IF(OR('第 9 天'!F$5="油錢"),'第 9 天'!F72,0),IF(OR('第 9 天'!H$5="油錢"),'第 9 天'!H72,0),IF(OR('第 9 天'!J$5="油錢"),'第 9 天'!J72,0),IF(OR('第 9 天'!L$5="油錢"),'第 9 天'!L72,0),IF(OR('第 9 天'!N$5="油錢"),'第 9 天'!N72,0),IF(OR('第 9 天'!P$5="油錢"),'第 9 天'!P72,0))</f>
        <v>0</v>
      </c>
      <c r="E262" s="14" t="n">
        <f aca="false">SUM(IF(OR('第 9 天'!D$5="租車費"),'第 9 天'!D72,0),IF(OR('第 9 天'!F$5="租車費"),'第 9 天'!F72,0),IF(OR('第 9 天'!H$5="租車費"),'第 9 天'!H72,0),IF(OR('第 9 天'!J$5="租車費"),'第 9 天'!J72,0),IF(OR('第 9 天'!L$5="租車費"),'第 9 天'!L72,0),IF(OR('第 9 天'!N$5="租車費"),'第 9 天'!N72,0),IF(OR('第 9 天'!P$5="租車費"),'第 9 天'!P72,0))</f>
        <v>0</v>
      </c>
      <c r="F262" s="14" t="n">
        <f aca="false">SUM(IF(OR('第 9 天'!D$5="停車費",'第 9 天'!D$5="其他"),'第 9 天'!D72,0),IF(OR('第 9 天'!F$5="停車費",'第 9 天'!F$5="其他"),'第 9 天'!F72,0),IF(OR('第 9 天'!H$5="停車費",'第 9 天'!H$5="其他"),'第 9 天'!H72,0),IF(OR('第 9 天'!J$5="停車費",'第 9 天'!J$5="其他"),'第 9 天'!J72,0),IF(OR('第 9 天'!L$5="停車費",'第 9 天'!L$5="其他"),'第 9 天'!L72,0),IF(OR('第 9 天'!N$5="停車費",'第 9 天'!N$5="其他"),'第 9 天'!N72,0),IF(OR('第 9 天'!P$5="停車費",'第 9 天'!P$5="其他"),'第 9 天'!P72,0))</f>
        <v>0</v>
      </c>
      <c r="G262" s="14" t="n">
        <f aca="false">SUM(C262:F262)</f>
        <v>0</v>
      </c>
      <c r="H262" s="14" t="n">
        <f aca="false">IF(LEN(TRIM(成員名單!$B25))=0,0,SUM(IF('第 9 天'!D$7=$B262,'第 9 天'!D46,0),IF('第 9 天'!F$7=$B262,'第 9 天'!F46,0),IF('第 9 天'!H$7=$B262,'第 9 天'!H46,0),IF('第 9 天'!J$7=$B262,'第 9 天'!J46,0),IF('第 9 天'!L$7=$B262,'第 9 天'!L46,0),IF('第 9 天'!N$7=$B262,'第 9 天'!N46,0),IF('第 9 天'!P$7=$B262,'第 9 天'!P46,0)))</f>
        <v>0</v>
      </c>
    </row>
    <row r="263" customFormat="false" ht="15" hidden="false" customHeight="false" outlineLevel="0" collapsed="false">
      <c r="A263" s="13" t="s">
        <v>152</v>
      </c>
      <c r="B263" s="13" t="s">
        <v>39</v>
      </c>
      <c r="C263" s="14" t="n">
        <f aca="false">SUM(IF(OR('第 9 天'!D$5="早餐",'第 9 天'!D$5="午餐",'第 9 天'!D$5="晚餐"),'第 9 天'!D73,0),IF(OR('第 9 天'!F$5="早餐",'第 9 天'!F$5="午餐",'第 9 天'!F$5="晚餐"),'第 9 天'!F73,0),IF(OR('第 9 天'!H$5="早餐",'第 9 天'!H$5="午餐",'第 9 天'!H$5="晚餐"),'第 9 天'!H73,0),IF(OR('第 9 天'!J$5="早餐",'第 9 天'!J$5="午餐",'第 9 天'!J$5="晚餐"),'第 9 天'!J73,0),IF(OR('第 9 天'!L$5="早餐",'第 9 天'!L$5="午餐",'第 9 天'!L$5="晚餐"),'第 9 天'!L73,0),IF(OR('第 9 天'!N$5="早餐",'第 9 天'!N$5="午餐",'第 9 天'!N$5="晚餐"),'第 9 天'!N73,0),IF(OR('第 9 天'!P$5="早餐",'第 9 天'!P$5="午餐",'第 9 天'!P$5="晚餐"),'第 9 天'!P73,0))</f>
        <v>0</v>
      </c>
      <c r="D263" s="14" t="n">
        <f aca="false">SUM(IF(OR('第 9 天'!D$5="油錢"),'第 9 天'!D73,0),IF(OR('第 9 天'!F$5="油錢"),'第 9 天'!F73,0),IF(OR('第 9 天'!H$5="油錢"),'第 9 天'!H73,0),IF(OR('第 9 天'!J$5="油錢"),'第 9 天'!J73,0),IF(OR('第 9 天'!L$5="油錢"),'第 9 天'!L73,0),IF(OR('第 9 天'!N$5="油錢"),'第 9 天'!N73,0),IF(OR('第 9 天'!P$5="油錢"),'第 9 天'!P73,0))</f>
        <v>0</v>
      </c>
      <c r="E263" s="14" t="n">
        <f aca="false">SUM(IF(OR('第 9 天'!D$5="租車費"),'第 9 天'!D73,0),IF(OR('第 9 天'!F$5="租車費"),'第 9 天'!F73,0),IF(OR('第 9 天'!H$5="租車費"),'第 9 天'!H73,0),IF(OR('第 9 天'!J$5="租車費"),'第 9 天'!J73,0),IF(OR('第 9 天'!L$5="租車費"),'第 9 天'!L73,0),IF(OR('第 9 天'!N$5="租車費"),'第 9 天'!N73,0),IF(OR('第 9 天'!P$5="租車費"),'第 9 天'!P73,0))</f>
        <v>0</v>
      </c>
      <c r="F263" s="14" t="n">
        <f aca="false">SUM(IF(OR('第 9 天'!D$5="停車費",'第 9 天'!D$5="其他"),'第 9 天'!D73,0),IF(OR('第 9 天'!F$5="停車費",'第 9 天'!F$5="其他"),'第 9 天'!F73,0),IF(OR('第 9 天'!H$5="停車費",'第 9 天'!H$5="其他"),'第 9 天'!H73,0),IF(OR('第 9 天'!J$5="停車費",'第 9 天'!J$5="其他"),'第 9 天'!J73,0),IF(OR('第 9 天'!L$5="停車費",'第 9 天'!L$5="其他"),'第 9 天'!L73,0),IF(OR('第 9 天'!N$5="停車費",'第 9 天'!N$5="其他"),'第 9 天'!N73,0),IF(OR('第 9 天'!P$5="停車費",'第 9 天'!P$5="其他"),'第 9 天'!P73,0))</f>
        <v>0</v>
      </c>
      <c r="G263" s="14" t="n">
        <f aca="false">SUM(C263:F263)</f>
        <v>0</v>
      </c>
      <c r="H263" s="14" t="n">
        <f aca="false">IF(LEN(TRIM(成員名單!$B26))=0,0,SUM(IF('第 9 天'!D$7=$B263,'第 9 天'!D46,0),IF('第 9 天'!F$7=$B263,'第 9 天'!F46,0),IF('第 9 天'!H$7=$B263,'第 9 天'!H46,0),IF('第 9 天'!J$7=$B263,'第 9 天'!J46,0),IF('第 9 天'!L$7=$B263,'第 9 天'!L46,0),IF('第 9 天'!N$7=$B263,'第 9 天'!N46,0),IF('第 9 天'!P$7=$B263,'第 9 天'!P46,0)))</f>
        <v>0</v>
      </c>
    </row>
    <row r="264" customFormat="false" ht="15" hidden="false" customHeight="false" outlineLevel="0" collapsed="false">
      <c r="A264" s="13" t="s">
        <v>152</v>
      </c>
      <c r="B264" s="13" t="s">
        <v>40</v>
      </c>
      <c r="C264" s="14" t="n">
        <f aca="false">SUM(IF(OR('第 9 天'!D$5="早餐",'第 9 天'!D$5="午餐",'第 9 天'!D$5="晚餐"),'第 9 天'!D74,0),IF(OR('第 9 天'!F$5="早餐",'第 9 天'!F$5="午餐",'第 9 天'!F$5="晚餐"),'第 9 天'!F74,0),IF(OR('第 9 天'!H$5="早餐",'第 9 天'!H$5="午餐",'第 9 天'!H$5="晚餐"),'第 9 天'!H74,0),IF(OR('第 9 天'!J$5="早餐",'第 9 天'!J$5="午餐",'第 9 天'!J$5="晚餐"),'第 9 天'!J74,0),IF(OR('第 9 天'!L$5="早餐",'第 9 天'!L$5="午餐",'第 9 天'!L$5="晚餐"),'第 9 天'!L74,0),IF(OR('第 9 天'!N$5="早餐",'第 9 天'!N$5="午餐",'第 9 天'!N$5="晚餐"),'第 9 天'!N74,0),IF(OR('第 9 天'!P$5="早餐",'第 9 天'!P$5="午餐",'第 9 天'!P$5="晚餐"),'第 9 天'!P74,0))</f>
        <v>0</v>
      </c>
      <c r="D264" s="14" t="n">
        <f aca="false">SUM(IF(OR('第 9 天'!D$5="油錢"),'第 9 天'!D74,0),IF(OR('第 9 天'!F$5="油錢"),'第 9 天'!F74,0),IF(OR('第 9 天'!H$5="油錢"),'第 9 天'!H74,0),IF(OR('第 9 天'!J$5="油錢"),'第 9 天'!J74,0),IF(OR('第 9 天'!L$5="油錢"),'第 9 天'!L74,0),IF(OR('第 9 天'!N$5="油錢"),'第 9 天'!N74,0),IF(OR('第 9 天'!P$5="油錢"),'第 9 天'!P74,0))</f>
        <v>0</v>
      </c>
      <c r="E264" s="14" t="n">
        <f aca="false">SUM(IF(OR('第 9 天'!D$5="租車費"),'第 9 天'!D74,0),IF(OR('第 9 天'!F$5="租車費"),'第 9 天'!F74,0),IF(OR('第 9 天'!H$5="租車費"),'第 9 天'!H74,0),IF(OR('第 9 天'!J$5="租車費"),'第 9 天'!J74,0),IF(OR('第 9 天'!L$5="租車費"),'第 9 天'!L74,0),IF(OR('第 9 天'!N$5="租車費"),'第 9 天'!N74,0),IF(OR('第 9 天'!P$5="租車費"),'第 9 天'!P74,0))</f>
        <v>0</v>
      </c>
      <c r="F264" s="14" t="n">
        <f aca="false">SUM(IF(OR('第 9 天'!D$5="停車費",'第 9 天'!D$5="其他"),'第 9 天'!D74,0),IF(OR('第 9 天'!F$5="停車費",'第 9 天'!F$5="其他"),'第 9 天'!F74,0),IF(OR('第 9 天'!H$5="停車費",'第 9 天'!H$5="其他"),'第 9 天'!H74,0),IF(OR('第 9 天'!J$5="停車費",'第 9 天'!J$5="其他"),'第 9 天'!J74,0),IF(OR('第 9 天'!L$5="停車費",'第 9 天'!L$5="其他"),'第 9 天'!L74,0),IF(OR('第 9 天'!N$5="停車費",'第 9 天'!N$5="其他"),'第 9 天'!N74,0),IF(OR('第 9 天'!P$5="停車費",'第 9 天'!P$5="其他"),'第 9 天'!P74,0))</f>
        <v>0</v>
      </c>
      <c r="G264" s="14" t="n">
        <f aca="false">SUM(C264:F264)</f>
        <v>0</v>
      </c>
      <c r="H264" s="14" t="n">
        <f aca="false">IF(LEN(TRIM(成員名單!$B27))=0,0,SUM(IF('第 9 天'!D$7=$B264,'第 9 天'!D46,0),IF('第 9 天'!F$7=$B264,'第 9 天'!F46,0),IF('第 9 天'!H$7=$B264,'第 9 天'!H46,0),IF('第 9 天'!J$7=$B264,'第 9 天'!J46,0),IF('第 9 天'!L$7=$B264,'第 9 天'!L46,0),IF('第 9 天'!N$7=$B264,'第 9 天'!N46,0),IF('第 9 天'!P$7=$B264,'第 9 天'!P46,0)))</f>
        <v>0</v>
      </c>
    </row>
    <row r="265" customFormat="false" ht="15" hidden="false" customHeight="false" outlineLevel="0" collapsed="false">
      <c r="A265" s="13" t="s">
        <v>152</v>
      </c>
      <c r="B265" s="13" t="s">
        <v>41</v>
      </c>
      <c r="C265" s="14" t="n">
        <f aca="false">SUM(IF(OR('第 9 天'!D$5="早餐",'第 9 天'!D$5="午餐",'第 9 天'!D$5="晚餐"),'第 9 天'!D75,0),IF(OR('第 9 天'!F$5="早餐",'第 9 天'!F$5="午餐",'第 9 天'!F$5="晚餐"),'第 9 天'!F75,0),IF(OR('第 9 天'!H$5="早餐",'第 9 天'!H$5="午餐",'第 9 天'!H$5="晚餐"),'第 9 天'!H75,0),IF(OR('第 9 天'!J$5="早餐",'第 9 天'!J$5="午餐",'第 9 天'!J$5="晚餐"),'第 9 天'!J75,0),IF(OR('第 9 天'!L$5="早餐",'第 9 天'!L$5="午餐",'第 9 天'!L$5="晚餐"),'第 9 天'!L75,0),IF(OR('第 9 天'!N$5="早餐",'第 9 天'!N$5="午餐",'第 9 天'!N$5="晚餐"),'第 9 天'!N75,0),IF(OR('第 9 天'!P$5="早餐",'第 9 天'!P$5="午餐",'第 9 天'!P$5="晚餐"),'第 9 天'!P75,0))</f>
        <v>0</v>
      </c>
      <c r="D265" s="14" t="n">
        <f aca="false">SUM(IF(OR('第 9 天'!D$5="油錢"),'第 9 天'!D75,0),IF(OR('第 9 天'!F$5="油錢"),'第 9 天'!F75,0),IF(OR('第 9 天'!H$5="油錢"),'第 9 天'!H75,0),IF(OR('第 9 天'!J$5="油錢"),'第 9 天'!J75,0),IF(OR('第 9 天'!L$5="油錢"),'第 9 天'!L75,0),IF(OR('第 9 天'!N$5="油錢"),'第 9 天'!N75,0),IF(OR('第 9 天'!P$5="油錢"),'第 9 天'!P75,0))</f>
        <v>0</v>
      </c>
      <c r="E265" s="14" t="n">
        <f aca="false">SUM(IF(OR('第 9 天'!D$5="租車費"),'第 9 天'!D75,0),IF(OR('第 9 天'!F$5="租車費"),'第 9 天'!F75,0),IF(OR('第 9 天'!H$5="租車費"),'第 9 天'!H75,0),IF(OR('第 9 天'!J$5="租車費"),'第 9 天'!J75,0),IF(OR('第 9 天'!L$5="租車費"),'第 9 天'!L75,0),IF(OR('第 9 天'!N$5="租車費"),'第 9 天'!N75,0),IF(OR('第 9 天'!P$5="租車費"),'第 9 天'!P75,0))</f>
        <v>0</v>
      </c>
      <c r="F265" s="14" t="n">
        <f aca="false">SUM(IF(OR('第 9 天'!D$5="停車費",'第 9 天'!D$5="其他"),'第 9 天'!D75,0),IF(OR('第 9 天'!F$5="停車費",'第 9 天'!F$5="其他"),'第 9 天'!F75,0),IF(OR('第 9 天'!H$5="停車費",'第 9 天'!H$5="其他"),'第 9 天'!H75,0),IF(OR('第 9 天'!J$5="停車費",'第 9 天'!J$5="其他"),'第 9 天'!J75,0),IF(OR('第 9 天'!L$5="停車費",'第 9 天'!L$5="其他"),'第 9 天'!L75,0),IF(OR('第 9 天'!N$5="停車費",'第 9 天'!N$5="其他"),'第 9 天'!N75,0),IF(OR('第 9 天'!P$5="停車費",'第 9 天'!P$5="其他"),'第 9 天'!P75,0))</f>
        <v>0</v>
      </c>
      <c r="G265" s="14" t="n">
        <f aca="false">SUM(C265:F265)</f>
        <v>0</v>
      </c>
      <c r="H265" s="14" t="n">
        <f aca="false">IF(LEN(TRIM(成員名單!$B28))=0,0,SUM(IF('第 9 天'!D$7=$B265,'第 9 天'!D46,0),IF('第 9 天'!F$7=$B265,'第 9 天'!F46,0),IF('第 9 天'!H$7=$B265,'第 9 天'!H46,0),IF('第 9 天'!J$7=$B265,'第 9 天'!J46,0),IF('第 9 天'!L$7=$B265,'第 9 天'!L46,0),IF('第 9 天'!N$7=$B265,'第 9 天'!N46,0),IF('第 9 天'!P$7=$B265,'第 9 天'!P46,0)))</f>
        <v>0</v>
      </c>
    </row>
    <row r="266" customFormat="false" ht="15" hidden="false" customHeight="false" outlineLevel="0" collapsed="false">
      <c r="A266" s="13" t="s">
        <v>152</v>
      </c>
      <c r="B266" s="13" t="s">
        <v>42</v>
      </c>
      <c r="C266" s="14" t="n">
        <f aca="false">SUM(IF(OR('第 9 天'!D$5="早餐",'第 9 天'!D$5="午餐",'第 9 天'!D$5="晚餐"),'第 9 天'!D76,0),IF(OR('第 9 天'!F$5="早餐",'第 9 天'!F$5="午餐",'第 9 天'!F$5="晚餐"),'第 9 天'!F76,0),IF(OR('第 9 天'!H$5="早餐",'第 9 天'!H$5="午餐",'第 9 天'!H$5="晚餐"),'第 9 天'!H76,0),IF(OR('第 9 天'!J$5="早餐",'第 9 天'!J$5="午餐",'第 9 天'!J$5="晚餐"),'第 9 天'!J76,0),IF(OR('第 9 天'!L$5="早餐",'第 9 天'!L$5="午餐",'第 9 天'!L$5="晚餐"),'第 9 天'!L76,0),IF(OR('第 9 天'!N$5="早餐",'第 9 天'!N$5="午餐",'第 9 天'!N$5="晚餐"),'第 9 天'!N76,0),IF(OR('第 9 天'!P$5="早餐",'第 9 天'!P$5="午餐",'第 9 天'!P$5="晚餐"),'第 9 天'!P76,0))</f>
        <v>0</v>
      </c>
      <c r="D266" s="14" t="n">
        <f aca="false">SUM(IF(OR('第 9 天'!D$5="油錢"),'第 9 天'!D76,0),IF(OR('第 9 天'!F$5="油錢"),'第 9 天'!F76,0),IF(OR('第 9 天'!H$5="油錢"),'第 9 天'!H76,0),IF(OR('第 9 天'!J$5="油錢"),'第 9 天'!J76,0),IF(OR('第 9 天'!L$5="油錢"),'第 9 天'!L76,0),IF(OR('第 9 天'!N$5="油錢"),'第 9 天'!N76,0),IF(OR('第 9 天'!P$5="油錢"),'第 9 天'!P76,0))</f>
        <v>0</v>
      </c>
      <c r="E266" s="14" t="n">
        <f aca="false">SUM(IF(OR('第 9 天'!D$5="租車費"),'第 9 天'!D76,0),IF(OR('第 9 天'!F$5="租車費"),'第 9 天'!F76,0),IF(OR('第 9 天'!H$5="租車費"),'第 9 天'!H76,0),IF(OR('第 9 天'!J$5="租車費"),'第 9 天'!J76,0),IF(OR('第 9 天'!L$5="租車費"),'第 9 天'!L76,0),IF(OR('第 9 天'!N$5="租車費"),'第 9 天'!N76,0),IF(OR('第 9 天'!P$5="租車費"),'第 9 天'!P76,0))</f>
        <v>0</v>
      </c>
      <c r="F266" s="14" t="n">
        <f aca="false">SUM(IF(OR('第 9 天'!D$5="停車費",'第 9 天'!D$5="其他"),'第 9 天'!D76,0),IF(OR('第 9 天'!F$5="停車費",'第 9 天'!F$5="其他"),'第 9 天'!F76,0),IF(OR('第 9 天'!H$5="停車費",'第 9 天'!H$5="其他"),'第 9 天'!H76,0),IF(OR('第 9 天'!J$5="停車費",'第 9 天'!J$5="其他"),'第 9 天'!J76,0),IF(OR('第 9 天'!L$5="停車費",'第 9 天'!L$5="其他"),'第 9 天'!L76,0),IF(OR('第 9 天'!N$5="停車費",'第 9 天'!N$5="其他"),'第 9 天'!N76,0),IF(OR('第 9 天'!P$5="停車費",'第 9 天'!P$5="其他"),'第 9 天'!P76,0))</f>
        <v>0</v>
      </c>
      <c r="G266" s="14" t="n">
        <f aca="false">SUM(C266:F266)</f>
        <v>0</v>
      </c>
      <c r="H266" s="14" t="n">
        <f aca="false">IF(LEN(TRIM(成員名單!$B29))=0,0,SUM(IF('第 9 天'!D$7=$B266,'第 9 天'!D46,0),IF('第 9 天'!F$7=$B266,'第 9 天'!F46,0),IF('第 9 天'!H$7=$B266,'第 9 天'!H46,0),IF('第 9 天'!J$7=$B266,'第 9 天'!J46,0),IF('第 9 天'!L$7=$B266,'第 9 天'!L46,0),IF('第 9 天'!N$7=$B266,'第 9 天'!N46,0),IF('第 9 天'!P$7=$B266,'第 9 天'!P46,0)))</f>
        <v>0</v>
      </c>
    </row>
    <row r="267" customFormat="false" ht="15" hidden="false" customHeight="false" outlineLevel="0" collapsed="false">
      <c r="A267" s="13" t="s">
        <v>152</v>
      </c>
      <c r="B267" s="13" t="s">
        <v>43</v>
      </c>
      <c r="C267" s="14" t="n">
        <f aca="false">SUM(IF(OR('第 9 天'!D$5="早餐",'第 9 天'!D$5="午餐",'第 9 天'!D$5="晚餐"),'第 9 天'!D77,0),IF(OR('第 9 天'!F$5="早餐",'第 9 天'!F$5="午餐",'第 9 天'!F$5="晚餐"),'第 9 天'!F77,0),IF(OR('第 9 天'!H$5="早餐",'第 9 天'!H$5="午餐",'第 9 天'!H$5="晚餐"),'第 9 天'!H77,0),IF(OR('第 9 天'!J$5="早餐",'第 9 天'!J$5="午餐",'第 9 天'!J$5="晚餐"),'第 9 天'!J77,0),IF(OR('第 9 天'!L$5="早餐",'第 9 天'!L$5="午餐",'第 9 天'!L$5="晚餐"),'第 9 天'!L77,0),IF(OR('第 9 天'!N$5="早餐",'第 9 天'!N$5="午餐",'第 9 天'!N$5="晚餐"),'第 9 天'!N77,0),IF(OR('第 9 天'!P$5="早餐",'第 9 天'!P$5="午餐",'第 9 天'!P$5="晚餐"),'第 9 天'!P77,0))</f>
        <v>0</v>
      </c>
      <c r="D267" s="14" t="n">
        <f aca="false">SUM(IF(OR('第 9 天'!D$5="油錢"),'第 9 天'!D77,0),IF(OR('第 9 天'!F$5="油錢"),'第 9 天'!F77,0),IF(OR('第 9 天'!H$5="油錢"),'第 9 天'!H77,0),IF(OR('第 9 天'!J$5="油錢"),'第 9 天'!J77,0),IF(OR('第 9 天'!L$5="油錢"),'第 9 天'!L77,0),IF(OR('第 9 天'!N$5="油錢"),'第 9 天'!N77,0),IF(OR('第 9 天'!P$5="油錢"),'第 9 天'!P77,0))</f>
        <v>0</v>
      </c>
      <c r="E267" s="14" t="n">
        <f aca="false">SUM(IF(OR('第 9 天'!D$5="租車費"),'第 9 天'!D77,0),IF(OR('第 9 天'!F$5="租車費"),'第 9 天'!F77,0),IF(OR('第 9 天'!H$5="租車費"),'第 9 天'!H77,0),IF(OR('第 9 天'!J$5="租車費"),'第 9 天'!J77,0),IF(OR('第 9 天'!L$5="租車費"),'第 9 天'!L77,0),IF(OR('第 9 天'!N$5="租車費"),'第 9 天'!N77,0),IF(OR('第 9 天'!P$5="租車費"),'第 9 天'!P77,0))</f>
        <v>0</v>
      </c>
      <c r="F267" s="14" t="n">
        <f aca="false">SUM(IF(OR('第 9 天'!D$5="停車費",'第 9 天'!D$5="其他"),'第 9 天'!D77,0),IF(OR('第 9 天'!F$5="停車費",'第 9 天'!F$5="其他"),'第 9 天'!F77,0),IF(OR('第 9 天'!H$5="停車費",'第 9 天'!H$5="其他"),'第 9 天'!H77,0),IF(OR('第 9 天'!J$5="停車費",'第 9 天'!J$5="其他"),'第 9 天'!J77,0),IF(OR('第 9 天'!L$5="停車費",'第 9 天'!L$5="其他"),'第 9 天'!L77,0),IF(OR('第 9 天'!N$5="停車費",'第 9 天'!N$5="其他"),'第 9 天'!N77,0),IF(OR('第 9 天'!P$5="停車費",'第 9 天'!P$5="其他"),'第 9 天'!P77,0))</f>
        <v>0</v>
      </c>
      <c r="G267" s="14" t="n">
        <f aca="false">SUM(C267:F267)</f>
        <v>0</v>
      </c>
      <c r="H267" s="14" t="n">
        <f aca="false">IF(LEN(TRIM(成員名單!$B30))=0,0,SUM(IF('第 9 天'!D$7=$B267,'第 9 天'!D46,0),IF('第 9 天'!F$7=$B267,'第 9 天'!F46,0),IF('第 9 天'!H$7=$B267,'第 9 天'!H46,0),IF('第 9 天'!J$7=$B267,'第 9 天'!J46,0),IF('第 9 天'!L$7=$B267,'第 9 天'!L46,0),IF('第 9 天'!N$7=$B267,'第 9 天'!N46,0),IF('第 9 天'!P$7=$B267,'第 9 天'!P46,0)))</f>
        <v>0</v>
      </c>
    </row>
    <row r="268" customFormat="false" ht="15" hidden="false" customHeight="false" outlineLevel="0" collapsed="false">
      <c r="A268" s="13" t="s">
        <v>152</v>
      </c>
      <c r="B268" s="13" t="s">
        <v>44</v>
      </c>
      <c r="C268" s="14" t="n">
        <f aca="false">SUM(IF(OR('第 9 天'!D$5="早餐",'第 9 天'!D$5="午餐",'第 9 天'!D$5="晚餐"),'第 9 天'!D78,0),IF(OR('第 9 天'!F$5="早餐",'第 9 天'!F$5="午餐",'第 9 天'!F$5="晚餐"),'第 9 天'!F78,0),IF(OR('第 9 天'!H$5="早餐",'第 9 天'!H$5="午餐",'第 9 天'!H$5="晚餐"),'第 9 天'!H78,0),IF(OR('第 9 天'!J$5="早餐",'第 9 天'!J$5="午餐",'第 9 天'!J$5="晚餐"),'第 9 天'!J78,0),IF(OR('第 9 天'!L$5="早餐",'第 9 天'!L$5="午餐",'第 9 天'!L$5="晚餐"),'第 9 天'!L78,0),IF(OR('第 9 天'!N$5="早餐",'第 9 天'!N$5="午餐",'第 9 天'!N$5="晚餐"),'第 9 天'!N78,0),IF(OR('第 9 天'!P$5="早餐",'第 9 天'!P$5="午餐",'第 9 天'!P$5="晚餐"),'第 9 天'!P78,0))</f>
        <v>0</v>
      </c>
      <c r="D268" s="14" t="n">
        <f aca="false">SUM(IF(OR('第 9 天'!D$5="油錢"),'第 9 天'!D78,0),IF(OR('第 9 天'!F$5="油錢"),'第 9 天'!F78,0),IF(OR('第 9 天'!H$5="油錢"),'第 9 天'!H78,0),IF(OR('第 9 天'!J$5="油錢"),'第 9 天'!J78,0),IF(OR('第 9 天'!L$5="油錢"),'第 9 天'!L78,0),IF(OR('第 9 天'!N$5="油錢"),'第 9 天'!N78,0),IF(OR('第 9 天'!P$5="油錢"),'第 9 天'!P78,0))</f>
        <v>0</v>
      </c>
      <c r="E268" s="14" t="n">
        <f aca="false">SUM(IF(OR('第 9 天'!D$5="租車費"),'第 9 天'!D78,0),IF(OR('第 9 天'!F$5="租車費"),'第 9 天'!F78,0),IF(OR('第 9 天'!H$5="租車費"),'第 9 天'!H78,0),IF(OR('第 9 天'!J$5="租車費"),'第 9 天'!J78,0),IF(OR('第 9 天'!L$5="租車費"),'第 9 天'!L78,0),IF(OR('第 9 天'!N$5="租車費"),'第 9 天'!N78,0),IF(OR('第 9 天'!P$5="租車費"),'第 9 天'!P78,0))</f>
        <v>0</v>
      </c>
      <c r="F268" s="14" t="n">
        <f aca="false">SUM(IF(OR('第 9 天'!D$5="停車費",'第 9 天'!D$5="其他"),'第 9 天'!D78,0),IF(OR('第 9 天'!F$5="停車費",'第 9 天'!F$5="其他"),'第 9 天'!F78,0),IF(OR('第 9 天'!H$5="停車費",'第 9 天'!H$5="其他"),'第 9 天'!H78,0),IF(OR('第 9 天'!J$5="停車費",'第 9 天'!J$5="其他"),'第 9 天'!J78,0),IF(OR('第 9 天'!L$5="停車費",'第 9 天'!L$5="其他"),'第 9 天'!L78,0),IF(OR('第 9 天'!N$5="停車費",'第 9 天'!N$5="其他"),'第 9 天'!N78,0),IF(OR('第 9 天'!P$5="停車費",'第 9 天'!P$5="其他"),'第 9 天'!P78,0))</f>
        <v>0</v>
      </c>
      <c r="G268" s="14" t="n">
        <f aca="false">SUM(C268:F268)</f>
        <v>0</v>
      </c>
      <c r="H268" s="14" t="n">
        <f aca="false">IF(LEN(TRIM(成員名單!$B31))=0,0,SUM(IF('第 9 天'!D$7=$B268,'第 9 天'!D46,0),IF('第 9 天'!F$7=$B268,'第 9 天'!F46,0),IF('第 9 天'!H$7=$B268,'第 9 天'!H46,0),IF('第 9 天'!J$7=$B268,'第 9 天'!J46,0),IF('第 9 天'!L$7=$B268,'第 9 天'!L46,0),IF('第 9 天'!N$7=$B268,'第 9 天'!N46,0),IF('第 9 天'!P$7=$B268,'第 9 天'!P46,0)))</f>
        <v>0</v>
      </c>
    </row>
    <row r="269" customFormat="false" ht="15" hidden="false" customHeight="false" outlineLevel="0" collapsed="false">
      <c r="A269" s="13" t="s">
        <v>152</v>
      </c>
      <c r="B269" s="13" t="s">
        <v>45</v>
      </c>
      <c r="C269" s="14" t="n">
        <f aca="false">SUM(IF(OR('第 9 天'!D$5="早餐",'第 9 天'!D$5="午餐",'第 9 天'!D$5="晚餐"),'第 9 天'!D79,0),IF(OR('第 9 天'!F$5="早餐",'第 9 天'!F$5="午餐",'第 9 天'!F$5="晚餐"),'第 9 天'!F79,0),IF(OR('第 9 天'!H$5="早餐",'第 9 天'!H$5="午餐",'第 9 天'!H$5="晚餐"),'第 9 天'!H79,0),IF(OR('第 9 天'!J$5="早餐",'第 9 天'!J$5="午餐",'第 9 天'!J$5="晚餐"),'第 9 天'!J79,0),IF(OR('第 9 天'!L$5="早餐",'第 9 天'!L$5="午餐",'第 9 天'!L$5="晚餐"),'第 9 天'!L79,0),IF(OR('第 9 天'!N$5="早餐",'第 9 天'!N$5="午餐",'第 9 天'!N$5="晚餐"),'第 9 天'!N79,0),IF(OR('第 9 天'!P$5="早餐",'第 9 天'!P$5="午餐",'第 9 天'!P$5="晚餐"),'第 9 天'!P79,0))</f>
        <v>0</v>
      </c>
      <c r="D269" s="14" t="n">
        <f aca="false">SUM(IF(OR('第 9 天'!D$5="油錢"),'第 9 天'!D79,0),IF(OR('第 9 天'!F$5="油錢"),'第 9 天'!F79,0),IF(OR('第 9 天'!H$5="油錢"),'第 9 天'!H79,0),IF(OR('第 9 天'!J$5="油錢"),'第 9 天'!J79,0),IF(OR('第 9 天'!L$5="油錢"),'第 9 天'!L79,0),IF(OR('第 9 天'!N$5="油錢"),'第 9 天'!N79,0),IF(OR('第 9 天'!P$5="油錢"),'第 9 天'!P79,0))</f>
        <v>0</v>
      </c>
      <c r="E269" s="14" t="n">
        <f aca="false">SUM(IF(OR('第 9 天'!D$5="租車費"),'第 9 天'!D79,0),IF(OR('第 9 天'!F$5="租車費"),'第 9 天'!F79,0),IF(OR('第 9 天'!H$5="租車費"),'第 9 天'!H79,0),IF(OR('第 9 天'!J$5="租車費"),'第 9 天'!J79,0),IF(OR('第 9 天'!L$5="租車費"),'第 9 天'!L79,0),IF(OR('第 9 天'!N$5="租車費"),'第 9 天'!N79,0),IF(OR('第 9 天'!P$5="租車費"),'第 9 天'!P79,0))</f>
        <v>0</v>
      </c>
      <c r="F269" s="14" t="n">
        <f aca="false">SUM(IF(OR('第 9 天'!D$5="停車費",'第 9 天'!D$5="其他"),'第 9 天'!D79,0),IF(OR('第 9 天'!F$5="停車費",'第 9 天'!F$5="其他"),'第 9 天'!F79,0),IF(OR('第 9 天'!H$5="停車費",'第 9 天'!H$5="其他"),'第 9 天'!H79,0),IF(OR('第 9 天'!J$5="停車費",'第 9 天'!J$5="其他"),'第 9 天'!J79,0),IF(OR('第 9 天'!L$5="停車費",'第 9 天'!L$5="其他"),'第 9 天'!L79,0),IF(OR('第 9 天'!N$5="停車費",'第 9 天'!N$5="其他"),'第 9 天'!N79,0),IF(OR('第 9 天'!P$5="停車費",'第 9 天'!P$5="其他"),'第 9 天'!P79,0))</f>
        <v>0</v>
      </c>
      <c r="G269" s="14" t="n">
        <f aca="false">SUM(C269:F269)</f>
        <v>0</v>
      </c>
      <c r="H269" s="14" t="n">
        <f aca="false">IF(LEN(TRIM(成員名單!$B32))=0,0,SUM(IF('第 9 天'!D$7=$B269,'第 9 天'!D46,0),IF('第 9 天'!F$7=$B269,'第 9 天'!F46,0),IF('第 9 天'!H$7=$B269,'第 9 天'!H46,0),IF('第 9 天'!J$7=$B269,'第 9 天'!J46,0),IF('第 9 天'!L$7=$B269,'第 9 天'!L46,0),IF('第 9 天'!N$7=$B269,'第 9 天'!N46,0),IF('第 9 天'!P$7=$B269,'第 9 天'!P46,0)))</f>
        <v>0</v>
      </c>
    </row>
    <row r="270" customFormat="false" ht="15" hidden="false" customHeight="false" outlineLevel="0" collapsed="false">
      <c r="A270" s="13" t="s">
        <v>152</v>
      </c>
      <c r="B270" s="13" t="s">
        <v>46</v>
      </c>
      <c r="C270" s="14" t="n">
        <f aca="false">SUM(IF(OR('第 9 天'!D$5="早餐",'第 9 天'!D$5="午餐",'第 9 天'!D$5="晚餐"),'第 9 天'!D80,0),IF(OR('第 9 天'!F$5="早餐",'第 9 天'!F$5="午餐",'第 9 天'!F$5="晚餐"),'第 9 天'!F80,0),IF(OR('第 9 天'!H$5="早餐",'第 9 天'!H$5="午餐",'第 9 天'!H$5="晚餐"),'第 9 天'!H80,0),IF(OR('第 9 天'!J$5="早餐",'第 9 天'!J$5="午餐",'第 9 天'!J$5="晚餐"),'第 9 天'!J80,0),IF(OR('第 9 天'!L$5="早餐",'第 9 天'!L$5="午餐",'第 9 天'!L$5="晚餐"),'第 9 天'!L80,0),IF(OR('第 9 天'!N$5="早餐",'第 9 天'!N$5="午餐",'第 9 天'!N$5="晚餐"),'第 9 天'!N80,0),IF(OR('第 9 天'!P$5="早餐",'第 9 天'!P$5="午餐",'第 9 天'!P$5="晚餐"),'第 9 天'!P80,0))</f>
        <v>0</v>
      </c>
      <c r="D270" s="14" t="n">
        <f aca="false">SUM(IF(OR('第 9 天'!D$5="油錢"),'第 9 天'!D80,0),IF(OR('第 9 天'!F$5="油錢"),'第 9 天'!F80,0),IF(OR('第 9 天'!H$5="油錢"),'第 9 天'!H80,0),IF(OR('第 9 天'!J$5="油錢"),'第 9 天'!J80,0),IF(OR('第 9 天'!L$5="油錢"),'第 9 天'!L80,0),IF(OR('第 9 天'!N$5="油錢"),'第 9 天'!N80,0),IF(OR('第 9 天'!P$5="油錢"),'第 9 天'!P80,0))</f>
        <v>0</v>
      </c>
      <c r="E270" s="14" t="n">
        <f aca="false">SUM(IF(OR('第 9 天'!D$5="租車費"),'第 9 天'!D80,0),IF(OR('第 9 天'!F$5="租車費"),'第 9 天'!F80,0),IF(OR('第 9 天'!H$5="租車費"),'第 9 天'!H80,0),IF(OR('第 9 天'!J$5="租車費"),'第 9 天'!J80,0),IF(OR('第 9 天'!L$5="租車費"),'第 9 天'!L80,0),IF(OR('第 9 天'!N$5="租車費"),'第 9 天'!N80,0),IF(OR('第 9 天'!P$5="租車費"),'第 9 天'!P80,0))</f>
        <v>0</v>
      </c>
      <c r="F270" s="14" t="n">
        <f aca="false">SUM(IF(OR('第 9 天'!D$5="停車費",'第 9 天'!D$5="其他"),'第 9 天'!D80,0),IF(OR('第 9 天'!F$5="停車費",'第 9 天'!F$5="其他"),'第 9 天'!F80,0),IF(OR('第 9 天'!H$5="停車費",'第 9 天'!H$5="其他"),'第 9 天'!H80,0),IF(OR('第 9 天'!J$5="停車費",'第 9 天'!J$5="其他"),'第 9 天'!J80,0),IF(OR('第 9 天'!L$5="停車費",'第 9 天'!L$5="其他"),'第 9 天'!L80,0),IF(OR('第 9 天'!N$5="停車費",'第 9 天'!N$5="其他"),'第 9 天'!N80,0),IF(OR('第 9 天'!P$5="停車費",'第 9 天'!P$5="其他"),'第 9 天'!P80,0))</f>
        <v>0</v>
      </c>
      <c r="G270" s="14" t="n">
        <f aca="false">SUM(C270:F270)</f>
        <v>0</v>
      </c>
      <c r="H270" s="14" t="n">
        <f aca="false">IF(LEN(TRIM(成員名單!$B33))=0,0,SUM(IF('第 9 天'!D$7=$B270,'第 9 天'!D46,0),IF('第 9 天'!F$7=$B270,'第 9 天'!F46,0),IF('第 9 天'!H$7=$B270,'第 9 天'!H46,0),IF('第 9 天'!J$7=$B270,'第 9 天'!J46,0),IF('第 9 天'!L$7=$B270,'第 9 天'!L46,0),IF('第 9 天'!N$7=$B270,'第 9 天'!N46,0),IF('第 9 天'!P$7=$B270,'第 9 天'!P46,0)))</f>
        <v>0</v>
      </c>
    </row>
    <row r="271" customFormat="false" ht="15" hidden="false" customHeight="false" outlineLevel="0" collapsed="false">
      <c r="A271" s="13" t="s">
        <v>152</v>
      </c>
      <c r="B271" s="13" t="s">
        <v>47</v>
      </c>
      <c r="C271" s="14" t="n">
        <f aca="false">SUM(IF(OR('第 9 天'!D$5="早餐",'第 9 天'!D$5="午餐",'第 9 天'!D$5="晚餐"),'第 9 天'!D81,0),IF(OR('第 9 天'!F$5="早餐",'第 9 天'!F$5="午餐",'第 9 天'!F$5="晚餐"),'第 9 天'!F81,0),IF(OR('第 9 天'!H$5="早餐",'第 9 天'!H$5="午餐",'第 9 天'!H$5="晚餐"),'第 9 天'!H81,0),IF(OR('第 9 天'!J$5="早餐",'第 9 天'!J$5="午餐",'第 9 天'!J$5="晚餐"),'第 9 天'!J81,0),IF(OR('第 9 天'!L$5="早餐",'第 9 天'!L$5="午餐",'第 9 天'!L$5="晚餐"),'第 9 天'!L81,0),IF(OR('第 9 天'!N$5="早餐",'第 9 天'!N$5="午餐",'第 9 天'!N$5="晚餐"),'第 9 天'!N81,0),IF(OR('第 9 天'!P$5="早餐",'第 9 天'!P$5="午餐",'第 9 天'!P$5="晚餐"),'第 9 天'!P81,0))</f>
        <v>0</v>
      </c>
      <c r="D271" s="14" t="n">
        <f aca="false">SUM(IF(OR('第 9 天'!D$5="油錢"),'第 9 天'!D81,0),IF(OR('第 9 天'!F$5="油錢"),'第 9 天'!F81,0),IF(OR('第 9 天'!H$5="油錢"),'第 9 天'!H81,0),IF(OR('第 9 天'!J$5="油錢"),'第 9 天'!J81,0),IF(OR('第 9 天'!L$5="油錢"),'第 9 天'!L81,0),IF(OR('第 9 天'!N$5="油錢"),'第 9 天'!N81,0),IF(OR('第 9 天'!P$5="油錢"),'第 9 天'!P81,0))</f>
        <v>0</v>
      </c>
      <c r="E271" s="14" t="n">
        <f aca="false">SUM(IF(OR('第 9 天'!D$5="租車費"),'第 9 天'!D81,0),IF(OR('第 9 天'!F$5="租車費"),'第 9 天'!F81,0),IF(OR('第 9 天'!H$5="租車費"),'第 9 天'!H81,0),IF(OR('第 9 天'!J$5="租車費"),'第 9 天'!J81,0),IF(OR('第 9 天'!L$5="租車費"),'第 9 天'!L81,0),IF(OR('第 9 天'!N$5="租車費"),'第 9 天'!N81,0),IF(OR('第 9 天'!P$5="租車費"),'第 9 天'!P81,0))</f>
        <v>0</v>
      </c>
      <c r="F271" s="14" t="n">
        <f aca="false">SUM(IF(OR('第 9 天'!D$5="停車費",'第 9 天'!D$5="其他"),'第 9 天'!D81,0),IF(OR('第 9 天'!F$5="停車費",'第 9 天'!F$5="其他"),'第 9 天'!F81,0),IF(OR('第 9 天'!H$5="停車費",'第 9 天'!H$5="其他"),'第 9 天'!H81,0),IF(OR('第 9 天'!J$5="停車費",'第 9 天'!J$5="其他"),'第 9 天'!J81,0),IF(OR('第 9 天'!L$5="停車費",'第 9 天'!L$5="其他"),'第 9 天'!L81,0),IF(OR('第 9 天'!N$5="停車費",'第 9 天'!N$5="其他"),'第 9 天'!N81,0),IF(OR('第 9 天'!P$5="停車費",'第 9 天'!P$5="其他"),'第 9 天'!P81,0))</f>
        <v>0</v>
      </c>
      <c r="G271" s="14" t="n">
        <f aca="false">SUM(C271:F271)</f>
        <v>0</v>
      </c>
      <c r="H271" s="14" t="n">
        <f aca="false">IF(LEN(TRIM(成員名單!$B34))=0,0,SUM(IF('第 9 天'!D$7=$B271,'第 9 天'!D46,0),IF('第 9 天'!F$7=$B271,'第 9 天'!F46,0),IF('第 9 天'!H$7=$B271,'第 9 天'!H46,0),IF('第 9 天'!J$7=$B271,'第 9 天'!J46,0),IF('第 9 天'!L$7=$B271,'第 9 天'!L46,0),IF('第 9 天'!N$7=$B271,'第 9 天'!N46,0),IF('第 9 天'!P$7=$B271,'第 9 天'!P46,0)))</f>
        <v>0</v>
      </c>
    </row>
    <row r="272" customFormat="false" ht="15" hidden="false" customHeight="false" outlineLevel="0" collapsed="false">
      <c r="A272" s="13" t="s">
        <v>161</v>
      </c>
      <c r="B272" s="13" t="s">
        <v>18</v>
      </c>
      <c r="C272" s="14" t="n">
        <f aca="false">SUM(IF(OR('第 10 天'!D$5="早餐",'第 10 天'!D$5="午餐",'第 10 天'!D$5="晚餐"),'第 10 天'!D52,0),IF(OR('第 10 天'!F$5="早餐",'第 10 天'!F$5="午餐",'第 10 天'!F$5="晚餐"),'第 10 天'!F52,0),IF(OR('第 10 天'!H$5="早餐",'第 10 天'!H$5="午餐",'第 10 天'!H$5="晚餐"),'第 10 天'!H52,0),IF(OR('第 10 天'!J$5="早餐",'第 10 天'!J$5="午餐",'第 10 天'!J$5="晚餐"),'第 10 天'!J52,0),IF(OR('第 10 天'!L$5="早餐",'第 10 天'!L$5="午餐",'第 10 天'!L$5="晚餐"),'第 10 天'!L52,0),IF(OR('第 10 天'!N$5="早餐",'第 10 天'!N$5="午餐",'第 10 天'!N$5="晚餐"),'第 10 天'!N52,0),IF(OR('第 10 天'!P$5="早餐",'第 10 天'!P$5="午餐",'第 10 天'!P$5="晚餐"),'第 10 天'!P52,0))</f>
        <v>0</v>
      </c>
      <c r="D272" s="14" t="n">
        <f aca="false">SUM(IF(OR('第 10 天'!D$5="油錢"),'第 10 天'!D52,0),IF(OR('第 10 天'!F$5="油錢"),'第 10 天'!F52,0),IF(OR('第 10 天'!H$5="油錢"),'第 10 天'!H52,0),IF(OR('第 10 天'!J$5="油錢"),'第 10 天'!J52,0),IF(OR('第 10 天'!L$5="油錢"),'第 10 天'!L52,0),IF(OR('第 10 天'!N$5="油錢"),'第 10 天'!N52,0),IF(OR('第 10 天'!P$5="油錢"),'第 10 天'!P52,0))</f>
        <v>0</v>
      </c>
      <c r="E272" s="14" t="n">
        <f aca="false">SUM(IF(OR('第 10 天'!D$5="租車費"),'第 10 天'!D52,0),IF(OR('第 10 天'!F$5="租車費"),'第 10 天'!F52,0),IF(OR('第 10 天'!H$5="租車費"),'第 10 天'!H52,0),IF(OR('第 10 天'!J$5="租車費"),'第 10 天'!J52,0),IF(OR('第 10 天'!L$5="租車費"),'第 10 天'!L52,0),IF(OR('第 10 天'!N$5="租車費"),'第 10 天'!N52,0),IF(OR('第 10 天'!P$5="租車費"),'第 10 天'!P52,0))</f>
        <v>0</v>
      </c>
      <c r="F272" s="14" t="n">
        <f aca="false">SUM(IF(OR('第 10 天'!D$5="停車費",'第 10 天'!D$5="其他"),'第 10 天'!D52,0),IF(OR('第 10 天'!F$5="停車費",'第 10 天'!F$5="其他"),'第 10 天'!F52,0),IF(OR('第 10 天'!H$5="停車費",'第 10 天'!H$5="其他"),'第 10 天'!H52,0),IF(OR('第 10 天'!J$5="停車費",'第 10 天'!J$5="其他"),'第 10 天'!J52,0),IF(OR('第 10 天'!L$5="停車費",'第 10 天'!L$5="其他"),'第 10 天'!L52,0),IF(OR('第 10 天'!N$5="停車費",'第 10 天'!N$5="其他"),'第 10 天'!N52,0),IF(OR('第 10 天'!P$5="停車費",'第 10 天'!P$5="其他"),'第 10 天'!P52,0))</f>
        <v>0</v>
      </c>
      <c r="G272" s="14" t="n">
        <f aca="false">SUM(C272:F272)</f>
        <v>0</v>
      </c>
      <c r="H272" s="14" t="n">
        <f aca="false">IF(LEN(TRIM(成員名單!$B5))=0,0,SUM(IF('第 10 天'!D$7=$B272,'第 10 天'!D46,0),IF('第 10 天'!F$7=$B272,'第 10 天'!F46,0),IF('第 10 天'!H$7=$B272,'第 10 天'!H46,0),IF('第 10 天'!J$7=$B272,'第 10 天'!J46,0),IF('第 10 天'!L$7=$B272,'第 10 天'!L46,0),IF('第 10 天'!N$7=$B272,'第 10 天'!N46,0),IF('第 10 天'!P$7=$B272,'第 10 天'!P46,0)))</f>
        <v>0</v>
      </c>
    </row>
    <row r="273" customFormat="false" ht="15" hidden="false" customHeight="false" outlineLevel="0" collapsed="false">
      <c r="A273" s="13" t="s">
        <v>161</v>
      </c>
      <c r="B273" s="13" t="s">
        <v>19</v>
      </c>
      <c r="C273" s="14" t="n">
        <f aca="false">SUM(IF(OR('第 10 天'!D$5="早餐",'第 10 天'!D$5="午餐",'第 10 天'!D$5="晚餐"),'第 10 天'!D53,0),IF(OR('第 10 天'!F$5="早餐",'第 10 天'!F$5="午餐",'第 10 天'!F$5="晚餐"),'第 10 天'!F53,0),IF(OR('第 10 天'!H$5="早餐",'第 10 天'!H$5="午餐",'第 10 天'!H$5="晚餐"),'第 10 天'!H53,0),IF(OR('第 10 天'!J$5="早餐",'第 10 天'!J$5="午餐",'第 10 天'!J$5="晚餐"),'第 10 天'!J53,0),IF(OR('第 10 天'!L$5="早餐",'第 10 天'!L$5="午餐",'第 10 天'!L$5="晚餐"),'第 10 天'!L53,0),IF(OR('第 10 天'!N$5="早餐",'第 10 天'!N$5="午餐",'第 10 天'!N$5="晚餐"),'第 10 天'!N53,0),IF(OR('第 10 天'!P$5="早餐",'第 10 天'!P$5="午餐",'第 10 天'!P$5="晚餐"),'第 10 天'!P53,0))</f>
        <v>0</v>
      </c>
      <c r="D273" s="14" t="n">
        <f aca="false">SUM(IF(OR('第 10 天'!D$5="油錢"),'第 10 天'!D53,0),IF(OR('第 10 天'!F$5="油錢"),'第 10 天'!F53,0),IF(OR('第 10 天'!H$5="油錢"),'第 10 天'!H53,0),IF(OR('第 10 天'!J$5="油錢"),'第 10 天'!J53,0),IF(OR('第 10 天'!L$5="油錢"),'第 10 天'!L53,0),IF(OR('第 10 天'!N$5="油錢"),'第 10 天'!N53,0),IF(OR('第 10 天'!P$5="油錢"),'第 10 天'!P53,0))</f>
        <v>0</v>
      </c>
      <c r="E273" s="14" t="n">
        <f aca="false">SUM(IF(OR('第 10 天'!D$5="租車費"),'第 10 天'!D53,0),IF(OR('第 10 天'!F$5="租車費"),'第 10 天'!F53,0),IF(OR('第 10 天'!H$5="租車費"),'第 10 天'!H53,0),IF(OR('第 10 天'!J$5="租車費"),'第 10 天'!J53,0),IF(OR('第 10 天'!L$5="租車費"),'第 10 天'!L53,0),IF(OR('第 10 天'!N$5="租車費"),'第 10 天'!N53,0),IF(OR('第 10 天'!P$5="租車費"),'第 10 天'!P53,0))</f>
        <v>0</v>
      </c>
      <c r="F273" s="14" t="n">
        <f aca="false">SUM(IF(OR('第 10 天'!D$5="停車費",'第 10 天'!D$5="其他"),'第 10 天'!D53,0),IF(OR('第 10 天'!F$5="停車費",'第 10 天'!F$5="其他"),'第 10 天'!F53,0),IF(OR('第 10 天'!H$5="停車費",'第 10 天'!H$5="其他"),'第 10 天'!H53,0),IF(OR('第 10 天'!J$5="停車費",'第 10 天'!J$5="其他"),'第 10 天'!J53,0),IF(OR('第 10 天'!L$5="停車費",'第 10 天'!L$5="其他"),'第 10 天'!L53,0),IF(OR('第 10 天'!N$5="停車費",'第 10 天'!N$5="其他"),'第 10 天'!N53,0),IF(OR('第 10 天'!P$5="停車費",'第 10 天'!P$5="其他"),'第 10 天'!P53,0))</f>
        <v>0</v>
      </c>
      <c r="G273" s="14" t="n">
        <f aca="false">SUM(C273:F273)</f>
        <v>0</v>
      </c>
      <c r="H273" s="14" t="n">
        <f aca="false">IF(LEN(TRIM(成員名單!$B6))=0,0,SUM(IF('第 10 天'!D$7=$B273,'第 10 天'!D46,0),IF('第 10 天'!F$7=$B273,'第 10 天'!F46,0),IF('第 10 天'!H$7=$B273,'第 10 天'!H46,0),IF('第 10 天'!J$7=$B273,'第 10 天'!J46,0),IF('第 10 天'!L$7=$B273,'第 10 天'!L46,0),IF('第 10 天'!N$7=$B273,'第 10 天'!N46,0),IF('第 10 天'!P$7=$B273,'第 10 天'!P46,0)))</f>
        <v>0</v>
      </c>
    </row>
    <row r="274" customFormat="false" ht="15" hidden="false" customHeight="false" outlineLevel="0" collapsed="false">
      <c r="A274" s="13" t="s">
        <v>161</v>
      </c>
      <c r="B274" s="13" t="s">
        <v>20</v>
      </c>
      <c r="C274" s="14" t="n">
        <f aca="false">SUM(IF(OR('第 10 天'!D$5="早餐",'第 10 天'!D$5="午餐",'第 10 天'!D$5="晚餐"),'第 10 天'!D54,0),IF(OR('第 10 天'!F$5="早餐",'第 10 天'!F$5="午餐",'第 10 天'!F$5="晚餐"),'第 10 天'!F54,0),IF(OR('第 10 天'!H$5="早餐",'第 10 天'!H$5="午餐",'第 10 天'!H$5="晚餐"),'第 10 天'!H54,0),IF(OR('第 10 天'!J$5="早餐",'第 10 天'!J$5="午餐",'第 10 天'!J$5="晚餐"),'第 10 天'!J54,0),IF(OR('第 10 天'!L$5="早餐",'第 10 天'!L$5="午餐",'第 10 天'!L$5="晚餐"),'第 10 天'!L54,0),IF(OR('第 10 天'!N$5="早餐",'第 10 天'!N$5="午餐",'第 10 天'!N$5="晚餐"),'第 10 天'!N54,0),IF(OR('第 10 天'!P$5="早餐",'第 10 天'!P$5="午餐",'第 10 天'!P$5="晚餐"),'第 10 天'!P54,0))</f>
        <v>0</v>
      </c>
      <c r="D274" s="14" t="n">
        <f aca="false">SUM(IF(OR('第 10 天'!D$5="油錢"),'第 10 天'!D54,0),IF(OR('第 10 天'!F$5="油錢"),'第 10 天'!F54,0),IF(OR('第 10 天'!H$5="油錢"),'第 10 天'!H54,0),IF(OR('第 10 天'!J$5="油錢"),'第 10 天'!J54,0),IF(OR('第 10 天'!L$5="油錢"),'第 10 天'!L54,0),IF(OR('第 10 天'!N$5="油錢"),'第 10 天'!N54,0),IF(OR('第 10 天'!P$5="油錢"),'第 10 天'!P54,0))</f>
        <v>0</v>
      </c>
      <c r="E274" s="14" t="n">
        <f aca="false">SUM(IF(OR('第 10 天'!D$5="租車費"),'第 10 天'!D54,0),IF(OR('第 10 天'!F$5="租車費"),'第 10 天'!F54,0),IF(OR('第 10 天'!H$5="租車費"),'第 10 天'!H54,0),IF(OR('第 10 天'!J$5="租車費"),'第 10 天'!J54,0),IF(OR('第 10 天'!L$5="租車費"),'第 10 天'!L54,0),IF(OR('第 10 天'!N$5="租車費"),'第 10 天'!N54,0),IF(OR('第 10 天'!P$5="租車費"),'第 10 天'!P54,0))</f>
        <v>0</v>
      </c>
      <c r="F274" s="14" t="n">
        <f aca="false">SUM(IF(OR('第 10 天'!D$5="停車費",'第 10 天'!D$5="其他"),'第 10 天'!D54,0),IF(OR('第 10 天'!F$5="停車費",'第 10 天'!F$5="其他"),'第 10 天'!F54,0),IF(OR('第 10 天'!H$5="停車費",'第 10 天'!H$5="其他"),'第 10 天'!H54,0),IF(OR('第 10 天'!J$5="停車費",'第 10 天'!J$5="其他"),'第 10 天'!J54,0),IF(OR('第 10 天'!L$5="停車費",'第 10 天'!L$5="其他"),'第 10 天'!L54,0),IF(OR('第 10 天'!N$5="停車費",'第 10 天'!N$5="其他"),'第 10 天'!N54,0),IF(OR('第 10 天'!P$5="停車費",'第 10 天'!P$5="其他"),'第 10 天'!P54,0))</f>
        <v>0</v>
      </c>
      <c r="G274" s="14" t="n">
        <f aca="false">SUM(C274:F274)</f>
        <v>0</v>
      </c>
      <c r="H274" s="14" t="n">
        <f aca="false">IF(LEN(TRIM(成員名單!$B7))=0,0,SUM(IF('第 10 天'!D$7=$B274,'第 10 天'!D46,0),IF('第 10 天'!F$7=$B274,'第 10 天'!F46,0),IF('第 10 天'!H$7=$B274,'第 10 天'!H46,0),IF('第 10 天'!J$7=$B274,'第 10 天'!J46,0),IF('第 10 天'!L$7=$B274,'第 10 天'!L46,0),IF('第 10 天'!N$7=$B274,'第 10 天'!N46,0),IF('第 10 天'!P$7=$B274,'第 10 天'!P46,0)))</f>
        <v>0</v>
      </c>
    </row>
    <row r="275" customFormat="false" ht="15" hidden="false" customHeight="false" outlineLevel="0" collapsed="false">
      <c r="A275" s="13" t="s">
        <v>161</v>
      </c>
      <c r="B275" s="13" t="s">
        <v>21</v>
      </c>
      <c r="C275" s="14" t="n">
        <f aca="false">SUM(IF(OR('第 10 天'!D$5="早餐",'第 10 天'!D$5="午餐",'第 10 天'!D$5="晚餐"),'第 10 天'!D55,0),IF(OR('第 10 天'!F$5="早餐",'第 10 天'!F$5="午餐",'第 10 天'!F$5="晚餐"),'第 10 天'!F55,0),IF(OR('第 10 天'!H$5="早餐",'第 10 天'!H$5="午餐",'第 10 天'!H$5="晚餐"),'第 10 天'!H55,0),IF(OR('第 10 天'!J$5="早餐",'第 10 天'!J$5="午餐",'第 10 天'!J$5="晚餐"),'第 10 天'!J55,0),IF(OR('第 10 天'!L$5="早餐",'第 10 天'!L$5="午餐",'第 10 天'!L$5="晚餐"),'第 10 天'!L55,0),IF(OR('第 10 天'!N$5="早餐",'第 10 天'!N$5="午餐",'第 10 天'!N$5="晚餐"),'第 10 天'!N55,0),IF(OR('第 10 天'!P$5="早餐",'第 10 天'!P$5="午餐",'第 10 天'!P$5="晚餐"),'第 10 天'!P55,0))</f>
        <v>0</v>
      </c>
      <c r="D275" s="14" t="n">
        <f aca="false">SUM(IF(OR('第 10 天'!D$5="油錢"),'第 10 天'!D55,0),IF(OR('第 10 天'!F$5="油錢"),'第 10 天'!F55,0),IF(OR('第 10 天'!H$5="油錢"),'第 10 天'!H55,0),IF(OR('第 10 天'!J$5="油錢"),'第 10 天'!J55,0),IF(OR('第 10 天'!L$5="油錢"),'第 10 天'!L55,0),IF(OR('第 10 天'!N$5="油錢"),'第 10 天'!N55,0),IF(OR('第 10 天'!P$5="油錢"),'第 10 天'!P55,0))</f>
        <v>0</v>
      </c>
      <c r="E275" s="14" t="n">
        <f aca="false">SUM(IF(OR('第 10 天'!D$5="租車費"),'第 10 天'!D55,0),IF(OR('第 10 天'!F$5="租車費"),'第 10 天'!F55,0),IF(OR('第 10 天'!H$5="租車費"),'第 10 天'!H55,0),IF(OR('第 10 天'!J$5="租車費"),'第 10 天'!J55,0),IF(OR('第 10 天'!L$5="租車費"),'第 10 天'!L55,0),IF(OR('第 10 天'!N$5="租車費"),'第 10 天'!N55,0),IF(OR('第 10 天'!P$5="租車費"),'第 10 天'!P55,0))</f>
        <v>0</v>
      </c>
      <c r="F275" s="14" t="n">
        <f aca="false">SUM(IF(OR('第 10 天'!D$5="停車費",'第 10 天'!D$5="其他"),'第 10 天'!D55,0),IF(OR('第 10 天'!F$5="停車費",'第 10 天'!F$5="其他"),'第 10 天'!F55,0),IF(OR('第 10 天'!H$5="停車費",'第 10 天'!H$5="其他"),'第 10 天'!H55,0),IF(OR('第 10 天'!J$5="停車費",'第 10 天'!J$5="其他"),'第 10 天'!J55,0),IF(OR('第 10 天'!L$5="停車費",'第 10 天'!L$5="其他"),'第 10 天'!L55,0),IF(OR('第 10 天'!N$5="停車費",'第 10 天'!N$5="其他"),'第 10 天'!N55,0),IF(OR('第 10 天'!P$5="停車費",'第 10 天'!P$5="其他"),'第 10 天'!P55,0))</f>
        <v>0</v>
      </c>
      <c r="G275" s="14" t="n">
        <f aca="false">SUM(C275:F275)</f>
        <v>0</v>
      </c>
      <c r="H275" s="14" t="n">
        <f aca="false">IF(LEN(TRIM(成員名單!$B8))=0,0,SUM(IF('第 10 天'!D$7=$B275,'第 10 天'!D46,0),IF('第 10 天'!F$7=$B275,'第 10 天'!F46,0),IF('第 10 天'!H$7=$B275,'第 10 天'!H46,0),IF('第 10 天'!J$7=$B275,'第 10 天'!J46,0),IF('第 10 天'!L$7=$B275,'第 10 天'!L46,0),IF('第 10 天'!N$7=$B275,'第 10 天'!N46,0),IF('第 10 天'!P$7=$B275,'第 10 天'!P46,0)))</f>
        <v>0</v>
      </c>
    </row>
    <row r="276" customFormat="false" ht="15" hidden="false" customHeight="false" outlineLevel="0" collapsed="false">
      <c r="A276" s="13" t="s">
        <v>161</v>
      </c>
      <c r="B276" s="13" t="s">
        <v>22</v>
      </c>
      <c r="C276" s="14" t="n">
        <f aca="false">SUM(IF(OR('第 10 天'!D$5="早餐",'第 10 天'!D$5="午餐",'第 10 天'!D$5="晚餐"),'第 10 天'!D56,0),IF(OR('第 10 天'!F$5="早餐",'第 10 天'!F$5="午餐",'第 10 天'!F$5="晚餐"),'第 10 天'!F56,0),IF(OR('第 10 天'!H$5="早餐",'第 10 天'!H$5="午餐",'第 10 天'!H$5="晚餐"),'第 10 天'!H56,0),IF(OR('第 10 天'!J$5="早餐",'第 10 天'!J$5="午餐",'第 10 天'!J$5="晚餐"),'第 10 天'!J56,0),IF(OR('第 10 天'!L$5="早餐",'第 10 天'!L$5="午餐",'第 10 天'!L$5="晚餐"),'第 10 天'!L56,0),IF(OR('第 10 天'!N$5="早餐",'第 10 天'!N$5="午餐",'第 10 天'!N$5="晚餐"),'第 10 天'!N56,0),IF(OR('第 10 天'!P$5="早餐",'第 10 天'!P$5="午餐",'第 10 天'!P$5="晚餐"),'第 10 天'!P56,0))</f>
        <v>0</v>
      </c>
      <c r="D276" s="14" t="n">
        <f aca="false">SUM(IF(OR('第 10 天'!D$5="油錢"),'第 10 天'!D56,0),IF(OR('第 10 天'!F$5="油錢"),'第 10 天'!F56,0),IF(OR('第 10 天'!H$5="油錢"),'第 10 天'!H56,0),IF(OR('第 10 天'!J$5="油錢"),'第 10 天'!J56,0),IF(OR('第 10 天'!L$5="油錢"),'第 10 天'!L56,0),IF(OR('第 10 天'!N$5="油錢"),'第 10 天'!N56,0),IF(OR('第 10 天'!P$5="油錢"),'第 10 天'!P56,0))</f>
        <v>0</v>
      </c>
      <c r="E276" s="14" t="n">
        <f aca="false">SUM(IF(OR('第 10 天'!D$5="租車費"),'第 10 天'!D56,0),IF(OR('第 10 天'!F$5="租車費"),'第 10 天'!F56,0),IF(OR('第 10 天'!H$5="租車費"),'第 10 天'!H56,0),IF(OR('第 10 天'!J$5="租車費"),'第 10 天'!J56,0),IF(OR('第 10 天'!L$5="租車費"),'第 10 天'!L56,0),IF(OR('第 10 天'!N$5="租車費"),'第 10 天'!N56,0),IF(OR('第 10 天'!P$5="租車費"),'第 10 天'!P56,0))</f>
        <v>0</v>
      </c>
      <c r="F276" s="14" t="n">
        <f aca="false">SUM(IF(OR('第 10 天'!D$5="停車費",'第 10 天'!D$5="其他"),'第 10 天'!D56,0),IF(OR('第 10 天'!F$5="停車費",'第 10 天'!F$5="其他"),'第 10 天'!F56,0),IF(OR('第 10 天'!H$5="停車費",'第 10 天'!H$5="其他"),'第 10 天'!H56,0),IF(OR('第 10 天'!J$5="停車費",'第 10 天'!J$5="其他"),'第 10 天'!J56,0),IF(OR('第 10 天'!L$5="停車費",'第 10 天'!L$5="其他"),'第 10 天'!L56,0),IF(OR('第 10 天'!N$5="停車費",'第 10 天'!N$5="其他"),'第 10 天'!N56,0),IF(OR('第 10 天'!P$5="停車費",'第 10 天'!P$5="其他"),'第 10 天'!P56,0))</f>
        <v>0</v>
      </c>
      <c r="G276" s="14" t="n">
        <f aca="false">SUM(C276:F276)</f>
        <v>0</v>
      </c>
      <c r="H276" s="14" t="n">
        <f aca="false">IF(LEN(TRIM(成員名單!$B9))=0,0,SUM(IF('第 10 天'!D$7=$B276,'第 10 天'!D46,0),IF('第 10 天'!F$7=$B276,'第 10 天'!F46,0),IF('第 10 天'!H$7=$B276,'第 10 天'!H46,0),IF('第 10 天'!J$7=$B276,'第 10 天'!J46,0),IF('第 10 天'!L$7=$B276,'第 10 天'!L46,0),IF('第 10 天'!N$7=$B276,'第 10 天'!N46,0),IF('第 10 天'!P$7=$B276,'第 10 天'!P46,0)))</f>
        <v>0</v>
      </c>
    </row>
    <row r="277" customFormat="false" ht="15" hidden="false" customHeight="false" outlineLevel="0" collapsed="false">
      <c r="A277" s="13" t="s">
        <v>161</v>
      </c>
      <c r="B277" s="13" t="s">
        <v>23</v>
      </c>
      <c r="C277" s="14" t="n">
        <f aca="false">SUM(IF(OR('第 10 天'!D$5="早餐",'第 10 天'!D$5="午餐",'第 10 天'!D$5="晚餐"),'第 10 天'!D57,0),IF(OR('第 10 天'!F$5="早餐",'第 10 天'!F$5="午餐",'第 10 天'!F$5="晚餐"),'第 10 天'!F57,0),IF(OR('第 10 天'!H$5="早餐",'第 10 天'!H$5="午餐",'第 10 天'!H$5="晚餐"),'第 10 天'!H57,0),IF(OR('第 10 天'!J$5="早餐",'第 10 天'!J$5="午餐",'第 10 天'!J$5="晚餐"),'第 10 天'!J57,0),IF(OR('第 10 天'!L$5="早餐",'第 10 天'!L$5="午餐",'第 10 天'!L$5="晚餐"),'第 10 天'!L57,0),IF(OR('第 10 天'!N$5="早餐",'第 10 天'!N$5="午餐",'第 10 天'!N$5="晚餐"),'第 10 天'!N57,0),IF(OR('第 10 天'!P$5="早餐",'第 10 天'!P$5="午餐",'第 10 天'!P$5="晚餐"),'第 10 天'!P57,0))</f>
        <v>0</v>
      </c>
      <c r="D277" s="14" t="n">
        <f aca="false">SUM(IF(OR('第 10 天'!D$5="油錢"),'第 10 天'!D57,0),IF(OR('第 10 天'!F$5="油錢"),'第 10 天'!F57,0),IF(OR('第 10 天'!H$5="油錢"),'第 10 天'!H57,0),IF(OR('第 10 天'!J$5="油錢"),'第 10 天'!J57,0),IF(OR('第 10 天'!L$5="油錢"),'第 10 天'!L57,0),IF(OR('第 10 天'!N$5="油錢"),'第 10 天'!N57,0),IF(OR('第 10 天'!P$5="油錢"),'第 10 天'!P57,0))</f>
        <v>0</v>
      </c>
      <c r="E277" s="14" t="n">
        <f aca="false">SUM(IF(OR('第 10 天'!D$5="租車費"),'第 10 天'!D57,0),IF(OR('第 10 天'!F$5="租車費"),'第 10 天'!F57,0),IF(OR('第 10 天'!H$5="租車費"),'第 10 天'!H57,0),IF(OR('第 10 天'!J$5="租車費"),'第 10 天'!J57,0),IF(OR('第 10 天'!L$5="租車費"),'第 10 天'!L57,0),IF(OR('第 10 天'!N$5="租車費"),'第 10 天'!N57,0),IF(OR('第 10 天'!P$5="租車費"),'第 10 天'!P57,0))</f>
        <v>0</v>
      </c>
      <c r="F277" s="14" t="n">
        <f aca="false">SUM(IF(OR('第 10 天'!D$5="停車費",'第 10 天'!D$5="其他"),'第 10 天'!D57,0),IF(OR('第 10 天'!F$5="停車費",'第 10 天'!F$5="其他"),'第 10 天'!F57,0),IF(OR('第 10 天'!H$5="停車費",'第 10 天'!H$5="其他"),'第 10 天'!H57,0),IF(OR('第 10 天'!J$5="停車費",'第 10 天'!J$5="其他"),'第 10 天'!J57,0),IF(OR('第 10 天'!L$5="停車費",'第 10 天'!L$5="其他"),'第 10 天'!L57,0),IF(OR('第 10 天'!N$5="停車費",'第 10 天'!N$5="其他"),'第 10 天'!N57,0),IF(OR('第 10 天'!P$5="停車費",'第 10 天'!P$5="其他"),'第 10 天'!P57,0))</f>
        <v>0</v>
      </c>
      <c r="G277" s="14" t="n">
        <f aca="false">SUM(C277:F277)</f>
        <v>0</v>
      </c>
      <c r="H277" s="14" t="n">
        <f aca="false">IF(LEN(TRIM(成員名單!$B10))=0,0,SUM(IF('第 10 天'!D$7=$B277,'第 10 天'!D46,0),IF('第 10 天'!F$7=$B277,'第 10 天'!F46,0),IF('第 10 天'!H$7=$B277,'第 10 天'!H46,0),IF('第 10 天'!J$7=$B277,'第 10 天'!J46,0),IF('第 10 天'!L$7=$B277,'第 10 天'!L46,0),IF('第 10 天'!N$7=$B277,'第 10 天'!N46,0),IF('第 10 天'!P$7=$B277,'第 10 天'!P46,0)))</f>
        <v>0</v>
      </c>
    </row>
    <row r="278" customFormat="false" ht="15" hidden="false" customHeight="false" outlineLevel="0" collapsed="false">
      <c r="A278" s="13" t="s">
        <v>161</v>
      </c>
      <c r="B278" s="13" t="s">
        <v>24</v>
      </c>
      <c r="C278" s="14" t="n">
        <f aca="false">SUM(IF(OR('第 10 天'!D$5="早餐",'第 10 天'!D$5="午餐",'第 10 天'!D$5="晚餐"),'第 10 天'!D58,0),IF(OR('第 10 天'!F$5="早餐",'第 10 天'!F$5="午餐",'第 10 天'!F$5="晚餐"),'第 10 天'!F58,0),IF(OR('第 10 天'!H$5="早餐",'第 10 天'!H$5="午餐",'第 10 天'!H$5="晚餐"),'第 10 天'!H58,0),IF(OR('第 10 天'!J$5="早餐",'第 10 天'!J$5="午餐",'第 10 天'!J$5="晚餐"),'第 10 天'!J58,0),IF(OR('第 10 天'!L$5="早餐",'第 10 天'!L$5="午餐",'第 10 天'!L$5="晚餐"),'第 10 天'!L58,0),IF(OR('第 10 天'!N$5="早餐",'第 10 天'!N$5="午餐",'第 10 天'!N$5="晚餐"),'第 10 天'!N58,0),IF(OR('第 10 天'!P$5="早餐",'第 10 天'!P$5="午餐",'第 10 天'!P$5="晚餐"),'第 10 天'!P58,0))</f>
        <v>0</v>
      </c>
      <c r="D278" s="14" t="n">
        <f aca="false">SUM(IF(OR('第 10 天'!D$5="油錢"),'第 10 天'!D58,0),IF(OR('第 10 天'!F$5="油錢"),'第 10 天'!F58,0),IF(OR('第 10 天'!H$5="油錢"),'第 10 天'!H58,0),IF(OR('第 10 天'!J$5="油錢"),'第 10 天'!J58,0),IF(OR('第 10 天'!L$5="油錢"),'第 10 天'!L58,0),IF(OR('第 10 天'!N$5="油錢"),'第 10 天'!N58,0),IF(OR('第 10 天'!P$5="油錢"),'第 10 天'!P58,0))</f>
        <v>0</v>
      </c>
      <c r="E278" s="14" t="n">
        <f aca="false">SUM(IF(OR('第 10 天'!D$5="租車費"),'第 10 天'!D58,0),IF(OR('第 10 天'!F$5="租車費"),'第 10 天'!F58,0),IF(OR('第 10 天'!H$5="租車費"),'第 10 天'!H58,0),IF(OR('第 10 天'!J$5="租車費"),'第 10 天'!J58,0),IF(OR('第 10 天'!L$5="租車費"),'第 10 天'!L58,0),IF(OR('第 10 天'!N$5="租車費"),'第 10 天'!N58,0),IF(OR('第 10 天'!P$5="租車費"),'第 10 天'!P58,0))</f>
        <v>0</v>
      </c>
      <c r="F278" s="14" t="n">
        <f aca="false">SUM(IF(OR('第 10 天'!D$5="停車費",'第 10 天'!D$5="其他"),'第 10 天'!D58,0),IF(OR('第 10 天'!F$5="停車費",'第 10 天'!F$5="其他"),'第 10 天'!F58,0),IF(OR('第 10 天'!H$5="停車費",'第 10 天'!H$5="其他"),'第 10 天'!H58,0),IF(OR('第 10 天'!J$5="停車費",'第 10 天'!J$5="其他"),'第 10 天'!J58,0),IF(OR('第 10 天'!L$5="停車費",'第 10 天'!L$5="其他"),'第 10 天'!L58,0),IF(OR('第 10 天'!N$5="停車費",'第 10 天'!N$5="其他"),'第 10 天'!N58,0),IF(OR('第 10 天'!P$5="停車費",'第 10 天'!P$5="其他"),'第 10 天'!P58,0))</f>
        <v>0</v>
      </c>
      <c r="G278" s="14" t="n">
        <f aca="false">SUM(C278:F278)</f>
        <v>0</v>
      </c>
      <c r="H278" s="14" t="n">
        <f aca="false">IF(LEN(TRIM(成員名單!$B11))=0,0,SUM(IF('第 10 天'!D$7=$B278,'第 10 天'!D46,0),IF('第 10 天'!F$7=$B278,'第 10 天'!F46,0),IF('第 10 天'!H$7=$B278,'第 10 天'!H46,0),IF('第 10 天'!J$7=$B278,'第 10 天'!J46,0),IF('第 10 天'!L$7=$B278,'第 10 天'!L46,0),IF('第 10 天'!N$7=$B278,'第 10 天'!N46,0),IF('第 10 天'!P$7=$B278,'第 10 天'!P46,0)))</f>
        <v>0</v>
      </c>
    </row>
    <row r="279" customFormat="false" ht="15" hidden="false" customHeight="false" outlineLevel="0" collapsed="false">
      <c r="A279" s="13" t="s">
        <v>161</v>
      </c>
      <c r="B279" s="13" t="s">
        <v>25</v>
      </c>
      <c r="C279" s="14" t="n">
        <f aca="false">SUM(IF(OR('第 10 天'!D$5="早餐",'第 10 天'!D$5="午餐",'第 10 天'!D$5="晚餐"),'第 10 天'!D59,0),IF(OR('第 10 天'!F$5="早餐",'第 10 天'!F$5="午餐",'第 10 天'!F$5="晚餐"),'第 10 天'!F59,0),IF(OR('第 10 天'!H$5="早餐",'第 10 天'!H$5="午餐",'第 10 天'!H$5="晚餐"),'第 10 天'!H59,0),IF(OR('第 10 天'!J$5="早餐",'第 10 天'!J$5="午餐",'第 10 天'!J$5="晚餐"),'第 10 天'!J59,0),IF(OR('第 10 天'!L$5="早餐",'第 10 天'!L$5="午餐",'第 10 天'!L$5="晚餐"),'第 10 天'!L59,0),IF(OR('第 10 天'!N$5="早餐",'第 10 天'!N$5="午餐",'第 10 天'!N$5="晚餐"),'第 10 天'!N59,0),IF(OR('第 10 天'!P$5="早餐",'第 10 天'!P$5="午餐",'第 10 天'!P$5="晚餐"),'第 10 天'!P59,0))</f>
        <v>0</v>
      </c>
      <c r="D279" s="14" t="n">
        <f aca="false">SUM(IF(OR('第 10 天'!D$5="油錢"),'第 10 天'!D59,0),IF(OR('第 10 天'!F$5="油錢"),'第 10 天'!F59,0),IF(OR('第 10 天'!H$5="油錢"),'第 10 天'!H59,0),IF(OR('第 10 天'!J$5="油錢"),'第 10 天'!J59,0),IF(OR('第 10 天'!L$5="油錢"),'第 10 天'!L59,0),IF(OR('第 10 天'!N$5="油錢"),'第 10 天'!N59,0),IF(OR('第 10 天'!P$5="油錢"),'第 10 天'!P59,0))</f>
        <v>0</v>
      </c>
      <c r="E279" s="14" t="n">
        <f aca="false">SUM(IF(OR('第 10 天'!D$5="租車費"),'第 10 天'!D59,0),IF(OR('第 10 天'!F$5="租車費"),'第 10 天'!F59,0),IF(OR('第 10 天'!H$5="租車費"),'第 10 天'!H59,0),IF(OR('第 10 天'!J$5="租車費"),'第 10 天'!J59,0),IF(OR('第 10 天'!L$5="租車費"),'第 10 天'!L59,0),IF(OR('第 10 天'!N$5="租車費"),'第 10 天'!N59,0),IF(OR('第 10 天'!P$5="租車費"),'第 10 天'!P59,0))</f>
        <v>0</v>
      </c>
      <c r="F279" s="14" t="n">
        <f aca="false">SUM(IF(OR('第 10 天'!D$5="停車費",'第 10 天'!D$5="其他"),'第 10 天'!D59,0),IF(OR('第 10 天'!F$5="停車費",'第 10 天'!F$5="其他"),'第 10 天'!F59,0),IF(OR('第 10 天'!H$5="停車費",'第 10 天'!H$5="其他"),'第 10 天'!H59,0),IF(OR('第 10 天'!J$5="停車費",'第 10 天'!J$5="其他"),'第 10 天'!J59,0),IF(OR('第 10 天'!L$5="停車費",'第 10 天'!L$5="其他"),'第 10 天'!L59,0),IF(OR('第 10 天'!N$5="停車費",'第 10 天'!N$5="其他"),'第 10 天'!N59,0),IF(OR('第 10 天'!P$5="停車費",'第 10 天'!P$5="其他"),'第 10 天'!P59,0))</f>
        <v>0</v>
      </c>
      <c r="G279" s="14" t="n">
        <f aca="false">SUM(C279:F279)</f>
        <v>0</v>
      </c>
      <c r="H279" s="14" t="n">
        <f aca="false">IF(LEN(TRIM(成員名單!$B12))=0,0,SUM(IF('第 10 天'!D$7=$B279,'第 10 天'!D46,0),IF('第 10 天'!F$7=$B279,'第 10 天'!F46,0),IF('第 10 天'!H$7=$B279,'第 10 天'!H46,0),IF('第 10 天'!J$7=$B279,'第 10 天'!J46,0),IF('第 10 天'!L$7=$B279,'第 10 天'!L46,0),IF('第 10 天'!N$7=$B279,'第 10 天'!N46,0),IF('第 10 天'!P$7=$B279,'第 10 天'!P46,0)))</f>
        <v>0</v>
      </c>
    </row>
    <row r="280" customFormat="false" ht="15" hidden="false" customHeight="false" outlineLevel="0" collapsed="false">
      <c r="A280" s="13" t="s">
        <v>161</v>
      </c>
      <c r="B280" s="13" t="s">
        <v>26</v>
      </c>
      <c r="C280" s="14" t="n">
        <f aca="false">SUM(IF(OR('第 10 天'!D$5="早餐",'第 10 天'!D$5="午餐",'第 10 天'!D$5="晚餐"),'第 10 天'!D60,0),IF(OR('第 10 天'!F$5="早餐",'第 10 天'!F$5="午餐",'第 10 天'!F$5="晚餐"),'第 10 天'!F60,0),IF(OR('第 10 天'!H$5="早餐",'第 10 天'!H$5="午餐",'第 10 天'!H$5="晚餐"),'第 10 天'!H60,0),IF(OR('第 10 天'!J$5="早餐",'第 10 天'!J$5="午餐",'第 10 天'!J$5="晚餐"),'第 10 天'!J60,0),IF(OR('第 10 天'!L$5="早餐",'第 10 天'!L$5="午餐",'第 10 天'!L$5="晚餐"),'第 10 天'!L60,0),IF(OR('第 10 天'!N$5="早餐",'第 10 天'!N$5="午餐",'第 10 天'!N$5="晚餐"),'第 10 天'!N60,0),IF(OR('第 10 天'!P$5="早餐",'第 10 天'!P$5="午餐",'第 10 天'!P$5="晚餐"),'第 10 天'!P60,0))</f>
        <v>0</v>
      </c>
      <c r="D280" s="14" t="n">
        <f aca="false">SUM(IF(OR('第 10 天'!D$5="油錢"),'第 10 天'!D60,0),IF(OR('第 10 天'!F$5="油錢"),'第 10 天'!F60,0),IF(OR('第 10 天'!H$5="油錢"),'第 10 天'!H60,0),IF(OR('第 10 天'!J$5="油錢"),'第 10 天'!J60,0),IF(OR('第 10 天'!L$5="油錢"),'第 10 天'!L60,0),IF(OR('第 10 天'!N$5="油錢"),'第 10 天'!N60,0),IF(OR('第 10 天'!P$5="油錢"),'第 10 天'!P60,0))</f>
        <v>0</v>
      </c>
      <c r="E280" s="14" t="n">
        <f aca="false">SUM(IF(OR('第 10 天'!D$5="租車費"),'第 10 天'!D60,0),IF(OR('第 10 天'!F$5="租車費"),'第 10 天'!F60,0),IF(OR('第 10 天'!H$5="租車費"),'第 10 天'!H60,0),IF(OR('第 10 天'!J$5="租車費"),'第 10 天'!J60,0),IF(OR('第 10 天'!L$5="租車費"),'第 10 天'!L60,0),IF(OR('第 10 天'!N$5="租車費"),'第 10 天'!N60,0),IF(OR('第 10 天'!P$5="租車費"),'第 10 天'!P60,0))</f>
        <v>0</v>
      </c>
      <c r="F280" s="14" t="n">
        <f aca="false">SUM(IF(OR('第 10 天'!D$5="停車費",'第 10 天'!D$5="其他"),'第 10 天'!D60,0),IF(OR('第 10 天'!F$5="停車費",'第 10 天'!F$5="其他"),'第 10 天'!F60,0),IF(OR('第 10 天'!H$5="停車費",'第 10 天'!H$5="其他"),'第 10 天'!H60,0),IF(OR('第 10 天'!J$5="停車費",'第 10 天'!J$5="其他"),'第 10 天'!J60,0),IF(OR('第 10 天'!L$5="停車費",'第 10 天'!L$5="其他"),'第 10 天'!L60,0),IF(OR('第 10 天'!N$5="停車費",'第 10 天'!N$5="其他"),'第 10 天'!N60,0),IF(OR('第 10 天'!P$5="停車費",'第 10 天'!P$5="其他"),'第 10 天'!P60,0))</f>
        <v>0</v>
      </c>
      <c r="G280" s="14" t="n">
        <f aca="false">SUM(C280:F280)</f>
        <v>0</v>
      </c>
      <c r="H280" s="14" t="n">
        <f aca="false">IF(LEN(TRIM(成員名單!$B13))=0,0,SUM(IF('第 10 天'!D$7=$B280,'第 10 天'!D46,0),IF('第 10 天'!F$7=$B280,'第 10 天'!F46,0),IF('第 10 天'!H$7=$B280,'第 10 天'!H46,0),IF('第 10 天'!J$7=$B280,'第 10 天'!J46,0),IF('第 10 天'!L$7=$B280,'第 10 天'!L46,0),IF('第 10 天'!N$7=$B280,'第 10 天'!N46,0),IF('第 10 天'!P$7=$B280,'第 10 天'!P46,0)))</f>
        <v>0</v>
      </c>
    </row>
    <row r="281" customFormat="false" ht="15" hidden="false" customHeight="false" outlineLevel="0" collapsed="false">
      <c r="A281" s="13" t="s">
        <v>161</v>
      </c>
      <c r="B281" s="13" t="s">
        <v>27</v>
      </c>
      <c r="C281" s="14" t="n">
        <f aca="false">SUM(IF(OR('第 10 天'!D$5="早餐",'第 10 天'!D$5="午餐",'第 10 天'!D$5="晚餐"),'第 10 天'!D61,0),IF(OR('第 10 天'!F$5="早餐",'第 10 天'!F$5="午餐",'第 10 天'!F$5="晚餐"),'第 10 天'!F61,0),IF(OR('第 10 天'!H$5="早餐",'第 10 天'!H$5="午餐",'第 10 天'!H$5="晚餐"),'第 10 天'!H61,0),IF(OR('第 10 天'!J$5="早餐",'第 10 天'!J$5="午餐",'第 10 天'!J$5="晚餐"),'第 10 天'!J61,0),IF(OR('第 10 天'!L$5="早餐",'第 10 天'!L$5="午餐",'第 10 天'!L$5="晚餐"),'第 10 天'!L61,0),IF(OR('第 10 天'!N$5="早餐",'第 10 天'!N$5="午餐",'第 10 天'!N$5="晚餐"),'第 10 天'!N61,0),IF(OR('第 10 天'!P$5="早餐",'第 10 天'!P$5="午餐",'第 10 天'!P$5="晚餐"),'第 10 天'!P61,0))</f>
        <v>0</v>
      </c>
      <c r="D281" s="14" t="n">
        <f aca="false">SUM(IF(OR('第 10 天'!D$5="油錢"),'第 10 天'!D61,0),IF(OR('第 10 天'!F$5="油錢"),'第 10 天'!F61,0),IF(OR('第 10 天'!H$5="油錢"),'第 10 天'!H61,0),IF(OR('第 10 天'!J$5="油錢"),'第 10 天'!J61,0),IF(OR('第 10 天'!L$5="油錢"),'第 10 天'!L61,0),IF(OR('第 10 天'!N$5="油錢"),'第 10 天'!N61,0),IF(OR('第 10 天'!P$5="油錢"),'第 10 天'!P61,0))</f>
        <v>0</v>
      </c>
      <c r="E281" s="14" t="n">
        <f aca="false">SUM(IF(OR('第 10 天'!D$5="租車費"),'第 10 天'!D61,0),IF(OR('第 10 天'!F$5="租車費"),'第 10 天'!F61,0),IF(OR('第 10 天'!H$5="租車費"),'第 10 天'!H61,0),IF(OR('第 10 天'!J$5="租車費"),'第 10 天'!J61,0),IF(OR('第 10 天'!L$5="租車費"),'第 10 天'!L61,0),IF(OR('第 10 天'!N$5="租車費"),'第 10 天'!N61,0),IF(OR('第 10 天'!P$5="租車費"),'第 10 天'!P61,0))</f>
        <v>0</v>
      </c>
      <c r="F281" s="14" t="n">
        <f aca="false">SUM(IF(OR('第 10 天'!D$5="停車費",'第 10 天'!D$5="其他"),'第 10 天'!D61,0),IF(OR('第 10 天'!F$5="停車費",'第 10 天'!F$5="其他"),'第 10 天'!F61,0),IF(OR('第 10 天'!H$5="停車費",'第 10 天'!H$5="其他"),'第 10 天'!H61,0),IF(OR('第 10 天'!J$5="停車費",'第 10 天'!J$5="其他"),'第 10 天'!J61,0),IF(OR('第 10 天'!L$5="停車費",'第 10 天'!L$5="其他"),'第 10 天'!L61,0),IF(OR('第 10 天'!N$5="停車費",'第 10 天'!N$5="其他"),'第 10 天'!N61,0),IF(OR('第 10 天'!P$5="停車費",'第 10 天'!P$5="其他"),'第 10 天'!P61,0))</f>
        <v>0</v>
      </c>
      <c r="G281" s="14" t="n">
        <f aca="false">SUM(C281:F281)</f>
        <v>0</v>
      </c>
      <c r="H281" s="14" t="n">
        <f aca="false">IF(LEN(TRIM(成員名單!$B14))=0,0,SUM(IF('第 10 天'!D$7=$B281,'第 10 天'!D46,0),IF('第 10 天'!F$7=$B281,'第 10 天'!F46,0),IF('第 10 天'!H$7=$B281,'第 10 天'!H46,0),IF('第 10 天'!J$7=$B281,'第 10 天'!J46,0),IF('第 10 天'!L$7=$B281,'第 10 天'!L46,0),IF('第 10 天'!N$7=$B281,'第 10 天'!N46,0),IF('第 10 天'!P$7=$B281,'第 10 天'!P46,0)))</f>
        <v>0</v>
      </c>
    </row>
    <row r="282" customFormat="false" ht="15" hidden="false" customHeight="false" outlineLevel="0" collapsed="false">
      <c r="A282" s="13" t="s">
        <v>161</v>
      </c>
      <c r="B282" s="13" t="s">
        <v>28</v>
      </c>
      <c r="C282" s="14" t="n">
        <f aca="false">SUM(IF(OR('第 10 天'!D$5="早餐",'第 10 天'!D$5="午餐",'第 10 天'!D$5="晚餐"),'第 10 天'!D62,0),IF(OR('第 10 天'!F$5="早餐",'第 10 天'!F$5="午餐",'第 10 天'!F$5="晚餐"),'第 10 天'!F62,0),IF(OR('第 10 天'!H$5="早餐",'第 10 天'!H$5="午餐",'第 10 天'!H$5="晚餐"),'第 10 天'!H62,0),IF(OR('第 10 天'!J$5="早餐",'第 10 天'!J$5="午餐",'第 10 天'!J$5="晚餐"),'第 10 天'!J62,0),IF(OR('第 10 天'!L$5="早餐",'第 10 天'!L$5="午餐",'第 10 天'!L$5="晚餐"),'第 10 天'!L62,0),IF(OR('第 10 天'!N$5="早餐",'第 10 天'!N$5="午餐",'第 10 天'!N$5="晚餐"),'第 10 天'!N62,0),IF(OR('第 10 天'!P$5="早餐",'第 10 天'!P$5="午餐",'第 10 天'!P$5="晚餐"),'第 10 天'!P62,0))</f>
        <v>0</v>
      </c>
      <c r="D282" s="14" t="n">
        <f aca="false">SUM(IF(OR('第 10 天'!D$5="油錢"),'第 10 天'!D62,0),IF(OR('第 10 天'!F$5="油錢"),'第 10 天'!F62,0),IF(OR('第 10 天'!H$5="油錢"),'第 10 天'!H62,0),IF(OR('第 10 天'!J$5="油錢"),'第 10 天'!J62,0),IF(OR('第 10 天'!L$5="油錢"),'第 10 天'!L62,0),IF(OR('第 10 天'!N$5="油錢"),'第 10 天'!N62,0),IF(OR('第 10 天'!P$5="油錢"),'第 10 天'!P62,0))</f>
        <v>0</v>
      </c>
      <c r="E282" s="14" t="n">
        <f aca="false">SUM(IF(OR('第 10 天'!D$5="租車費"),'第 10 天'!D62,0),IF(OR('第 10 天'!F$5="租車費"),'第 10 天'!F62,0),IF(OR('第 10 天'!H$5="租車費"),'第 10 天'!H62,0),IF(OR('第 10 天'!J$5="租車費"),'第 10 天'!J62,0),IF(OR('第 10 天'!L$5="租車費"),'第 10 天'!L62,0),IF(OR('第 10 天'!N$5="租車費"),'第 10 天'!N62,0),IF(OR('第 10 天'!P$5="租車費"),'第 10 天'!P62,0))</f>
        <v>0</v>
      </c>
      <c r="F282" s="14" t="n">
        <f aca="false">SUM(IF(OR('第 10 天'!D$5="停車費",'第 10 天'!D$5="其他"),'第 10 天'!D62,0),IF(OR('第 10 天'!F$5="停車費",'第 10 天'!F$5="其他"),'第 10 天'!F62,0),IF(OR('第 10 天'!H$5="停車費",'第 10 天'!H$5="其他"),'第 10 天'!H62,0),IF(OR('第 10 天'!J$5="停車費",'第 10 天'!J$5="其他"),'第 10 天'!J62,0),IF(OR('第 10 天'!L$5="停車費",'第 10 天'!L$5="其他"),'第 10 天'!L62,0),IF(OR('第 10 天'!N$5="停車費",'第 10 天'!N$5="其他"),'第 10 天'!N62,0),IF(OR('第 10 天'!P$5="停車費",'第 10 天'!P$5="其他"),'第 10 天'!P62,0))</f>
        <v>0</v>
      </c>
      <c r="G282" s="14" t="n">
        <f aca="false">SUM(C282:F282)</f>
        <v>0</v>
      </c>
      <c r="H282" s="14" t="n">
        <f aca="false">IF(LEN(TRIM(成員名單!$B15))=0,0,SUM(IF('第 10 天'!D$7=$B282,'第 10 天'!D46,0),IF('第 10 天'!F$7=$B282,'第 10 天'!F46,0),IF('第 10 天'!H$7=$B282,'第 10 天'!H46,0),IF('第 10 天'!J$7=$B282,'第 10 天'!J46,0),IF('第 10 天'!L$7=$B282,'第 10 天'!L46,0),IF('第 10 天'!N$7=$B282,'第 10 天'!N46,0),IF('第 10 天'!P$7=$B282,'第 10 天'!P46,0)))</f>
        <v>0</v>
      </c>
    </row>
    <row r="283" customFormat="false" ht="15" hidden="false" customHeight="false" outlineLevel="0" collapsed="false">
      <c r="A283" s="13" t="s">
        <v>161</v>
      </c>
      <c r="B283" s="13" t="s">
        <v>29</v>
      </c>
      <c r="C283" s="14" t="n">
        <f aca="false">SUM(IF(OR('第 10 天'!D$5="早餐",'第 10 天'!D$5="午餐",'第 10 天'!D$5="晚餐"),'第 10 天'!D63,0),IF(OR('第 10 天'!F$5="早餐",'第 10 天'!F$5="午餐",'第 10 天'!F$5="晚餐"),'第 10 天'!F63,0),IF(OR('第 10 天'!H$5="早餐",'第 10 天'!H$5="午餐",'第 10 天'!H$5="晚餐"),'第 10 天'!H63,0),IF(OR('第 10 天'!J$5="早餐",'第 10 天'!J$5="午餐",'第 10 天'!J$5="晚餐"),'第 10 天'!J63,0),IF(OR('第 10 天'!L$5="早餐",'第 10 天'!L$5="午餐",'第 10 天'!L$5="晚餐"),'第 10 天'!L63,0),IF(OR('第 10 天'!N$5="早餐",'第 10 天'!N$5="午餐",'第 10 天'!N$5="晚餐"),'第 10 天'!N63,0),IF(OR('第 10 天'!P$5="早餐",'第 10 天'!P$5="午餐",'第 10 天'!P$5="晚餐"),'第 10 天'!P63,0))</f>
        <v>0</v>
      </c>
      <c r="D283" s="14" t="n">
        <f aca="false">SUM(IF(OR('第 10 天'!D$5="油錢"),'第 10 天'!D63,0),IF(OR('第 10 天'!F$5="油錢"),'第 10 天'!F63,0),IF(OR('第 10 天'!H$5="油錢"),'第 10 天'!H63,0),IF(OR('第 10 天'!J$5="油錢"),'第 10 天'!J63,0),IF(OR('第 10 天'!L$5="油錢"),'第 10 天'!L63,0),IF(OR('第 10 天'!N$5="油錢"),'第 10 天'!N63,0),IF(OR('第 10 天'!P$5="油錢"),'第 10 天'!P63,0))</f>
        <v>0</v>
      </c>
      <c r="E283" s="14" t="n">
        <f aca="false">SUM(IF(OR('第 10 天'!D$5="租車費"),'第 10 天'!D63,0),IF(OR('第 10 天'!F$5="租車費"),'第 10 天'!F63,0),IF(OR('第 10 天'!H$5="租車費"),'第 10 天'!H63,0),IF(OR('第 10 天'!J$5="租車費"),'第 10 天'!J63,0),IF(OR('第 10 天'!L$5="租車費"),'第 10 天'!L63,0),IF(OR('第 10 天'!N$5="租車費"),'第 10 天'!N63,0),IF(OR('第 10 天'!P$5="租車費"),'第 10 天'!P63,0))</f>
        <v>0</v>
      </c>
      <c r="F283" s="14" t="n">
        <f aca="false">SUM(IF(OR('第 10 天'!D$5="停車費",'第 10 天'!D$5="其他"),'第 10 天'!D63,0),IF(OR('第 10 天'!F$5="停車費",'第 10 天'!F$5="其他"),'第 10 天'!F63,0),IF(OR('第 10 天'!H$5="停車費",'第 10 天'!H$5="其他"),'第 10 天'!H63,0),IF(OR('第 10 天'!J$5="停車費",'第 10 天'!J$5="其他"),'第 10 天'!J63,0),IF(OR('第 10 天'!L$5="停車費",'第 10 天'!L$5="其他"),'第 10 天'!L63,0),IF(OR('第 10 天'!N$5="停車費",'第 10 天'!N$5="其他"),'第 10 天'!N63,0),IF(OR('第 10 天'!P$5="停車費",'第 10 天'!P$5="其他"),'第 10 天'!P63,0))</f>
        <v>0</v>
      </c>
      <c r="G283" s="14" t="n">
        <f aca="false">SUM(C283:F283)</f>
        <v>0</v>
      </c>
      <c r="H283" s="14" t="n">
        <f aca="false">IF(LEN(TRIM(成員名單!$B16))=0,0,SUM(IF('第 10 天'!D$7=$B283,'第 10 天'!D46,0),IF('第 10 天'!F$7=$B283,'第 10 天'!F46,0),IF('第 10 天'!H$7=$B283,'第 10 天'!H46,0),IF('第 10 天'!J$7=$B283,'第 10 天'!J46,0),IF('第 10 天'!L$7=$B283,'第 10 天'!L46,0),IF('第 10 天'!N$7=$B283,'第 10 天'!N46,0),IF('第 10 天'!P$7=$B283,'第 10 天'!P46,0)))</f>
        <v>0</v>
      </c>
    </row>
    <row r="284" customFormat="false" ht="15" hidden="false" customHeight="false" outlineLevel="0" collapsed="false">
      <c r="A284" s="13" t="s">
        <v>161</v>
      </c>
      <c r="B284" s="13" t="s">
        <v>30</v>
      </c>
      <c r="C284" s="14" t="n">
        <f aca="false">SUM(IF(OR('第 10 天'!D$5="早餐",'第 10 天'!D$5="午餐",'第 10 天'!D$5="晚餐"),'第 10 天'!D64,0),IF(OR('第 10 天'!F$5="早餐",'第 10 天'!F$5="午餐",'第 10 天'!F$5="晚餐"),'第 10 天'!F64,0),IF(OR('第 10 天'!H$5="早餐",'第 10 天'!H$5="午餐",'第 10 天'!H$5="晚餐"),'第 10 天'!H64,0),IF(OR('第 10 天'!J$5="早餐",'第 10 天'!J$5="午餐",'第 10 天'!J$5="晚餐"),'第 10 天'!J64,0),IF(OR('第 10 天'!L$5="早餐",'第 10 天'!L$5="午餐",'第 10 天'!L$5="晚餐"),'第 10 天'!L64,0),IF(OR('第 10 天'!N$5="早餐",'第 10 天'!N$5="午餐",'第 10 天'!N$5="晚餐"),'第 10 天'!N64,0),IF(OR('第 10 天'!P$5="早餐",'第 10 天'!P$5="午餐",'第 10 天'!P$5="晚餐"),'第 10 天'!P64,0))</f>
        <v>0</v>
      </c>
      <c r="D284" s="14" t="n">
        <f aca="false">SUM(IF(OR('第 10 天'!D$5="油錢"),'第 10 天'!D64,0),IF(OR('第 10 天'!F$5="油錢"),'第 10 天'!F64,0),IF(OR('第 10 天'!H$5="油錢"),'第 10 天'!H64,0),IF(OR('第 10 天'!J$5="油錢"),'第 10 天'!J64,0),IF(OR('第 10 天'!L$5="油錢"),'第 10 天'!L64,0),IF(OR('第 10 天'!N$5="油錢"),'第 10 天'!N64,0),IF(OR('第 10 天'!P$5="油錢"),'第 10 天'!P64,0))</f>
        <v>0</v>
      </c>
      <c r="E284" s="14" t="n">
        <f aca="false">SUM(IF(OR('第 10 天'!D$5="租車費"),'第 10 天'!D64,0),IF(OR('第 10 天'!F$5="租車費"),'第 10 天'!F64,0),IF(OR('第 10 天'!H$5="租車費"),'第 10 天'!H64,0),IF(OR('第 10 天'!J$5="租車費"),'第 10 天'!J64,0),IF(OR('第 10 天'!L$5="租車費"),'第 10 天'!L64,0),IF(OR('第 10 天'!N$5="租車費"),'第 10 天'!N64,0),IF(OR('第 10 天'!P$5="租車費"),'第 10 天'!P64,0))</f>
        <v>0</v>
      </c>
      <c r="F284" s="14" t="n">
        <f aca="false">SUM(IF(OR('第 10 天'!D$5="停車費",'第 10 天'!D$5="其他"),'第 10 天'!D64,0),IF(OR('第 10 天'!F$5="停車費",'第 10 天'!F$5="其他"),'第 10 天'!F64,0),IF(OR('第 10 天'!H$5="停車費",'第 10 天'!H$5="其他"),'第 10 天'!H64,0),IF(OR('第 10 天'!J$5="停車費",'第 10 天'!J$5="其他"),'第 10 天'!J64,0),IF(OR('第 10 天'!L$5="停車費",'第 10 天'!L$5="其他"),'第 10 天'!L64,0),IF(OR('第 10 天'!N$5="停車費",'第 10 天'!N$5="其他"),'第 10 天'!N64,0),IF(OR('第 10 天'!P$5="停車費",'第 10 天'!P$5="其他"),'第 10 天'!P64,0))</f>
        <v>0</v>
      </c>
      <c r="G284" s="14" t="n">
        <f aca="false">SUM(C284:F284)</f>
        <v>0</v>
      </c>
      <c r="H284" s="14" t="n">
        <f aca="false">IF(LEN(TRIM(成員名單!$B17))=0,0,SUM(IF('第 10 天'!D$7=$B284,'第 10 天'!D46,0),IF('第 10 天'!F$7=$B284,'第 10 天'!F46,0),IF('第 10 天'!H$7=$B284,'第 10 天'!H46,0),IF('第 10 天'!J$7=$B284,'第 10 天'!J46,0),IF('第 10 天'!L$7=$B284,'第 10 天'!L46,0),IF('第 10 天'!N$7=$B284,'第 10 天'!N46,0),IF('第 10 天'!P$7=$B284,'第 10 天'!P46,0)))</f>
        <v>0</v>
      </c>
    </row>
    <row r="285" customFormat="false" ht="15" hidden="false" customHeight="false" outlineLevel="0" collapsed="false">
      <c r="A285" s="13" t="s">
        <v>161</v>
      </c>
      <c r="B285" s="13" t="s">
        <v>31</v>
      </c>
      <c r="C285" s="14" t="n">
        <f aca="false">SUM(IF(OR('第 10 天'!D$5="早餐",'第 10 天'!D$5="午餐",'第 10 天'!D$5="晚餐"),'第 10 天'!D65,0),IF(OR('第 10 天'!F$5="早餐",'第 10 天'!F$5="午餐",'第 10 天'!F$5="晚餐"),'第 10 天'!F65,0),IF(OR('第 10 天'!H$5="早餐",'第 10 天'!H$5="午餐",'第 10 天'!H$5="晚餐"),'第 10 天'!H65,0),IF(OR('第 10 天'!J$5="早餐",'第 10 天'!J$5="午餐",'第 10 天'!J$5="晚餐"),'第 10 天'!J65,0),IF(OR('第 10 天'!L$5="早餐",'第 10 天'!L$5="午餐",'第 10 天'!L$5="晚餐"),'第 10 天'!L65,0),IF(OR('第 10 天'!N$5="早餐",'第 10 天'!N$5="午餐",'第 10 天'!N$5="晚餐"),'第 10 天'!N65,0),IF(OR('第 10 天'!P$5="早餐",'第 10 天'!P$5="午餐",'第 10 天'!P$5="晚餐"),'第 10 天'!P65,0))</f>
        <v>0</v>
      </c>
      <c r="D285" s="14" t="n">
        <f aca="false">SUM(IF(OR('第 10 天'!D$5="油錢"),'第 10 天'!D65,0),IF(OR('第 10 天'!F$5="油錢"),'第 10 天'!F65,0),IF(OR('第 10 天'!H$5="油錢"),'第 10 天'!H65,0),IF(OR('第 10 天'!J$5="油錢"),'第 10 天'!J65,0),IF(OR('第 10 天'!L$5="油錢"),'第 10 天'!L65,0),IF(OR('第 10 天'!N$5="油錢"),'第 10 天'!N65,0),IF(OR('第 10 天'!P$5="油錢"),'第 10 天'!P65,0))</f>
        <v>0</v>
      </c>
      <c r="E285" s="14" t="n">
        <f aca="false">SUM(IF(OR('第 10 天'!D$5="租車費"),'第 10 天'!D65,0),IF(OR('第 10 天'!F$5="租車費"),'第 10 天'!F65,0),IF(OR('第 10 天'!H$5="租車費"),'第 10 天'!H65,0),IF(OR('第 10 天'!J$5="租車費"),'第 10 天'!J65,0),IF(OR('第 10 天'!L$5="租車費"),'第 10 天'!L65,0),IF(OR('第 10 天'!N$5="租車費"),'第 10 天'!N65,0),IF(OR('第 10 天'!P$5="租車費"),'第 10 天'!P65,0))</f>
        <v>0</v>
      </c>
      <c r="F285" s="14" t="n">
        <f aca="false">SUM(IF(OR('第 10 天'!D$5="停車費",'第 10 天'!D$5="其他"),'第 10 天'!D65,0),IF(OR('第 10 天'!F$5="停車費",'第 10 天'!F$5="其他"),'第 10 天'!F65,0),IF(OR('第 10 天'!H$5="停車費",'第 10 天'!H$5="其他"),'第 10 天'!H65,0),IF(OR('第 10 天'!J$5="停車費",'第 10 天'!J$5="其他"),'第 10 天'!J65,0),IF(OR('第 10 天'!L$5="停車費",'第 10 天'!L$5="其他"),'第 10 天'!L65,0),IF(OR('第 10 天'!N$5="停車費",'第 10 天'!N$5="其他"),'第 10 天'!N65,0),IF(OR('第 10 天'!P$5="停車費",'第 10 天'!P$5="其他"),'第 10 天'!P65,0))</f>
        <v>0</v>
      </c>
      <c r="G285" s="14" t="n">
        <f aca="false">SUM(C285:F285)</f>
        <v>0</v>
      </c>
      <c r="H285" s="14" t="n">
        <f aca="false">IF(LEN(TRIM(成員名單!$B18))=0,0,SUM(IF('第 10 天'!D$7=$B285,'第 10 天'!D46,0),IF('第 10 天'!F$7=$B285,'第 10 天'!F46,0),IF('第 10 天'!H$7=$B285,'第 10 天'!H46,0),IF('第 10 天'!J$7=$B285,'第 10 天'!J46,0),IF('第 10 天'!L$7=$B285,'第 10 天'!L46,0),IF('第 10 天'!N$7=$B285,'第 10 天'!N46,0),IF('第 10 天'!P$7=$B285,'第 10 天'!P46,0)))</f>
        <v>0</v>
      </c>
    </row>
    <row r="286" customFormat="false" ht="15" hidden="false" customHeight="false" outlineLevel="0" collapsed="false">
      <c r="A286" s="13" t="s">
        <v>161</v>
      </c>
      <c r="B286" s="13" t="s">
        <v>32</v>
      </c>
      <c r="C286" s="14" t="n">
        <f aca="false">SUM(IF(OR('第 10 天'!D$5="早餐",'第 10 天'!D$5="午餐",'第 10 天'!D$5="晚餐"),'第 10 天'!D66,0),IF(OR('第 10 天'!F$5="早餐",'第 10 天'!F$5="午餐",'第 10 天'!F$5="晚餐"),'第 10 天'!F66,0),IF(OR('第 10 天'!H$5="早餐",'第 10 天'!H$5="午餐",'第 10 天'!H$5="晚餐"),'第 10 天'!H66,0),IF(OR('第 10 天'!J$5="早餐",'第 10 天'!J$5="午餐",'第 10 天'!J$5="晚餐"),'第 10 天'!J66,0),IF(OR('第 10 天'!L$5="早餐",'第 10 天'!L$5="午餐",'第 10 天'!L$5="晚餐"),'第 10 天'!L66,0),IF(OR('第 10 天'!N$5="早餐",'第 10 天'!N$5="午餐",'第 10 天'!N$5="晚餐"),'第 10 天'!N66,0),IF(OR('第 10 天'!P$5="早餐",'第 10 天'!P$5="午餐",'第 10 天'!P$5="晚餐"),'第 10 天'!P66,0))</f>
        <v>0</v>
      </c>
      <c r="D286" s="14" t="n">
        <f aca="false">SUM(IF(OR('第 10 天'!D$5="油錢"),'第 10 天'!D66,0),IF(OR('第 10 天'!F$5="油錢"),'第 10 天'!F66,0),IF(OR('第 10 天'!H$5="油錢"),'第 10 天'!H66,0),IF(OR('第 10 天'!J$5="油錢"),'第 10 天'!J66,0),IF(OR('第 10 天'!L$5="油錢"),'第 10 天'!L66,0),IF(OR('第 10 天'!N$5="油錢"),'第 10 天'!N66,0),IF(OR('第 10 天'!P$5="油錢"),'第 10 天'!P66,0))</f>
        <v>0</v>
      </c>
      <c r="E286" s="14" t="n">
        <f aca="false">SUM(IF(OR('第 10 天'!D$5="租車費"),'第 10 天'!D66,0),IF(OR('第 10 天'!F$5="租車費"),'第 10 天'!F66,0),IF(OR('第 10 天'!H$5="租車費"),'第 10 天'!H66,0),IF(OR('第 10 天'!J$5="租車費"),'第 10 天'!J66,0),IF(OR('第 10 天'!L$5="租車費"),'第 10 天'!L66,0),IF(OR('第 10 天'!N$5="租車費"),'第 10 天'!N66,0),IF(OR('第 10 天'!P$5="租車費"),'第 10 天'!P66,0))</f>
        <v>0</v>
      </c>
      <c r="F286" s="14" t="n">
        <f aca="false">SUM(IF(OR('第 10 天'!D$5="停車費",'第 10 天'!D$5="其他"),'第 10 天'!D66,0),IF(OR('第 10 天'!F$5="停車費",'第 10 天'!F$5="其他"),'第 10 天'!F66,0),IF(OR('第 10 天'!H$5="停車費",'第 10 天'!H$5="其他"),'第 10 天'!H66,0),IF(OR('第 10 天'!J$5="停車費",'第 10 天'!J$5="其他"),'第 10 天'!J66,0),IF(OR('第 10 天'!L$5="停車費",'第 10 天'!L$5="其他"),'第 10 天'!L66,0),IF(OR('第 10 天'!N$5="停車費",'第 10 天'!N$5="其他"),'第 10 天'!N66,0),IF(OR('第 10 天'!P$5="停車費",'第 10 天'!P$5="其他"),'第 10 天'!P66,0))</f>
        <v>0</v>
      </c>
      <c r="G286" s="14" t="n">
        <f aca="false">SUM(C286:F286)</f>
        <v>0</v>
      </c>
      <c r="H286" s="14" t="n">
        <f aca="false">IF(LEN(TRIM(成員名單!$B19))=0,0,SUM(IF('第 10 天'!D$7=$B286,'第 10 天'!D46,0),IF('第 10 天'!F$7=$B286,'第 10 天'!F46,0),IF('第 10 天'!H$7=$B286,'第 10 天'!H46,0),IF('第 10 天'!J$7=$B286,'第 10 天'!J46,0),IF('第 10 天'!L$7=$B286,'第 10 天'!L46,0),IF('第 10 天'!N$7=$B286,'第 10 天'!N46,0),IF('第 10 天'!P$7=$B286,'第 10 天'!P46,0)))</f>
        <v>0</v>
      </c>
    </row>
    <row r="287" customFormat="false" ht="15" hidden="false" customHeight="false" outlineLevel="0" collapsed="false">
      <c r="A287" s="13" t="s">
        <v>161</v>
      </c>
      <c r="B287" s="13" t="s">
        <v>33</v>
      </c>
      <c r="C287" s="14" t="n">
        <f aca="false">SUM(IF(OR('第 10 天'!D$5="早餐",'第 10 天'!D$5="午餐",'第 10 天'!D$5="晚餐"),'第 10 天'!D67,0),IF(OR('第 10 天'!F$5="早餐",'第 10 天'!F$5="午餐",'第 10 天'!F$5="晚餐"),'第 10 天'!F67,0),IF(OR('第 10 天'!H$5="早餐",'第 10 天'!H$5="午餐",'第 10 天'!H$5="晚餐"),'第 10 天'!H67,0),IF(OR('第 10 天'!J$5="早餐",'第 10 天'!J$5="午餐",'第 10 天'!J$5="晚餐"),'第 10 天'!J67,0),IF(OR('第 10 天'!L$5="早餐",'第 10 天'!L$5="午餐",'第 10 天'!L$5="晚餐"),'第 10 天'!L67,0),IF(OR('第 10 天'!N$5="早餐",'第 10 天'!N$5="午餐",'第 10 天'!N$5="晚餐"),'第 10 天'!N67,0),IF(OR('第 10 天'!P$5="早餐",'第 10 天'!P$5="午餐",'第 10 天'!P$5="晚餐"),'第 10 天'!P67,0))</f>
        <v>0</v>
      </c>
      <c r="D287" s="14" t="n">
        <f aca="false">SUM(IF(OR('第 10 天'!D$5="油錢"),'第 10 天'!D67,0),IF(OR('第 10 天'!F$5="油錢"),'第 10 天'!F67,0),IF(OR('第 10 天'!H$5="油錢"),'第 10 天'!H67,0),IF(OR('第 10 天'!J$5="油錢"),'第 10 天'!J67,0),IF(OR('第 10 天'!L$5="油錢"),'第 10 天'!L67,0),IF(OR('第 10 天'!N$5="油錢"),'第 10 天'!N67,0),IF(OR('第 10 天'!P$5="油錢"),'第 10 天'!P67,0))</f>
        <v>0</v>
      </c>
      <c r="E287" s="14" t="n">
        <f aca="false">SUM(IF(OR('第 10 天'!D$5="租車費"),'第 10 天'!D67,0),IF(OR('第 10 天'!F$5="租車費"),'第 10 天'!F67,0),IF(OR('第 10 天'!H$5="租車費"),'第 10 天'!H67,0),IF(OR('第 10 天'!J$5="租車費"),'第 10 天'!J67,0),IF(OR('第 10 天'!L$5="租車費"),'第 10 天'!L67,0),IF(OR('第 10 天'!N$5="租車費"),'第 10 天'!N67,0),IF(OR('第 10 天'!P$5="租車費"),'第 10 天'!P67,0))</f>
        <v>0</v>
      </c>
      <c r="F287" s="14" t="n">
        <f aca="false">SUM(IF(OR('第 10 天'!D$5="停車費",'第 10 天'!D$5="其他"),'第 10 天'!D67,0),IF(OR('第 10 天'!F$5="停車費",'第 10 天'!F$5="其他"),'第 10 天'!F67,0),IF(OR('第 10 天'!H$5="停車費",'第 10 天'!H$5="其他"),'第 10 天'!H67,0),IF(OR('第 10 天'!J$5="停車費",'第 10 天'!J$5="其他"),'第 10 天'!J67,0),IF(OR('第 10 天'!L$5="停車費",'第 10 天'!L$5="其他"),'第 10 天'!L67,0),IF(OR('第 10 天'!N$5="停車費",'第 10 天'!N$5="其他"),'第 10 天'!N67,0),IF(OR('第 10 天'!P$5="停車費",'第 10 天'!P$5="其他"),'第 10 天'!P67,0))</f>
        <v>0</v>
      </c>
      <c r="G287" s="14" t="n">
        <f aca="false">SUM(C287:F287)</f>
        <v>0</v>
      </c>
      <c r="H287" s="14" t="n">
        <f aca="false">IF(LEN(TRIM(成員名單!$B20))=0,0,SUM(IF('第 10 天'!D$7=$B287,'第 10 天'!D46,0),IF('第 10 天'!F$7=$B287,'第 10 天'!F46,0),IF('第 10 天'!H$7=$B287,'第 10 天'!H46,0),IF('第 10 天'!J$7=$B287,'第 10 天'!J46,0),IF('第 10 天'!L$7=$B287,'第 10 天'!L46,0),IF('第 10 天'!N$7=$B287,'第 10 天'!N46,0),IF('第 10 天'!P$7=$B287,'第 10 天'!P46,0)))</f>
        <v>0</v>
      </c>
    </row>
    <row r="288" customFormat="false" ht="15" hidden="false" customHeight="false" outlineLevel="0" collapsed="false">
      <c r="A288" s="13" t="s">
        <v>161</v>
      </c>
      <c r="B288" s="13" t="s">
        <v>34</v>
      </c>
      <c r="C288" s="14" t="n">
        <f aca="false">SUM(IF(OR('第 10 天'!D$5="早餐",'第 10 天'!D$5="午餐",'第 10 天'!D$5="晚餐"),'第 10 天'!D68,0),IF(OR('第 10 天'!F$5="早餐",'第 10 天'!F$5="午餐",'第 10 天'!F$5="晚餐"),'第 10 天'!F68,0),IF(OR('第 10 天'!H$5="早餐",'第 10 天'!H$5="午餐",'第 10 天'!H$5="晚餐"),'第 10 天'!H68,0),IF(OR('第 10 天'!J$5="早餐",'第 10 天'!J$5="午餐",'第 10 天'!J$5="晚餐"),'第 10 天'!J68,0),IF(OR('第 10 天'!L$5="早餐",'第 10 天'!L$5="午餐",'第 10 天'!L$5="晚餐"),'第 10 天'!L68,0),IF(OR('第 10 天'!N$5="早餐",'第 10 天'!N$5="午餐",'第 10 天'!N$5="晚餐"),'第 10 天'!N68,0),IF(OR('第 10 天'!P$5="早餐",'第 10 天'!P$5="午餐",'第 10 天'!P$5="晚餐"),'第 10 天'!P68,0))</f>
        <v>0</v>
      </c>
      <c r="D288" s="14" t="n">
        <f aca="false">SUM(IF(OR('第 10 天'!D$5="油錢"),'第 10 天'!D68,0),IF(OR('第 10 天'!F$5="油錢"),'第 10 天'!F68,0),IF(OR('第 10 天'!H$5="油錢"),'第 10 天'!H68,0),IF(OR('第 10 天'!J$5="油錢"),'第 10 天'!J68,0),IF(OR('第 10 天'!L$5="油錢"),'第 10 天'!L68,0),IF(OR('第 10 天'!N$5="油錢"),'第 10 天'!N68,0),IF(OR('第 10 天'!P$5="油錢"),'第 10 天'!P68,0))</f>
        <v>0</v>
      </c>
      <c r="E288" s="14" t="n">
        <f aca="false">SUM(IF(OR('第 10 天'!D$5="租車費"),'第 10 天'!D68,0),IF(OR('第 10 天'!F$5="租車費"),'第 10 天'!F68,0),IF(OR('第 10 天'!H$5="租車費"),'第 10 天'!H68,0),IF(OR('第 10 天'!J$5="租車費"),'第 10 天'!J68,0),IF(OR('第 10 天'!L$5="租車費"),'第 10 天'!L68,0),IF(OR('第 10 天'!N$5="租車費"),'第 10 天'!N68,0),IF(OR('第 10 天'!P$5="租車費"),'第 10 天'!P68,0))</f>
        <v>0</v>
      </c>
      <c r="F288" s="14" t="n">
        <f aca="false">SUM(IF(OR('第 10 天'!D$5="停車費",'第 10 天'!D$5="其他"),'第 10 天'!D68,0),IF(OR('第 10 天'!F$5="停車費",'第 10 天'!F$5="其他"),'第 10 天'!F68,0),IF(OR('第 10 天'!H$5="停車費",'第 10 天'!H$5="其他"),'第 10 天'!H68,0),IF(OR('第 10 天'!J$5="停車費",'第 10 天'!J$5="其他"),'第 10 天'!J68,0),IF(OR('第 10 天'!L$5="停車費",'第 10 天'!L$5="其他"),'第 10 天'!L68,0),IF(OR('第 10 天'!N$5="停車費",'第 10 天'!N$5="其他"),'第 10 天'!N68,0),IF(OR('第 10 天'!P$5="停車費",'第 10 天'!P$5="其他"),'第 10 天'!P68,0))</f>
        <v>0</v>
      </c>
      <c r="G288" s="14" t="n">
        <f aca="false">SUM(C288:F288)</f>
        <v>0</v>
      </c>
      <c r="H288" s="14" t="n">
        <f aca="false">IF(LEN(TRIM(成員名單!$B21))=0,0,SUM(IF('第 10 天'!D$7=$B288,'第 10 天'!D46,0),IF('第 10 天'!F$7=$B288,'第 10 天'!F46,0),IF('第 10 天'!H$7=$B288,'第 10 天'!H46,0),IF('第 10 天'!J$7=$B288,'第 10 天'!J46,0),IF('第 10 天'!L$7=$B288,'第 10 天'!L46,0),IF('第 10 天'!N$7=$B288,'第 10 天'!N46,0),IF('第 10 天'!P$7=$B288,'第 10 天'!P46,0)))</f>
        <v>0</v>
      </c>
    </row>
    <row r="289" customFormat="false" ht="15" hidden="false" customHeight="false" outlineLevel="0" collapsed="false">
      <c r="A289" s="13" t="s">
        <v>161</v>
      </c>
      <c r="B289" s="13" t="s">
        <v>35</v>
      </c>
      <c r="C289" s="14" t="n">
        <f aca="false">SUM(IF(OR('第 10 天'!D$5="早餐",'第 10 天'!D$5="午餐",'第 10 天'!D$5="晚餐"),'第 10 天'!D69,0),IF(OR('第 10 天'!F$5="早餐",'第 10 天'!F$5="午餐",'第 10 天'!F$5="晚餐"),'第 10 天'!F69,0),IF(OR('第 10 天'!H$5="早餐",'第 10 天'!H$5="午餐",'第 10 天'!H$5="晚餐"),'第 10 天'!H69,0),IF(OR('第 10 天'!J$5="早餐",'第 10 天'!J$5="午餐",'第 10 天'!J$5="晚餐"),'第 10 天'!J69,0),IF(OR('第 10 天'!L$5="早餐",'第 10 天'!L$5="午餐",'第 10 天'!L$5="晚餐"),'第 10 天'!L69,0),IF(OR('第 10 天'!N$5="早餐",'第 10 天'!N$5="午餐",'第 10 天'!N$5="晚餐"),'第 10 天'!N69,0),IF(OR('第 10 天'!P$5="早餐",'第 10 天'!P$5="午餐",'第 10 天'!P$5="晚餐"),'第 10 天'!P69,0))</f>
        <v>0</v>
      </c>
      <c r="D289" s="14" t="n">
        <f aca="false">SUM(IF(OR('第 10 天'!D$5="油錢"),'第 10 天'!D69,0),IF(OR('第 10 天'!F$5="油錢"),'第 10 天'!F69,0),IF(OR('第 10 天'!H$5="油錢"),'第 10 天'!H69,0),IF(OR('第 10 天'!J$5="油錢"),'第 10 天'!J69,0),IF(OR('第 10 天'!L$5="油錢"),'第 10 天'!L69,0),IF(OR('第 10 天'!N$5="油錢"),'第 10 天'!N69,0),IF(OR('第 10 天'!P$5="油錢"),'第 10 天'!P69,0))</f>
        <v>0</v>
      </c>
      <c r="E289" s="14" t="n">
        <f aca="false">SUM(IF(OR('第 10 天'!D$5="租車費"),'第 10 天'!D69,0),IF(OR('第 10 天'!F$5="租車費"),'第 10 天'!F69,0),IF(OR('第 10 天'!H$5="租車費"),'第 10 天'!H69,0),IF(OR('第 10 天'!J$5="租車費"),'第 10 天'!J69,0),IF(OR('第 10 天'!L$5="租車費"),'第 10 天'!L69,0),IF(OR('第 10 天'!N$5="租車費"),'第 10 天'!N69,0),IF(OR('第 10 天'!P$5="租車費"),'第 10 天'!P69,0))</f>
        <v>0</v>
      </c>
      <c r="F289" s="14" t="n">
        <f aca="false">SUM(IF(OR('第 10 天'!D$5="停車費",'第 10 天'!D$5="其他"),'第 10 天'!D69,0),IF(OR('第 10 天'!F$5="停車費",'第 10 天'!F$5="其他"),'第 10 天'!F69,0),IF(OR('第 10 天'!H$5="停車費",'第 10 天'!H$5="其他"),'第 10 天'!H69,0),IF(OR('第 10 天'!J$5="停車費",'第 10 天'!J$5="其他"),'第 10 天'!J69,0),IF(OR('第 10 天'!L$5="停車費",'第 10 天'!L$5="其他"),'第 10 天'!L69,0),IF(OR('第 10 天'!N$5="停車費",'第 10 天'!N$5="其他"),'第 10 天'!N69,0),IF(OR('第 10 天'!P$5="停車費",'第 10 天'!P$5="其他"),'第 10 天'!P69,0))</f>
        <v>0</v>
      </c>
      <c r="G289" s="14" t="n">
        <f aca="false">SUM(C289:F289)</f>
        <v>0</v>
      </c>
      <c r="H289" s="14" t="n">
        <f aca="false">IF(LEN(TRIM(成員名單!$B22))=0,0,SUM(IF('第 10 天'!D$7=$B289,'第 10 天'!D46,0),IF('第 10 天'!F$7=$B289,'第 10 天'!F46,0),IF('第 10 天'!H$7=$B289,'第 10 天'!H46,0),IF('第 10 天'!J$7=$B289,'第 10 天'!J46,0),IF('第 10 天'!L$7=$B289,'第 10 天'!L46,0),IF('第 10 天'!N$7=$B289,'第 10 天'!N46,0),IF('第 10 天'!P$7=$B289,'第 10 天'!P46,0)))</f>
        <v>0</v>
      </c>
    </row>
    <row r="290" customFormat="false" ht="15" hidden="false" customHeight="false" outlineLevel="0" collapsed="false">
      <c r="A290" s="13" t="s">
        <v>161</v>
      </c>
      <c r="B290" s="13" t="s">
        <v>36</v>
      </c>
      <c r="C290" s="14" t="n">
        <f aca="false">SUM(IF(OR('第 10 天'!D$5="早餐",'第 10 天'!D$5="午餐",'第 10 天'!D$5="晚餐"),'第 10 天'!D70,0),IF(OR('第 10 天'!F$5="早餐",'第 10 天'!F$5="午餐",'第 10 天'!F$5="晚餐"),'第 10 天'!F70,0),IF(OR('第 10 天'!H$5="早餐",'第 10 天'!H$5="午餐",'第 10 天'!H$5="晚餐"),'第 10 天'!H70,0),IF(OR('第 10 天'!J$5="早餐",'第 10 天'!J$5="午餐",'第 10 天'!J$5="晚餐"),'第 10 天'!J70,0),IF(OR('第 10 天'!L$5="早餐",'第 10 天'!L$5="午餐",'第 10 天'!L$5="晚餐"),'第 10 天'!L70,0),IF(OR('第 10 天'!N$5="早餐",'第 10 天'!N$5="午餐",'第 10 天'!N$5="晚餐"),'第 10 天'!N70,0),IF(OR('第 10 天'!P$5="早餐",'第 10 天'!P$5="午餐",'第 10 天'!P$5="晚餐"),'第 10 天'!P70,0))</f>
        <v>0</v>
      </c>
      <c r="D290" s="14" t="n">
        <f aca="false">SUM(IF(OR('第 10 天'!D$5="油錢"),'第 10 天'!D70,0),IF(OR('第 10 天'!F$5="油錢"),'第 10 天'!F70,0),IF(OR('第 10 天'!H$5="油錢"),'第 10 天'!H70,0),IF(OR('第 10 天'!J$5="油錢"),'第 10 天'!J70,0),IF(OR('第 10 天'!L$5="油錢"),'第 10 天'!L70,0),IF(OR('第 10 天'!N$5="油錢"),'第 10 天'!N70,0),IF(OR('第 10 天'!P$5="油錢"),'第 10 天'!P70,0))</f>
        <v>0</v>
      </c>
      <c r="E290" s="14" t="n">
        <f aca="false">SUM(IF(OR('第 10 天'!D$5="租車費"),'第 10 天'!D70,0),IF(OR('第 10 天'!F$5="租車費"),'第 10 天'!F70,0),IF(OR('第 10 天'!H$5="租車費"),'第 10 天'!H70,0),IF(OR('第 10 天'!J$5="租車費"),'第 10 天'!J70,0),IF(OR('第 10 天'!L$5="租車費"),'第 10 天'!L70,0),IF(OR('第 10 天'!N$5="租車費"),'第 10 天'!N70,0),IF(OR('第 10 天'!P$5="租車費"),'第 10 天'!P70,0))</f>
        <v>0</v>
      </c>
      <c r="F290" s="14" t="n">
        <f aca="false">SUM(IF(OR('第 10 天'!D$5="停車費",'第 10 天'!D$5="其他"),'第 10 天'!D70,0),IF(OR('第 10 天'!F$5="停車費",'第 10 天'!F$5="其他"),'第 10 天'!F70,0),IF(OR('第 10 天'!H$5="停車費",'第 10 天'!H$5="其他"),'第 10 天'!H70,0),IF(OR('第 10 天'!J$5="停車費",'第 10 天'!J$5="其他"),'第 10 天'!J70,0),IF(OR('第 10 天'!L$5="停車費",'第 10 天'!L$5="其他"),'第 10 天'!L70,0),IF(OR('第 10 天'!N$5="停車費",'第 10 天'!N$5="其他"),'第 10 天'!N70,0),IF(OR('第 10 天'!P$5="停車費",'第 10 天'!P$5="其他"),'第 10 天'!P70,0))</f>
        <v>0</v>
      </c>
      <c r="G290" s="14" t="n">
        <f aca="false">SUM(C290:F290)</f>
        <v>0</v>
      </c>
      <c r="H290" s="14" t="n">
        <f aca="false">IF(LEN(TRIM(成員名單!$B23))=0,0,SUM(IF('第 10 天'!D$7=$B290,'第 10 天'!D46,0),IF('第 10 天'!F$7=$B290,'第 10 天'!F46,0),IF('第 10 天'!H$7=$B290,'第 10 天'!H46,0),IF('第 10 天'!J$7=$B290,'第 10 天'!J46,0),IF('第 10 天'!L$7=$B290,'第 10 天'!L46,0),IF('第 10 天'!N$7=$B290,'第 10 天'!N46,0),IF('第 10 天'!P$7=$B290,'第 10 天'!P46,0)))</f>
        <v>0</v>
      </c>
    </row>
    <row r="291" customFormat="false" ht="15" hidden="false" customHeight="false" outlineLevel="0" collapsed="false">
      <c r="A291" s="13" t="s">
        <v>161</v>
      </c>
      <c r="B291" s="13" t="s">
        <v>37</v>
      </c>
      <c r="C291" s="14" t="n">
        <f aca="false">SUM(IF(OR('第 10 天'!D$5="早餐",'第 10 天'!D$5="午餐",'第 10 天'!D$5="晚餐"),'第 10 天'!D71,0),IF(OR('第 10 天'!F$5="早餐",'第 10 天'!F$5="午餐",'第 10 天'!F$5="晚餐"),'第 10 天'!F71,0),IF(OR('第 10 天'!H$5="早餐",'第 10 天'!H$5="午餐",'第 10 天'!H$5="晚餐"),'第 10 天'!H71,0),IF(OR('第 10 天'!J$5="早餐",'第 10 天'!J$5="午餐",'第 10 天'!J$5="晚餐"),'第 10 天'!J71,0),IF(OR('第 10 天'!L$5="早餐",'第 10 天'!L$5="午餐",'第 10 天'!L$5="晚餐"),'第 10 天'!L71,0),IF(OR('第 10 天'!N$5="早餐",'第 10 天'!N$5="午餐",'第 10 天'!N$5="晚餐"),'第 10 天'!N71,0),IF(OR('第 10 天'!P$5="早餐",'第 10 天'!P$5="午餐",'第 10 天'!P$5="晚餐"),'第 10 天'!P71,0))</f>
        <v>0</v>
      </c>
      <c r="D291" s="14" t="n">
        <f aca="false">SUM(IF(OR('第 10 天'!D$5="油錢"),'第 10 天'!D71,0),IF(OR('第 10 天'!F$5="油錢"),'第 10 天'!F71,0),IF(OR('第 10 天'!H$5="油錢"),'第 10 天'!H71,0),IF(OR('第 10 天'!J$5="油錢"),'第 10 天'!J71,0),IF(OR('第 10 天'!L$5="油錢"),'第 10 天'!L71,0),IF(OR('第 10 天'!N$5="油錢"),'第 10 天'!N71,0),IF(OR('第 10 天'!P$5="油錢"),'第 10 天'!P71,0))</f>
        <v>0</v>
      </c>
      <c r="E291" s="14" t="n">
        <f aca="false">SUM(IF(OR('第 10 天'!D$5="租車費"),'第 10 天'!D71,0),IF(OR('第 10 天'!F$5="租車費"),'第 10 天'!F71,0),IF(OR('第 10 天'!H$5="租車費"),'第 10 天'!H71,0),IF(OR('第 10 天'!J$5="租車費"),'第 10 天'!J71,0),IF(OR('第 10 天'!L$5="租車費"),'第 10 天'!L71,0),IF(OR('第 10 天'!N$5="租車費"),'第 10 天'!N71,0),IF(OR('第 10 天'!P$5="租車費"),'第 10 天'!P71,0))</f>
        <v>0</v>
      </c>
      <c r="F291" s="14" t="n">
        <f aca="false">SUM(IF(OR('第 10 天'!D$5="停車費",'第 10 天'!D$5="其他"),'第 10 天'!D71,0),IF(OR('第 10 天'!F$5="停車費",'第 10 天'!F$5="其他"),'第 10 天'!F71,0),IF(OR('第 10 天'!H$5="停車費",'第 10 天'!H$5="其他"),'第 10 天'!H71,0),IF(OR('第 10 天'!J$5="停車費",'第 10 天'!J$5="其他"),'第 10 天'!J71,0),IF(OR('第 10 天'!L$5="停車費",'第 10 天'!L$5="其他"),'第 10 天'!L71,0),IF(OR('第 10 天'!N$5="停車費",'第 10 天'!N$5="其他"),'第 10 天'!N71,0),IF(OR('第 10 天'!P$5="停車費",'第 10 天'!P$5="其他"),'第 10 天'!P71,0))</f>
        <v>0</v>
      </c>
      <c r="G291" s="14" t="n">
        <f aca="false">SUM(C291:F291)</f>
        <v>0</v>
      </c>
      <c r="H291" s="14" t="n">
        <f aca="false">IF(LEN(TRIM(成員名單!$B24))=0,0,SUM(IF('第 10 天'!D$7=$B291,'第 10 天'!D46,0),IF('第 10 天'!F$7=$B291,'第 10 天'!F46,0),IF('第 10 天'!H$7=$B291,'第 10 天'!H46,0),IF('第 10 天'!J$7=$B291,'第 10 天'!J46,0),IF('第 10 天'!L$7=$B291,'第 10 天'!L46,0),IF('第 10 天'!N$7=$B291,'第 10 天'!N46,0),IF('第 10 天'!P$7=$B291,'第 10 天'!P46,0)))</f>
        <v>0</v>
      </c>
    </row>
    <row r="292" customFormat="false" ht="15" hidden="false" customHeight="false" outlineLevel="0" collapsed="false">
      <c r="A292" s="13" t="s">
        <v>161</v>
      </c>
      <c r="B292" s="13" t="s">
        <v>38</v>
      </c>
      <c r="C292" s="14" t="n">
        <f aca="false">SUM(IF(OR('第 10 天'!D$5="早餐",'第 10 天'!D$5="午餐",'第 10 天'!D$5="晚餐"),'第 10 天'!D72,0),IF(OR('第 10 天'!F$5="早餐",'第 10 天'!F$5="午餐",'第 10 天'!F$5="晚餐"),'第 10 天'!F72,0),IF(OR('第 10 天'!H$5="早餐",'第 10 天'!H$5="午餐",'第 10 天'!H$5="晚餐"),'第 10 天'!H72,0),IF(OR('第 10 天'!J$5="早餐",'第 10 天'!J$5="午餐",'第 10 天'!J$5="晚餐"),'第 10 天'!J72,0),IF(OR('第 10 天'!L$5="早餐",'第 10 天'!L$5="午餐",'第 10 天'!L$5="晚餐"),'第 10 天'!L72,0),IF(OR('第 10 天'!N$5="早餐",'第 10 天'!N$5="午餐",'第 10 天'!N$5="晚餐"),'第 10 天'!N72,0),IF(OR('第 10 天'!P$5="早餐",'第 10 天'!P$5="午餐",'第 10 天'!P$5="晚餐"),'第 10 天'!P72,0))</f>
        <v>0</v>
      </c>
      <c r="D292" s="14" t="n">
        <f aca="false">SUM(IF(OR('第 10 天'!D$5="油錢"),'第 10 天'!D72,0),IF(OR('第 10 天'!F$5="油錢"),'第 10 天'!F72,0),IF(OR('第 10 天'!H$5="油錢"),'第 10 天'!H72,0),IF(OR('第 10 天'!J$5="油錢"),'第 10 天'!J72,0),IF(OR('第 10 天'!L$5="油錢"),'第 10 天'!L72,0),IF(OR('第 10 天'!N$5="油錢"),'第 10 天'!N72,0),IF(OR('第 10 天'!P$5="油錢"),'第 10 天'!P72,0))</f>
        <v>0</v>
      </c>
      <c r="E292" s="14" t="n">
        <f aca="false">SUM(IF(OR('第 10 天'!D$5="租車費"),'第 10 天'!D72,0),IF(OR('第 10 天'!F$5="租車費"),'第 10 天'!F72,0),IF(OR('第 10 天'!H$5="租車費"),'第 10 天'!H72,0),IF(OR('第 10 天'!J$5="租車費"),'第 10 天'!J72,0),IF(OR('第 10 天'!L$5="租車費"),'第 10 天'!L72,0),IF(OR('第 10 天'!N$5="租車費"),'第 10 天'!N72,0),IF(OR('第 10 天'!P$5="租車費"),'第 10 天'!P72,0))</f>
        <v>0</v>
      </c>
      <c r="F292" s="14" t="n">
        <f aca="false">SUM(IF(OR('第 10 天'!D$5="停車費",'第 10 天'!D$5="其他"),'第 10 天'!D72,0),IF(OR('第 10 天'!F$5="停車費",'第 10 天'!F$5="其他"),'第 10 天'!F72,0),IF(OR('第 10 天'!H$5="停車費",'第 10 天'!H$5="其他"),'第 10 天'!H72,0),IF(OR('第 10 天'!J$5="停車費",'第 10 天'!J$5="其他"),'第 10 天'!J72,0),IF(OR('第 10 天'!L$5="停車費",'第 10 天'!L$5="其他"),'第 10 天'!L72,0),IF(OR('第 10 天'!N$5="停車費",'第 10 天'!N$5="其他"),'第 10 天'!N72,0),IF(OR('第 10 天'!P$5="停車費",'第 10 天'!P$5="其他"),'第 10 天'!P72,0))</f>
        <v>0</v>
      </c>
      <c r="G292" s="14" t="n">
        <f aca="false">SUM(C292:F292)</f>
        <v>0</v>
      </c>
      <c r="H292" s="14" t="n">
        <f aca="false">IF(LEN(TRIM(成員名單!$B25))=0,0,SUM(IF('第 10 天'!D$7=$B292,'第 10 天'!D46,0),IF('第 10 天'!F$7=$B292,'第 10 天'!F46,0),IF('第 10 天'!H$7=$B292,'第 10 天'!H46,0),IF('第 10 天'!J$7=$B292,'第 10 天'!J46,0),IF('第 10 天'!L$7=$B292,'第 10 天'!L46,0),IF('第 10 天'!N$7=$B292,'第 10 天'!N46,0),IF('第 10 天'!P$7=$B292,'第 10 天'!P46,0)))</f>
        <v>0</v>
      </c>
    </row>
    <row r="293" customFormat="false" ht="15" hidden="false" customHeight="false" outlineLevel="0" collapsed="false">
      <c r="A293" s="13" t="s">
        <v>161</v>
      </c>
      <c r="B293" s="13" t="s">
        <v>39</v>
      </c>
      <c r="C293" s="14" t="n">
        <f aca="false">SUM(IF(OR('第 10 天'!D$5="早餐",'第 10 天'!D$5="午餐",'第 10 天'!D$5="晚餐"),'第 10 天'!D73,0),IF(OR('第 10 天'!F$5="早餐",'第 10 天'!F$5="午餐",'第 10 天'!F$5="晚餐"),'第 10 天'!F73,0),IF(OR('第 10 天'!H$5="早餐",'第 10 天'!H$5="午餐",'第 10 天'!H$5="晚餐"),'第 10 天'!H73,0),IF(OR('第 10 天'!J$5="早餐",'第 10 天'!J$5="午餐",'第 10 天'!J$5="晚餐"),'第 10 天'!J73,0),IF(OR('第 10 天'!L$5="早餐",'第 10 天'!L$5="午餐",'第 10 天'!L$5="晚餐"),'第 10 天'!L73,0),IF(OR('第 10 天'!N$5="早餐",'第 10 天'!N$5="午餐",'第 10 天'!N$5="晚餐"),'第 10 天'!N73,0),IF(OR('第 10 天'!P$5="早餐",'第 10 天'!P$5="午餐",'第 10 天'!P$5="晚餐"),'第 10 天'!P73,0))</f>
        <v>0</v>
      </c>
      <c r="D293" s="14" t="n">
        <f aca="false">SUM(IF(OR('第 10 天'!D$5="油錢"),'第 10 天'!D73,0),IF(OR('第 10 天'!F$5="油錢"),'第 10 天'!F73,0),IF(OR('第 10 天'!H$5="油錢"),'第 10 天'!H73,0),IF(OR('第 10 天'!J$5="油錢"),'第 10 天'!J73,0),IF(OR('第 10 天'!L$5="油錢"),'第 10 天'!L73,0),IF(OR('第 10 天'!N$5="油錢"),'第 10 天'!N73,0),IF(OR('第 10 天'!P$5="油錢"),'第 10 天'!P73,0))</f>
        <v>0</v>
      </c>
      <c r="E293" s="14" t="n">
        <f aca="false">SUM(IF(OR('第 10 天'!D$5="租車費"),'第 10 天'!D73,0),IF(OR('第 10 天'!F$5="租車費"),'第 10 天'!F73,0),IF(OR('第 10 天'!H$5="租車費"),'第 10 天'!H73,0),IF(OR('第 10 天'!J$5="租車費"),'第 10 天'!J73,0),IF(OR('第 10 天'!L$5="租車費"),'第 10 天'!L73,0),IF(OR('第 10 天'!N$5="租車費"),'第 10 天'!N73,0),IF(OR('第 10 天'!P$5="租車費"),'第 10 天'!P73,0))</f>
        <v>0</v>
      </c>
      <c r="F293" s="14" t="n">
        <f aca="false">SUM(IF(OR('第 10 天'!D$5="停車費",'第 10 天'!D$5="其他"),'第 10 天'!D73,0),IF(OR('第 10 天'!F$5="停車費",'第 10 天'!F$5="其他"),'第 10 天'!F73,0),IF(OR('第 10 天'!H$5="停車費",'第 10 天'!H$5="其他"),'第 10 天'!H73,0),IF(OR('第 10 天'!J$5="停車費",'第 10 天'!J$5="其他"),'第 10 天'!J73,0),IF(OR('第 10 天'!L$5="停車費",'第 10 天'!L$5="其他"),'第 10 天'!L73,0),IF(OR('第 10 天'!N$5="停車費",'第 10 天'!N$5="其他"),'第 10 天'!N73,0),IF(OR('第 10 天'!P$5="停車費",'第 10 天'!P$5="其他"),'第 10 天'!P73,0))</f>
        <v>0</v>
      </c>
      <c r="G293" s="14" t="n">
        <f aca="false">SUM(C293:F293)</f>
        <v>0</v>
      </c>
      <c r="H293" s="14" t="n">
        <f aca="false">IF(LEN(TRIM(成員名單!$B26))=0,0,SUM(IF('第 10 天'!D$7=$B293,'第 10 天'!D46,0),IF('第 10 天'!F$7=$B293,'第 10 天'!F46,0),IF('第 10 天'!H$7=$B293,'第 10 天'!H46,0),IF('第 10 天'!J$7=$B293,'第 10 天'!J46,0),IF('第 10 天'!L$7=$B293,'第 10 天'!L46,0),IF('第 10 天'!N$7=$B293,'第 10 天'!N46,0),IF('第 10 天'!P$7=$B293,'第 10 天'!P46,0)))</f>
        <v>0</v>
      </c>
    </row>
    <row r="294" customFormat="false" ht="15" hidden="false" customHeight="false" outlineLevel="0" collapsed="false">
      <c r="A294" s="13" t="s">
        <v>161</v>
      </c>
      <c r="B294" s="13" t="s">
        <v>40</v>
      </c>
      <c r="C294" s="14" t="n">
        <f aca="false">SUM(IF(OR('第 10 天'!D$5="早餐",'第 10 天'!D$5="午餐",'第 10 天'!D$5="晚餐"),'第 10 天'!D74,0),IF(OR('第 10 天'!F$5="早餐",'第 10 天'!F$5="午餐",'第 10 天'!F$5="晚餐"),'第 10 天'!F74,0),IF(OR('第 10 天'!H$5="早餐",'第 10 天'!H$5="午餐",'第 10 天'!H$5="晚餐"),'第 10 天'!H74,0),IF(OR('第 10 天'!J$5="早餐",'第 10 天'!J$5="午餐",'第 10 天'!J$5="晚餐"),'第 10 天'!J74,0),IF(OR('第 10 天'!L$5="早餐",'第 10 天'!L$5="午餐",'第 10 天'!L$5="晚餐"),'第 10 天'!L74,0),IF(OR('第 10 天'!N$5="早餐",'第 10 天'!N$5="午餐",'第 10 天'!N$5="晚餐"),'第 10 天'!N74,0),IF(OR('第 10 天'!P$5="早餐",'第 10 天'!P$5="午餐",'第 10 天'!P$5="晚餐"),'第 10 天'!P74,0))</f>
        <v>0</v>
      </c>
      <c r="D294" s="14" t="n">
        <f aca="false">SUM(IF(OR('第 10 天'!D$5="油錢"),'第 10 天'!D74,0),IF(OR('第 10 天'!F$5="油錢"),'第 10 天'!F74,0),IF(OR('第 10 天'!H$5="油錢"),'第 10 天'!H74,0),IF(OR('第 10 天'!J$5="油錢"),'第 10 天'!J74,0),IF(OR('第 10 天'!L$5="油錢"),'第 10 天'!L74,0),IF(OR('第 10 天'!N$5="油錢"),'第 10 天'!N74,0),IF(OR('第 10 天'!P$5="油錢"),'第 10 天'!P74,0))</f>
        <v>0</v>
      </c>
      <c r="E294" s="14" t="n">
        <f aca="false">SUM(IF(OR('第 10 天'!D$5="租車費"),'第 10 天'!D74,0),IF(OR('第 10 天'!F$5="租車費"),'第 10 天'!F74,0),IF(OR('第 10 天'!H$5="租車費"),'第 10 天'!H74,0),IF(OR('第 10 天'!J$5="租車費"),'第 10 天'!J74,0),IF(OR('第 10 天'!L$5="租車費"),'第 10 天'!L74,0),IF(OR('第 10 天'!N$5="租車費"),'第 10 天'!N74,0),IF(OR('第 10 天'!P$5="租車費"),'第 10 天'!P74,0))</f>
        <v>0</v>
      </c>
      <c r="F294" s="14" t="n">
        <f aca="false">SUM(IF(OR('第 10 天'!D$5="停車費",'第 10 天'!D$5="其他"),'第 10 天'!D74,0),IF(OR('第 10 天'!F$5="停車費",'第 10 天'!F$5="其他"),'第 10 天'!F74,0),IF(OR('第 10 天'!H$5="停車費",'第 10 天'!H$5="其他"),'第 10 天'!H74,0),IF(OR('第 10 天'!J$5="停車費",'第 10 天'!J$5="其他"),'第 10 天'!J74,0),IF(OR('第 10 天'!L$5="停車費",'第 10 天'!L$5="其他"),'第 10 天'!L74,0),IF(OR('第 10 天'!N$5="停車費",'第 10 天'!N$5="其他"),'第 10 天'!N74,0),IF(OR('第 10 天'!P$5="停車費",'第 10 天'!P$5="其他"),'第 10 天'!P74,0))</f>
        <v>0</v>
      </c>
      <c r="G294" s="14" t="n">
        <f aca="false">SUM(C294:F294)</f>
        <v>0</v>
      </c>
      <c r="H294" s="14" t="n">
        <f aca="false">IF(LEN(TRIM(成員名單!$B27))=0,0,SUM(IF('第 10 天'!D$7=$B294,'第 10 天'!D46,0),IF('第 10 天'!F$7=$B294,'第 10 天'!F46,0),IF('第 10 天'!H$7=$B294,'第 10 天'!H46,0),IF('第 10 天'!J$7=$B294,'第 10 天'!J46,0),IF('第 10 天'!L$7=$B294,'第 10 天'!L46,0),IF('第 10 天'!N$7=$B294,'第 10 天'!N46,0),IF('第 10 天'!P$7=$B294,'第 10 天'!P46,0)))</f>
        <v>0</v>
      </c>
    </row>
    <row r="295" customFormat="false" ht="15" hidden="false" customHeight="false" outlineLevel="0" collapsed="false">
      <c r="A295" s="13" t="s">
        <v>161</v>
      </c>
      <c r="B295" s="13" t="s">
        <v>41</v>
      </c>
      <c r="C295" s="14" t="n">
        <f aca="false">SUM(IF(OR('第 10 天'!D$5="早餐",'第 10 天'!D$5="午餐",'第 10 天'!D$5="晚餐"),'第 10 天'!D75,0),IF(OR('第 10 天'!F$5="早餐",'第 10 天'!F$5="午餐",'第 10 天'!F$5="晚餐"),'第 10 天'!F75,0),IF(OR('第 10 天'!H$5="早餐",'第 10 天'!H$5="午餐",'第 10 天'!H$5="晚餐"),'第 10 天'!H75,0),IF(OR('第 10 天'!J$5="早餐",'第 10 天'!J$5="午餐",'第 10 天'!J$5="晚餐"),'第 10 天'!J75,0),IF(OR('第 10 天'!L$5="早餐",'第 10 天'!L$5="午餐",'第 10 天'!L$5="晚餐"),'第 10 天'!L75,0),IF(OR('第 10 天'!N$5="早餐",'第 10 天'!N$5="午餐",'第 10 天'!N$5="晚餐"),'第 10 天'!N75,0),IF(OR('第 10 天'!P$5="早餐",'第 10 天'!P$5="午餐",'第 10 天'!P$5="晚餐"),'第 10 天'!P75,0))</f>
        <v>0</v>
      </c>
      <c r="D295" s="14" t="n">
        <f aca="false">SUM(IF(OR('第 10 天'!D$5="油錢"),'第 10 天'!D75,0),IF(OR('第 10 天'!F$5="油錢"),'第 10 天'!F75,0),IF(OR('第 10 天'!H$5="油錢"),'第 10 天'!H75,0),IF(OR('第 10 天'!J$5="油錢"),'第 10 天'!J75,0),IF(OR('第 10 天'!L$5="油錢"),'第 10 天'!L75,0),IF(OR('第 10 天'!N$5="油錢"),'第 10 天'!N75,0),IF(OR('第 10 天'!P$5="油錢"),'第 10 天'!P75,0))</f>
        <v>0</v>
      </c>
      <c r="E295" s="14" t="n">
        <f aca="false">SUM(IF(OR('第 10 天'!D$5="租車費"),'第 10 天'!D75,0),IF(OR('第 10 天'!F$5="租車費"),'第 10 天'!F75,0),IF(OR('第 10 天'!H$5="租車費"),'第 10 天'!H75,0),IF(OR('第 10 天'!J$5="租車費"),'第 10 天'!J75,0),IF(OR('第 10 天'!L$5="租車費"),'第 10 天'!L75,0),IF(OR('第 10 天'!N$5="租車費"),'第 10 天'!N75,0),IF(OR('第 10 天'!P$5="租車費"),'第 10 天'!P75,0))</f>
        <v>0</v>
      </c>
      <c r="F295" s="14" t="n">
        <f aca="false">SUM(IF(OR('第 10 天'!D$5="停車費",'第 10 天'!D$5="其他"),'第 10 天'!D75,0),IF(OR('第 10 天'!F$5="停車費",'第 10 天'!F$5="其他"),'第 10 天'!F75,0),IF(OR('第 10 天'!H$5="停車費",'第 10 天'!H$5="其他"),'第 10 天'!H75,0),IF(OR('第 10 天'!J$5="停車費",'第 10 天'!J$5="其他"),'第 10 天'!J75,0),IF(OR('第 10 天'!L$5="停車費",'第 10 天'!L$5="其他"),'第 10 天'!L75,0),IF(OR('第 10 天'!N$5="停車費",'第 10 天'!N$5="其他"),'第 10 天'!N75,0),IF(OR('第 10 天'!P$5="停車費",'第 10 天'!P$5="其他"),'第 10 天'!P75,0))</f>
        <v>0</v>
      </c>
      <c r="G295" s="14" t="n">
        <f aca="false">SUM(C295:F295)</f>
        <v>0</v>
      </c>
      <c r="H295" s="14" t="n">
        <f aca="false">IF(LEN(TRIM(成員名單!$B28))=0,0,SUM(IF('第 10 天'!D$7=$B295,'第 10 天'!D46,0),IF('第 10 天'!F$7=$B295,'第 10 天'!F46,0),IF('第 10 天'!H$7=$B295,'第 10 天'!H46,0),IF('第 10 天'!J$7=$B295,'第 10 天'!J46,0),IF('第 10 天'!L$7=$B295,'第 10 天'!L46,0),IF('第 10 天'!N$7=$B295,'第 10 天'!N46,0),IF('第 10 天'!P$7=$B295,'第 10 天'!P46,0)))</f>
        <v>0</v>
      </c>
    </row>
    <row r="296" customFormat="false" ht="15" hidden="false" customHeight="false" outlineLevel="0" collapsed="false">
      <c r="A296" s="13" t="s">
        <v>161</v>
      </c>
      <c r="B296" s="13" t="s">
        <v>42</v>
      </c>
      <c r="C296" s="14" t="n">
        <f aca="false">SUM(IF(OR('第 10 天'!D$5="早餐",'第 10 天'!D$5="午餐",'第 10 天'!D$5="晚餐"),'第 10 天'!D76,0),IF(OR('第 10 天'!F$5="早餐",'第 10 天'!F$5="午餐",'第 10 天'!F$5="晚餐"),'第 10 天'!F76,0),IF(OR('第 10 天'!H$5="早餐",'第 10 天'!H$5="午餐",'第 10 天'!H$5="晚餐"),'第 10 天'!H76,0),IF(OR('第 10 天'!J$5="早餐",'第 10 天'!J$5="午餐",'第 10 天'!J$5="晚餐"),'第 10 天'!J76,0),IF(OR('第 10 天'!L$5="早餐",'第 10 天'!L$5="午餐",'第 10 天'!L$5="晚餐"),'第 10 天'!L76,0),IF(OR('第 10 天'!N$5="早餐",'第 10 天'!N$5="午餐",'第 10 天'!N$5="晚餐"),'第 10 天'!N76,0),IF(OR('第 10 天'!P$5="早餐",'第 10 天'!P$5="午餐",'第 10 天'!P$5="晚餐"),'第 10 天'!P76,0))</f>
        <v>0</v>
      </c>
      <c r="D296" s="14" t="n">
        <f aca="false">SUM(IF(OR('第 10 天'!D$5="油錢"),'第 10 天'!D76,0),IF(OR('第 10 天'!F$5="油錢"),'第 10 天'!F76,0),IF(OR('第 10 天'!H$5="油錢"),'第 10 天'!H76,0),IF(OR('第 10 天'!J$5="油錢"),'第 10 天'!J76,0),IF(OR('第 10 天'!L$5="油錢"),'第 10 天'!L76,0),IF(OR('第 10 天'!N$5="油錢"),'第 10 天'!N76,0),IF(OR('第 10 天'!P$5="油錢"),'第 10 天'!P76,0))</f>
        <v>0</v>
      </c>
      <c r="E296" s="14" t="n">
        <f aca="false">SUM(IF(OR('第 10 天'!D$5="租車費"),'第 10 天'!D76,0),IF(OR('第 10 天'!F$5="租車費"),'第 10 天'!F76,0),IF(OR('第 10 天'!H$5="租車費"),'第 10 天'!H76,0),IF(OR('第 10 天'!J$5="租車費"),'第 10 天'!J76,0),IF(OR('第 10 天'!L$5="租車費"),'第 10 天'!L76,0),IF(OR('第 10 天'!N$5="租車費"),'第 10 天'!N76,0),IF(OR('第 10 天'!P$5="租車費"),'第 10 天'!P76,0))</f>
        <v>0</v>
      </c>
      <c r="F296" s="14" t="n">
        <f aca="false">SUM(IF(OR('第 10 天'!D$5="停車費",'第 10 天'!D$5="其他"),'第 10 天'!D76,0),IF(OR('第 10 天'!F$5="停車費",'第 10 天'!F$5="其他"),'第 10 天'!F76,0),IF(OR('第 10 天'!H$5="停車費",'第 10 天'!H$5="其他"),'第 10 天'!H76,0),IF(OR('第 10 天'!J$5="停車費",'第 10 天'!J$5="其他"),'第 10 天'!J76,0),IF(OR('第 10 天'!L$5="停車費",'第 10 天'!L$5="其他"),'第 10 天'!L76,0),IF(OR('第 10 天'!N$5="停車費",'第 10 天'!N$5="其他"),'第 10 天'!N76,0),IF(OR('第 10 天'!P$5="停車費",'第 10 天'!P$5="其他"),'第 10 天'!P76,0))</f>
        <v>0</v>
      </c>
      <c r="G296" s="14" t="n">
        <f aca="false">SUM(C296:F296)</f>
        <v>0</v>
      </c>
      <c r="H296" s="14" t="n">
        <f aca="false">IF(LEN(TRIM(成員名單!$B29))=0,0,SUM(IF('第 10 天'!D$7=$B296,'第 10 天'!D46,0),IF('第 10 天'!F$7=$B296,'第 10 天'!F46,0),IF('第 10 天'!H$7=$B296,'第 10 天'!H46,0),IF('第 10 天'!J$7=$B296,'第 10 天'!J46,0),IF('第 10 天'!L$7=$B296,'第 10 天'!L46,0),IF('第 10 天'!N$7=$B296,'第 10 天'!N46,0),IF('第 10 天'!P$7=$B296,'第 10 天'!P46,0)))</f>
        <v>0</v>
      </c>
    </row>
    <row r="297" customFormat="false" ht="15" hidden="false" customHeight="false" outlineLevel="0" collapsed="false">
      <c r="A297" s="13" t="s">
        <v>161</v>
      </c>
      <c r="B297" s="13" t="s">
        <v>43</v>
      </c>
      <c r="C297" s="14" t="n">
        <f aca="false">SUM(IF(OR('第 10 天'!D$5="早餐",'第 10 天'!D$5="午餐",'第 10 天'!D$5="晚餐"),'第 10 天'!D77,0),IF(OR('第 10 天'!F$5="早餐",'第 10 天'!F$5="午餐",'第 10 天'!F$5="晚餐"),'第 10 天'!F77,0),IF(OR('第 10 天'!H$5="早餐",'第 10 天'!H$5="午餐",'第 10 天'!H$5="晚餐"),'第 10 天'!H77,0),IF(OR('第 10 天'!J$5="早餐",'第 10 天'!J$5="午餐",'第 10 天'!J$5="晚餐"),'第 10 天'!J77,0),IF(OR('第 10 天'!L$5="早餐",'第 10 天'!L$5="午餐",'第 10 天'!L$5="晚餐"),'第 10 天'!L77,0),IF(OR('第 10 天'!N$5="早餐",'第 10 天'!N$5="午餐",'第 10 天'!N$5="晚餐"),'第 10 天'!N77,0),IF(OR('第 10 天'!P$5="早餐",'第 10 天'!P$5="午餐",'第 10 天'!P$5="晚餐"),'第 10 天'!P77,0))</f>
        <v>0</v>
      </c>
      <c r="D297" s="14" t="n">
        <f aca="false">SUM(IF(OR('第 10 天'!D$5="油錢"),'第 10 天'!D77,0),IF(OR('第 10 天'!F$5="油錢"),'第 10 天'!F77,0),IF(OR('第 10 天'!H$5="油錢"),'第 10 天'!H77,0),IF(OR('第 10 天'!J$5="油錢"),'第 10 天'!J77,0),IF(OR('第 10 天'!L$5="油錢"),'第 10 天'!L77,0),IF(OR('第 10 天'!N$5="油錢"),'第 10 天'!N77,0),IF(OR('第 10 天'!P$5="油錢"),'第 10 天'!P77,0))</f>
        <v>0</v>
      </c>
      <c r="E297" s="14" t="n">
        <f aca="false">SUM(IF(OR('第 10 天'!D$5="租車費"),'第 10 天'!D77,0),IF(OR('第 10 天'!F$5="租車費"),'第 10 天'!F77,0),IF(OR('第 10 天'!H$5="租車費"),'第 10 天'!H77,0),IF(OR('第 10 天'!J$5="租車費"),'第 10 天'!J77,0),IF(OR('第 10 天'!L$5="租車費"),'第 10 天'!L77,0),IF(OR('第 10 天'!N$5="租車費"),'第 10 天'!N77,0),IF(OR('第 10 天'!P$5="租車費"),'第 10 天'!P77,0))</f>
        <v>0</v>
      </c>
      <c r="F297" s="14" t="n">
        <f aca="false">SUM(IF(OR('第 10 天'!D$5="停車費",'第 10 天'!D$5="其他"),'第 10 天'!D77,0),IF(OR('第 10 天'!F$5="停車費",'第 10 天'!F$5="其他"),'第 10 天'!F77,0),IF(OR('第 10 天'!H$5="停車費",'第 10 天'!H$5="其他"),'第 10 天'!H77,0),IF(OR('第 10 天'!J$5="停車費",'第 10 天'!J$5="其他"),'第 10 天'!J77,0),IF(OR('第 10 天'!L$5="停車費",'第 10 天'!L$5="其他"),'第 10 天'!L77,0),IF(OR('第 10 天'!N$5="停車費",'第 10 天'!N$5="其他"),'第 10 天'!N77,0),IF(OR('第 10 天'!P$5="停車費",'第 10 天'!P$5="其他"),'第 10 天'!P77,0))</f>
        <v>0</v>
      </c>
      <c r="G297" s="14" t="n">
        <f aca="false">SUM(C297:F297)</f>
        <v>0</v>
      </c>
      <c r="H297" s="14" t="n">
        <f aca="false">IF(LEN(TRIM(成員名單!$B30))=0,0,SUM(IF('第 10 天'!D$7=$B297,'第 10 天'!D46,0),IF('第 10 天'!F$7=$B297,'第 10 天'!F46,0),IF('第 10 天'!H$7=$B297,'第 10 天'!H46,0),IF('第 10 天'!J$7=$B297,'第 10 天'!J46,0),IF('第 10 天'!L$7=$B297,'第 10 天'!L46,0),IF('第 10 天'!N$7=$B297,'第 10 天'!N46,0),IF('第 10 天'!P$7=$B297,'第 10 天'!P46,0)))</f>
        <v>0</v>
      </c>
    </row>
    <row r="298" customFormat="false" ht="15" hidden="false" customHeight="false" outlineLevel="0" collapsed="false">
      <c r="A298" s="13" t="s">
        <v>161</v>
      </c>
      <c r="B298" s="13" t="s">
        <v>44</v>
      </c>
      <c r="C298" s="14" t="n">
        <f aca="false">SUM(IF(OR('第 10 天'!D$5="早餐",'第 10 天'!D$5="午餐",'第 10 天'!D$5="晚餐"),'第 10 天'!D78,0),IF(OR('第 10 天'!F$5="早餐",'第 10 天'!F$5="午餐",'第 10 天'!F$5="晚餐"),'第 10 天'!F78,0),IF(OR('第 10 天'!H$5="早餐",'第 10 天'!H$5="午餐",'第 10 天'!H$5="晚餐"),'第 10 天'!H78,0),IF(OR('第 10 天'!J$5="早餐",'第 10 天'!J$5="午餐",'第 10 天'!J$5="晚餐"),'第 10 天'!J78,0),IF(OR('第 10 天'!L$5="早餐",'第 10 天'!L$5="午餐",'第 10 天'!L$5="晚餐"),'第 10 天'!L78,0),IF(OR('第 10 天'!N$5="早餐",'第 10 天'!N$5="午餐",'第 10 天'!N$5="晚餐"),'第 10 天'!N78,0),IF(OR('第 10 天'!P$5="早餐",'第 10 天'!P$5="午餐",'第 10 天'!P$5="晚餐"),'第 10 天'!P78,0))</f>
        <v>0</v>
      </c>
      <c r="D298" s="14" t="n">
        <f aca="false">SUM(IF(OR('第 10 天'!D$5="油錢"),'第 10 天'!D78,0),IF(OR('第 10 天'!F$5="油錢"),'第 10 天'!F78,0),IF(OR('第 10 天'!H$5="油錢"),'第 10 天'!H78,0),IF(OR('第 10 天'!J$5="油錢"),'第 10 天'!J78,0),IF(OR('第 10 天'!L$5="油錢"),'第 10 天'!L78,0),IF(OR('第 10 天'!N$5="油錢"),'第 10 天'!N78,0),IF(OR('第 10 天'!P$5="油錢"),'第 10 天'!P78,0))</f>
        <v>0</v>
      </c>
      <c r="E298" s="14" t="n">
        <f aca="false">SUM(IF(OR('第 10 天'!D$5="租車費"),'第 10 天'!D78,0),IF(OR('第 10 天'!F$5="租車費"),'第 10 天'!F78,0),IF(OR('第 10 天'!H$5="租車費"),'第 10 天'!H78,0),IF(OR('第 10 天'!J$5="租車費"),'第 10 天'!J78,0),IF(OR('第 10 天'!L$5="租車費"),'第 10 天'!L78,0),IF(OR('第 10 天'!N$5="租車費"),'第 10 天'!N78,0),IF(OR('第 10 天'!P$5="租車費"),'第 10 天'!P78,0))</f>
        <v>0</v>
      </c>
      <c r="F298" s="14" t="n">
        <f aca="false">SUM(IF(OR('第 10 天'!D$5="停車費",'第 10 天'!D$5="其他"),'第 10 天'!D78,0),IF(OR('第 10 天'!F$5="停車費",'第 10 天'!F$5="其他"),'第 10 天'!F78,0),IF(OR('第 10 天'!H$5="停車費",'第 10 天'!H$5="其他"),'第 10 天'!H78,0),IF(OR('第 10 天'!J$5="停車費",'第 10 天'!J$5="其他"),'第 10 天'!J78,0),IF(OR('第 10 天'!L$5="停車費",'第 10 天'!L$5="其他"),'第 10 天'!L78,0),IF(OR('第 10 天'!N$5="停車費",'第 10 天'!N$5="其他"),'第 10 天'!N78,0),IF(OR('第 10 天'!P$5="停車費",'第 10 天'!P$5="其他"),'第 10 天'!P78,0))</f>
        <v>0</v>
      </c>
      <c r="G298" s="14" t="n">
        <f aca="false">SUM(C298:F298)</f>
        <v>0</v>
      </c>
      <c r="H298" s="14" t="n">
        <f aca="false">IF(LEN(TRIM(成員名單!$B31))=0,0,SUM(IF('第 10 天'!D$7=$B298,'第 10 天'!D46,0),IF('第 10 天'!F$7=$B298,'第 10 天'!F46,0),IF('第 10 天'!H$7=$B298,'第 10 天'!H46,0),IF('第 10 天'!J$7=$B298,'第 10 天'!J46,0),IF('第 10 天'!L$7=$B298,'第 10 天'!L46,0),IF('第 10 天'!N$7=$B298,'第 10 天'!N46,0),IF('第 10 天'!P$7=$B298,'第 10 天'!P46,0)))</f>
        <v>0</v>
      </c>
    </row>
    <row r="299" customFormat="false" ht="15" hidden="false" customHeight="false" outlineLevel="0" collapsed="false">
      <c r="A299" s="13" t="s">
        <v>161</v>
      </c>
      <c r="B299" s="13" t="s">
        <v>45</v>
      </c>
      <c r="C299" s="14" t="n">
        <f aca="false">SUM(IF(OR('第 10 天'!D$5="早餐",'第 10 天'!D$5="午餐",'第 10 天'!D$5="晚餐"),'第 10 天'!D79,0),IF(OR('第 10 天'!F$5="早餐",'第 10 天'!F$5="午餐",'第 10 天'!F$5="晚餐"),'第 10 天'!F79,0),IF(OR('第 10 天'!H$5="早餐",'第 10 天'!H$5="午餐",'第 10 天'!H$5="晚餐"),'第 10 天'!H79,0),IF(OR('第 10 天'!J$5="早餐",'第 10 天'!J$5="午餐",'第 10 天'!J$5="晚餐"),'第 10 天'!J79,0),IF(OR('第 10 天'!L$5="早餐",'第 10 天'!L$5="午餐",'第 10 天'!L$5="晚餐"),'第 10 天'!L79,0),IF(OR('第 10 天'!N$5="早餐",'第 10 天'!N$5="午餐",'第 10 天'!N$5="晚餐"),'第 10 天'!N79,0),IF(OR('第 10 天'!P$5="早餐",'第 10 天'!P$5="午餐",'第 10 天'!P$5="晚餐"),'第 10 天'!P79,0))</f>
        <v>0</v>
      </c>
      <c r="D299" s="14" t="n">
        <f aca="false">SUM(IF(OR('第 10 天'!D$5="油錢"),'第 10 天'!D79,0),IF(OR('第 10 天'!F$5="油錢"),'第 10 天'!F79,0),IF(OR('第 10 天'!H$5="油錢"),'第 10 天'!H79,0),IF(OR('第 10 天'!J$5="油錢"),'第 10 天'!J79,0),IF(OR('第 10 天'!L$5="油錢"),'第 10 天'!L79,0),IF(OR('第 10 天'!N$5="油錢"),'第 10 天'!N79,0),IF(OR('第 10 天'!P$5="油錢"),'第 10 天'!P79,0))</f>
        <v>0</v>
      </c>
      <c r="E299" s="14" t="n">
        <f aca="false">SUM(IF(OR('第 10 天'!D$5="租車費"),'第 10 天'!D79,0),IF(OR('第 10 天'!F$5="租車費"),'第 10 天'!F79,0),IF(OR('第 10 天'!H$5="租車費"),'第 10 天'!H79,0),IF(OR('第 10 天'!J$5="租車費"),'第 10 天'!J79,0),IF(OR('第 10 天'!L$5="租車費"),'第 10 天'!L79,0),IF(OR('第 10 天'!N$5="租車費"),'第 10 天'!N79,0),IF(OR('第 10 天'!P$5="租車費"),'第 10 天'!P79,0))</f>
        <v>0</v>
      </c>
      <c r="F299" s="14" t="n">
        <f aca="false">SUM(IF(OR('第 10 天'!D$5="停車費",'第 10 天'!D$5="其他"),'第 10 天'!D79,0),IF(OR('第 10 天'!F$5="停車費",'第 10 天'!F$5="其他"),'第 10 天'!F79,0),IF(OR('第 10 天'!H$5="停車費",'第 10 天'!H$5="其他"),'第 10 天'!H79,0),IF(OR('第 10 天'!J$5="停車費",'第 10 天'!J$5="其他"),'第 10 天'!J79,0),IF(OR('第 10 天'!L$5="停車費",'第 10 天'!L$5="其他"),'第 10 天'!L79,0),IF(OR('第 10 天'!N$5="停車費",'第 10 天'!N$5="其他"),'第 10 天'!N79,0),IF(OR('第 10 天'!P$5="停車費",'第 10 天'!P$5="其他"),'第 10 天'!P79,0))</f>
        <v>0</v>
      </c>
      <c r="G299" s="14" t="n">
        <f aca="false">SUM(C299:F299)</f>
        <v>0</v>
      </c>
      <c r="H299" s="14" t="n">
        <f aca="false">IF(LEN(TRIM(成員名單!$B32))=0,0,SUM(IF('第 10 天'!D$7=$B299,'第 10 天'!D46,0),IF('第 10 天'!F$7=$B299,'第 10 天'!F46,0),IF('第 10 天'!H$7=$B299,'第 10 天'!H46,0),IF('第 10 天'!J$7=$B299,'第 10 天'!J46,0),IF('第 10 天'!L$7=$B299,'第 10 天'!L46,0),IF('第 10 天'!N$7=$B299,'第 10 天'!N46,0),IF('第 10 天'!P$7=$B299,'第 10 天'!P46,0)))</f>
        <v>0</v>
      </c>
    </row>
    <row r="300" customFormat="false" ht="15" hidden="false" customHeight="false" outlineLevel="0" collapsed="false">
      <c r="A300" s="13" t="s">
        <v>161</v>
      </c>
      <c r="B300" s="13" t="s">
        <v>46</v>
      </c>
      <c r="C300" s="14" t="n">
        <f aca="false">SUM(IF(OR('第 10 天'!D$5="早餐",'第 10 天'!D$5="午餐",'第 10 天'!D$5="晚餐"),'第 10 天'!D80,0),IF(OR('第 10 天'!F$5="早餐",'第 10 天'!F$5="午餐",'第 10 天'!F$5="晚餐"),'第 10 天'!F80,0),IF(OR('第 10 天'!H$5="早餐",'第 10 天'!H$5="午餐",'第 10 天'!H$5="晚餐"),'第 10 天'!H80,0),IF(OR('第 10 天'!J$5="早餐",'第 10 天'!J$5="午餐",'第 10 天'!J$5="晚餐"),'第 10 天'!J80,0),IF(OR('第 10 天'!L$5="早餐",'第 10 天'!L$5="午餐",'第 10 天'!L$5="晚餐"),'第 10 天'!L80,0),IF(OR('第 10 天'!N$5="早餐",'第 10 天'!N$5="午餐",'第 10 天'!N$5="晚餐"),'第 10 天'!N80,0),IF(OR('第 10 天'!P$5="早餐",'第 10 天'!P$5="午餐",'第 10 天'!P$5="晚餐"),'第 10 天'!P80,0))</f>
        <v>0</v>
      </c>
      <c r="D300" s="14" t="n">
        <f aca="false">SUM(IF(OR('第 10 天'!D$5="油錢"),'第 10 天'!D80,0),IF(OR('第 10 天'!F$5="油錢"),'第 10 天'!F80,0),IF(OR('第 10 天'!H$5="油錢"),'第 10 天'!H80,0),IF(OR('第 10 天'!J$5="油錢"),'第 10 天'!J80,0),IF(OR('第 10 天'!L$5="油錢"),'第 10 天'!L80,0),IF(OR('第 10 天'!N$5="油錢"),'第 10 天'!N80,0),IF(OR('第 10 天'!P$5="油錢"),'第 10 天'!P80,0))</f>
        <v>0</v>
      </c>
      <c r="E300" s="14" t="n">
        <f aca="false">SUM(IF(OR('第 10 天'!D$5="租車費"),'第 10 天'!D80,0),IF(OR('第 10 天'!F$5="租車費"),'第 10 天'!F80,0),IF(OR('第 10 天'!H$5="租車費"),'第 10 天'!H80,0),IF(OR('第 10 天'!J$5="租車費"),'第 10 天'!J80,0),IF(OR('第 10 天'!L$5="租車費"),'第 10 天'!L80,0),IF(OR('第 10 天'!N$5="租車費"),'第 10 天'!N80,0),IF(OR('第 10 天'!P$5="租車費"),'第 10 天'!P80,0))</f>
        <v>0</v>
      </c>
      <c r="F300" s="14" t="n">
        <f aca="false">SUM(IF(OR('第 10 天'!D$5="停車費",'第 10 天'!D$5="其他"),'第 10 天'!D80,0),IF(OR('第 10 天'!F$5="停車費",'第 10 天'!F$5="其他"),'第 10 天'!F80,0),IF(OR('第 10 天'!H$5="停車費",'第 10 天'!H$5="其他"),'第 10 天'!H80,0),IF(OR('第 10 天'!J$5="停車費",'第 10 天'!J$5="其他"),'第 10 天'!J80,0),IF(OR('第 10 天'!L$5="停車費",'第 10 天'!L$5="其他"),'第 10 天'!L80,0),IF(OR('第 10 天'!N$5="停車費",'第 10 天'!N$5="其他"),'第 10 天'!N80,0),IF(OR('第 10 天'!P$5="停車費",'第 10 天'!P$5="其他"),'第 10 天'!P80,0))</f>
        <v>0</v>
      </c>
      <c r="G300" s="14" t="n">
        <f aca="false">SUM(C300:F300)</f>
        <v>0</v>
      </c>
      <c r="H300" s="14" t="n">
        <f aca="false">IF(LEN(TRIM(成員名單!$B33))=0,0,SUM(IF('第 10 天'!D$7=$B300,'第 10 天'!D46,0),IF('第 10 天'!F$7=$B300,'第 10 天'!F46,0),IF('第 10 天'!H$7=$B300,'第 10 天'!H46,0),IF('第 10 天'!J$7=$B300,'第 10 天'!J46,0),IF('第 10 天'!L$7=$B300,'第 10 天'!L46,0),IF('第 10 天'!N$7=$B300,'第 10 天'!N46,0),IF('第 10 天'!P$7=$B300,'第 10 天'!P46,0)))</f>
        <v>0</v>
      </c>
    </row>
    <row r="301" customFormat="false" ht="15" hidden="false" customHeight="false" outlineLevel="0" collapsed="false">
      <c r="A301" s="13" t="s">
        <v>161</v>
      </c>
      <c r="B301" s="13" t="s">
        <v>47</v>
      </c>
      <c r="C301" s="14" t="n">
        <f aca="false">SUM(IF(OR('第 10 天'!D$5="早餐",'第 10 天'!D$5="午餐",'第 10 天'!D$5="晚餐"),'第 10 天'!D81,0),IF(OR('第 10 天'!F$5="早餐",'第 10 天'!F$5="午餐",'第 10 天'!F$5="晚餐"),'第 10 天'!F81,0),IF(OR('第 10 天'!H$5="早餐",'第 10 天'!H$5="午餐",'第 10 天'!H$5="晚餐"),'第 10 天'!H81,0),IF(OR('第 10 天'!J$5="早餐",'第 10 天'!J$5="午餐",'第 10 天'!J$5="晚餐"),'第 10 天'!J81,0),IF(OR('第 10 天'!L$5="早餐",'第 10 天'!L$5="午餐",'第 10 天'!L$5="晚餐"),'第 10 天'!L81,0),IF(OR('第 10 天'!N$5="早餐",'第 10 天'!N$5="午餐",'第 10 天'!N$5="晚餐"),'第 10 天'!N81,0),IF(OR('第 10 天'!P$5="早餐",'第 10 天'!P$5="午餐",'第 10 天'!P$5="晚餐"),'第 10 天'!P81,0))</f>
        <v>0</v>
      </c>
      <c r="D301" s="14" t="n">
        <f aca="false">SUM(IF(OR('第 10 天'!D$5="油錢"),'第 10 天'!D81,0),IF(OR('第 10 天'!F$5="油錢"),'第 10 天'!F81,0),IF(OR('第 10 天'!H$5="油錢"),'第 10 天'!H81,0),IF(OR('第 10 天'!J$5="油錢"),'第 10 天'!J81,0),IF(OR('第 10 天'!L$5="油錢"),'第 10 天'!L81,0),IF(OR('第 10 天'!N$5="油錢"),'第 10 天'!N81,0),IF(OR('第 10 天'!P$5="油錢"),'第 10 天'!P81,0))</f>
        <v>0</v>
      </c>
      <c r="E301" s="14" t="n">
        <f aca="false">SUM(IF(OR('第 10 天'!D$5="租車費"),'第 10 天'!D81,0),IF(OR('第 10 天'!F$5="租車費"),'第 10 天'!F81,0),IF(OR('第 10 天'!H$5="租車費"),'第 10 天'!H81,0),IF(OR('第 10 天'!J$5="租車費"),'第 10 天'!J81,0),IF(OR('第 10 天'!L$5="租車費"),'第 10 天'!L81,0),IF(OR('第 10 天'!N$5="租車費"),'第 10 天'!N81,0),IF(OR('第 10 天'!P$5="租車費"),'第 10 天'!P81,0))</f>
        <v>0</v>
      </c>
      <c r="F301" s="14" t="n">
        <f aca="false">SUM(IF(OR('第 10 天'!D$5="停車費",'第 10 天'!D$5="其他"),'第 10 天'!D81,0),IF(OR('第 10 天'!F$5="停車費",'第 10 天'!F$5="其他"),'第 10 天'!F81,0),IF(OR('第 10 天'!H$5="停車費",'第 10 天'!H$5="其他"),'第 10 天'!H81,0),IF(OR('第 10 天'!J$5="停車費",'第 10 天'!J$5="其他"),'第 10 天'!J81,0),IF(OR('第 10 天'!L$5="停車費",'第 10 天'!L$5="其他"),'第 10 天'!L81,0),IF(OR('第 10 天'!N$5="停車費",'第 10 天'!N$5="其他"),'第 10 天'!N81,0),IF(OR('第 10 天'!P$5="停車費",'第 10 天'!P$5="其他"),'第 10 天'!P81,0))</f>
        <v>0</v>
      </c>
      <c r="G301" s="14" t="n">
        <f aca="false">SUM(C301:F301)</f>
        <v>0</v>
      </c>
      <c r="H301" s="14" t="n">
        <f aca="false">IF(LEN(TRIM(成員名單!$B34))=0,0,SUM(IF('第 10 天'!D$7=$B301,'第 10 天'!D46,0),IF('第 10 天'!F$7=$B301,'第 10 天'!F46,0),IF('第 10 天'!H$7=$B301,'第 10 天'!H46,0),IF('第 10 天'!J$7=$B301,'第 10 天'!J46,0),IF('第 10 天'!L$7=$B301,'第 10 天'!L46,0),IF('第 10 天'!N$7=$B301,'第 10 天'!N46,0),IF('第 10 天'!P$7=$B301,'第 10 天'!P46,0)))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3" t="s">
        <v>192</v>
      </c>
    </row>
    <row r="2" customFormat="false" ht="3276.75" hidden="false" customHeight="false" outlineLevel="0" collapsed="false">
      <c r="A2" s="1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2026-10-19T03:19:03Z</dcterms:created>
  <dc:creator>旅伴帳本</dc:creator>
  <dc:description/>
  <dc:language>en-US</dc:language>
  <cp:lastModifiedBy/>
  <dcterms:modified xsi:type="dcterms:W3CDTF">2026-10-19T03:19:04Z</dcterms:modified>
  <cp:revision>0</cp:revision>
  <dc:subject/>
  <dc:title>旅遊費用分攤｜Google 試算表範本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